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7245" tabRatio="617" firstSheet="7" activeTab="8"/>
  </bookViews>
  <sheets>
    <sheet name="Order Details Aug22-Mar23" sheetId="1" r:id="rId1"/>
    <sheet name="Account Details Aug22-Mar23" sheetId="2" r:id="rId2"/>
    <sheet name="Order Details Apr23-Mar24" sheetId="3" r:id="rId3"/>
    <sheet name="Account Details Apr23-Mar24" sheetId="4" r:id="rId4"/>
    <sheet name="Order Details Apr24 - Mar25" sheetId="6" r:id="rId5"/>
    <sheet name="Account Details Apr24 - Mar25" sheetId="8" r:id="rId6"/>
    <sheet name="Order Details Apr25 - Mar26" sheetId="12" r:id="rId7"/>
    <sheet name="Account Details Apr25 - Mar26" sheetId="13" r:id="rId8"/>
    <sheet name="Order Details April26-March27" sheetId="15" r:id="rId9"/>
    <sheet name="Account Details Apr26 - Mar27" sheetId="16" r:id="rId10"/>
  </sheets>
  <definedNames>
    <definedName name="_xlnm._FilterDatabase" localSheetId="3" hidden="1">'Account Details Apr23-Mar24'!$D$1:$D$350</definedName>
    <definedName name="_xlnm._FilterDatabase" localSheetId="5" hidden="1">'Account Details Apr24 - Mar25'!$D$1:$D$351</definedName>
    <definedName name="_xlnm._FilterDatabase" localSheetId="7" hidden="1">'Account Details Apr25 - Mar26'!$D$1:$D$209</definedName>
    <definedName name="_xlnm._FilterDatabase" localSheetId="9" hidden="1">'Account Details Apr26 - Mar27'!$D$1:$D$50</definedName>
    <definedName name="_xlnm._FilterDatabase" localSheetId="1" hidden="1">'Account Details Aug22-Mar23'!$D$1:$D$220</definedName>
    <definedName name="_xlnm._FilterDatabase" localSheetId="2" hidden="1">'Order Details Apr23-Mar24'!$D$2:$D$313</definedName>
    <definedName name="_xlnm._FilterDatabase" localSheetId="4" hidden="1">'Order Details Apr24 - Mar25'!$D$2:$D$350</definedName>
    <definedName name="_xlnm._FilterDatabase" localSheetId="6" hidden="1">'Order Details Apr25 - Mar26'!$D$2:$D$300</definedName>
    <definedName name="_xlnm._FilterDatabase" localSheetId="8" hidden="1">'Order Details April26-March27'!$D$2:$D$50</definedName>
    <definedName name="_xlnm._FilterDatabase" localSheetId="0" hidden="1">'Order Details Aug22-Mar23'!$D$2:$D$510</definedName>
    <definedName name="_xlnm.Print_Titles" localSheetId="1">'Account Details Aug22-Mar23'!$2:$7</definedName>
    <definedName name="_xlnm.Print_Titles" localSheetId="0">'Order Details Aug22-Mar23'!$2:$7</definedName>
  </definedNames>
  <calcPr calcId="152511"/>
</workbook>
</file>

<file path=xl/calcChain.xml><?xml version="1.0" encoding="utf-8"?>
<calcChain xmlns="http://schemas.openxmlformats.org/spreadsheetml/2006/main">
  <c r="N80" i="16" l="1"/>
  <c r="K80" i="16"/>
  <c r="I80" i="16"/>
  <c r="H80" i="16"/>
  <c r="F80" i="16"/>
  <c r="D80" i="16"/>
  <c r="B80" i="16"/>
  <c r="N79" i="16"/>
  <c r="K79" i="16"/>
  <c r="I79" i="16"/>
  <c r="H79" i="16"/>
  <c r="F79" i="16"/>
  <c r="D79" i="16"/>
  <c r="B79" i="16"/>
  <c r="N78" i="16"/>
  <c r="K78" i="16"/>
  <c r="I78" i="16"/>
  <c r="H78" i="16"/>
  <c r="F78" i="16"/>
  <c r="D78" i="16"/>
  <c r="B78" i="16"/>
  <c r="N77" i="16"/>
  <c r="K77" i="16"/>
  <c r="I77" i="16"/>
  <c r="H77" i="16"/>
  <c r="F77" i="16"/>
  <c r="D77" i="16"/>
  <c r="B77" i="16"/>
  <c r="N76" i="16"/>
  <c r="K76" i="16"/>
  <c r="I76" i="16"/>
  <c r="H76" i="16"/>
  <c r="F76" i="16"/>
  <c r="D76" i="16"/>
  <c r="B76" i="16"/>
  <c r="N75" i="16"/>
  <c r="K75" i="16"/>
  <c r="I75" i="16"/>
  <c r="H75" i="16"/>
  <c r="F75" i="16"/>
  <c r="D75" i="16"/>
  <c r="B75" i="16"/>
  <c r="N74" i="16"/>
  <c r="K74" i="16"/>
  <c r="I74" i="16"/>
  <c r="H74" i="16"/>
  <c r="F74" i="16"/>
  <c r="D74" i="16"/>
  <c r="B74" i="16"/>
  <c r="N73" i="16"/>
  <c r="K73" i="16"/>
  <c r="I73" i="16"/>
  <c r="H73" i="16"/>
  <c r="F73" i="16"/>
  <c r="D73" i="16"/>
  <c r="B73" i="16"/>
  <c r="N72" i="16"/>
  <c r="K72" i="16"/>
  <c r="I72" i="16"/>
  <c r="H72" i="16"/>
  <c r="F72" i="16"/>
  <c r="D72" i="16"/>
  <c r="B72" i="16"/>
  <c r="N71" i="16"/>
  <c r="K71" i="16"/>
  <c r="I71" i="16"/>
  <c r="H71" i="16"/>
  <c r="F71" i="16"/>
  <c r="D71" i="16"/>
  <c r="B71" i="16"/>
  <c r="N70" i="16"/>
  <c r="K70" i="16"/>
  <c r="I70" i="16"/>
  <c r="H70" i="16"/>
  <c r="F70" i="16"/>
  <c r="D70" i="16"/>
  <c r="B70" i="16"/>
  <c r="N69" i="16"/>
  <c r="K69" i="16"/>
  <c r="I69" i="16"/>
  <c r="H69" i="16"/>
  <c r="F69" i="16"/>
  <c r="D69" i="16"/>
  <c r="B69" i="16"/>
  <c r="N68" i="16"/>
  <c r="K68" i="16"/>
  <c r="I68" i="16"/>
  <c r="H68" i="16"/>
  <c r="F68" i="16"/>
  <c r="D68" i="16"/>
  <c r="B68" i="16"/>
  <c r="N67" i="16"/>
  <c r="K67" i="16"/>
  <c r="I67" i="16"/>
  <c r="H67" i="16"/>
  <c r="F67" i="16"/>
  <c r="D67" i="16"/>
  <c r="B67" i="16"/>
  <c r="N66" i="16"/>
  <c r="K66" i="16"/>
  <c r="I66" i="16"/>
  <c r="H66" i="16"/>
  <c r="F66" i="16"/>
  <c r="D66" i="16"/>
  <c r="B66" i="16"/>
  <c r="N65" i="16"/>
  <c r="K65" i="16"/>
  <c r="I65" i="16"/>
  <c r="H65" i="16"/>
  <c r="F65" i="16"/>
  <c r="D65" i="16"/>
  <c r="B65" i="16"/>
  <c r="N64" i="16"/>
  <c r="K64" i="16"/>
  <c r="I64" i="16"/>
  <c r="H64" i="16"/>
  <c r="F64" i="16"/>
  <c r="D64" i="16"/>
  <c r="B64" i="16"/>
  <c r="N63" i="16"/>
  <c r="K63" i="16"/>
  <c r="I63" i="16"/>
  <c r="H63" i="16"/>
  <c r="F63" i="16"/>
  <c r="D63" i="16"/>
  <c r="B63" i="16"/>
  <c r="N62" i="16"/>
  <c r="K62" i="16"/>
  <c r="I62" i="16"/>
  <c r="H62" i="16"/>
  <c r="F62" i="16"/>
  <c r="D62" i="16"/>
  <c r="B62" i="16"/>
  <c r="N61" i="16"/>
  <c r="K61" i="16"/>
  <c r="I61" i="16"/>
  <c r="H61" i="16"/>
  <c r="F61" i="16"/>
  <c r="D61" i="16"/>
  <c r="B61" i="16"/>
  <c r="N60" i="16"/>
  <c r="K60" i="16"/>
  <c r="I60" i="16"/>
  <c r="H60" i="16"/>
  <c r="F60" i="16"/>
  <c r="D60" i="16"/>
  <c r="B60" i="16"/>
  <c r="N59" i="16"/>
  <c r="K59" i="16"/>
  <c r="I59" i="16"/>
  <c r="H59" i="16"/>
  <c r="F59" i="16"/>
  <c r="D59" i="16"/>
  <c r="B59" i="16"/>
  <c r="N58" i="16"/>
  <c r="K58" i="16"/>
  <c r="I58" i="16"/>
  <c r="H58" i="16"/>
  <c r="F58" i="16"/>
  <c r="D58" i="16"/>
  <c r="B58" i="16"/>
  <c r="N57" i="16"/>
  <c r="K57" i="16"/>
  <c r="I57" i="16"/>
  <c r="H57" i="16"/>
  <c r="F57" i="16"/>
  <c r="D57" i="16"/>
  <c r="B57" i="16"/>
  <c r="N56" i="16"/>
  <c r="K56" i="16"/>
  <c r="I56" i="16"/>
  <c r="H56" i="16"/>
  <c r="F56" i="16"/>
  <c r="D56" i="16"/>
  <c r="B56" i="16"/>
  <c r="N55" i="16"/>
  <c r="K55" i="16"/>
  <c r="I55" i="16"/>
  <c r="H55" i="16"/>
  <c r="F55" i="16"/>
  <c r="D55" i="16"/>
  <c r="B55" i="16"/>
  <c r="N54" i="16"/>
  <c r="K54" i="16"/>
  <c r="I54" i="16"/>
  <c r="H54" i="16"/>
  <c r="F54" i="16"/>
  <c r="D54" i="16"/>
  <c r="B54" i="16"/>
  <c r="N53" i="16"/>
  <c r="K53" i="16"/>
  <c r="I53" i="16"/>
  <c r="H53" i="16"/>
  <c r="F53" i="16"/>
  <c r="D53" i="16"/>
  <c r="B53" i="16"/>
  <c r="N52" i="16"/>
  <c r="K52" i="16"/>
  <c r="I52" i="16"/>
  <c r="H52" i="16"/>
  <c r="F52" i="16"/>
  <c r="D52" i="16"/>
  <c r="B52" i="16"/>
  <c r="N51" i="16"/>
  <c r="K51" i="16"/>
  <c r="I51" i="16"/>
  <c r="H51" i="16"/>
  <c r="F51" i="16"/>
  <c r="D51" i="16"/>
  <c r="B51" i="16"/>
  <c r="M80" i="15" l="1"/>
  <c r="N80" i="15" s="1"/>
  <c r="H80" i="15"/>
  <c r="N79" i="15"/>
  <c r="M79" i="15"/>
  <c r="H79" i="15"/>
  <c r="M78" i="15"/>
  <c r="N78" i="15" s="1"/>
  <c r="H78" i="15"/>
  <c r="M77" i="15"/>
  <c r="N77" i="15" s="1"/>
  <c r="H77" i="15"/>
  <c r="M76" i="15"/>
  <c r="N76" i="15" s="1"/>
  <c r="H76" i="15"/>
  <c r="N75" i="15"/>
  <c r="M75" i="15"/>
  <c r="H75" i="15"/>
  <c r="M74" i="15"/>
  <c r="N74" i="15" s="1"/>
  <c r="H74" i="15"/>
  <c r="M73" i="15"/>
  <c r="N73" i="15" s="1"/>
  <c r="H73" i="15"/>
  <c r="M72" i="15"/>
  <c r="N72" i="15" s="1"/>
  <c r="H72" i="15"/>
  <c r="N71" i="15"/>
  <c r="M71" i="15"/>
  <c r="H71" i="15"/>
  <c r="M70" i="15"/>
  <c r="N70" i="15" s="1"/>
  <c r="H70" i="15"/>
  <c r="M69" i="15"/>
  <c r="N69" i="15" s="1"/>
  <c r="H69" i="15"/>
  <c r="M68" i="15"/>
  <c r="N68" i="15" s="1"/>
  <c r="H68" i="15"/>
  <c r="N67" i="15"/>
  <c r="M67" i="15"/>
  <c r="H67" i="15"/>
  <c r="M66" i="15"/>
  <c r="N66" i="15" s="1"/>
  <c r="H66" i="15"/>
  <c r="M65" i="15"/>
  <c r="N65" i="15" s="1"/>
  <c r="H65" i="15"/>
  <c r="M64" i="15"/>
  <c r="N64" i="15" s="1"/>
  <c r="H64" i="15"/>
  <c r="N63" i="15"/>
  <c r="M63" i="15"/>
  <c r="H63" i="15"/>
  <c r="M62" i="15"/>
  <c r="N62" i="15" s="1"/>
  <c r="H62" i="15"/>
  <c r="M61" i="15"/>
  <c r="N61" i="15" s="1"/>
  <c r="H61" i="15"/>
  <c r="M60" i="15"/>
  <c r="N60" i="15" s="1"/>
  <c r="H60" i="15"/>
  <c r="N59" i="15"/>
  <c r="M59" i="15"/>
  <c r="H59" i="15"/>
  <c r="M58" i="15"/>
  <c r="N58" i="15" s="1"/>
  <c r="H58" i="15"/>
  <c r="M57" i="15"/>
  <c r="N57" i="15" s="1"/>
  <c r="H57" i="15"/>
  <c r="M56" i="15"/>
  <c r="N56" i="15" s="1"/>
  <c r="H56" i="15"/>
  <c r="N55" i="15"/>
  <c r="M55" i="15"/>
  <c r="H55" i="15"/>
  <c r="M54" i="15"/>
  <c r="N54" i="15" s="1"/>
  <c r="H54" i="15"/>
  <c r="M53" i="15"/>
  <c r="N53" i="15" s="1"/>
  <c r="H53" i="15"/>
  <c r="N52" i="15"/>
  <c r="M52" i="15"/>
  <c r="H52" i="15"/>
  <c r="N51" i="15"/>
  <c r="M51" i="15"/>
  <c r="H51" i="15"/>
  <c r="M36" i="15" l="1"/>
  <c r="N36" i="15" s="1"/>
  <c r="H36" i="15"/>
  <c r="H30" i="15" l="1"/>
  <c r="H29" i="15"/>
  <c r="H27" i="15" l="1"/>
  <c r="M26" i="15" l="1"/>
  <c r="N26" i="15" s="1"/>
  <c r="H26" i="15"/>
  <c r="S3" i="16" l="1"/>
  <c r="N50" i="16" l="1"/>
  <c r="K50" i="16"/>
  <c r="I50" i="16"/>
  <c r="H50" i="16"/>
  <c r="F50" i="16"/>
  <c r="D50" i="16"/>
  <c r="B50" i="16"/>
  <c r="K49" i="16"/>
  <c r="I49" i="16"/>
  <c r="F49" i="16"/>
  <c r="D49" i="16"/>
  <c r="B49" i="16"/>
  <c r="K48" i="16"/>
  <c r="I48" i="16"/>
  <c r="F48" i="16"/>
  <c r="D48" i="16"/>
  <c r="B48" i="16"/>
  <c r="K47" i="16"/>
  <c r="I47" i="16"/>
  <c r="F47" i="16"/>
  <c r="D47" i="16"/>
  <c r="B47" i="16"/>
  <c r="K46" i="16"/>
  <c r="I46" i="16"/>
  <c r="F46" i="16"/>
  <c r="D46" i="16"/>
  <c r="B46" i="16"/>
  <c r="K45" i="16"/>
  <c r="I45" i="16"/>
  <c r="F45" i="16"/>
  <c r="D45" i="16"/>
  <c r="B45" i="16"/>
  <c r="K44" i="16"/>
  <c r="I44" i="16"/>
  <c r="F44" i="16"/>
  <c r="D44" i="16"/>
  <c r="B44" i="16"/>
  <c r="K43" i="16"/>
  <c r="I43" i="16"/>
  <c r="F43" i="16"/>
  <c r="D43" i="16"/>
  <c r="B43" i="16"/>
  <c r="K42" i="16"/>
  <c r="I42" i="16"/>
  <c r="F42" i="16"/>
  <c r="D42" i="16"/>
  <c r="B42" i="16"/>
  <c r="K41" i="16"/>
  <c r="I41" i="16"/>
  <c r="F41" i="16"/>
  <c r="D41" i="16"/>
  <c r="B41" i="16"/>
  <c r="K40" i="16"/>
  <c r="I40" i="16"/>
  <c r="F40" i="16"/>
  <c r="D40" i="16"/>
  <c r="B40" i="16"/>
  <c r="K39" i="16"/>
  <c r="I39" i="16"/>
  <c r="F39" i="16"/>
  <c r="D39" i="16"/>
  <c r="B39" i="16"/>
  <c r="K38" i="16"/>
  <c r="I38" i="16"/>
  <c r="F38" i="16"/>
  <c r="D38" i="16"/>
  <c r="B38" i="16"/>
  <c r="K37" i="16"/>
  <c r="I37" i="16"/>
  <c r="F37" i="16"/>
  <c r="D37" i="16"/>
  <c r="B37" i="16"/>
  <c r="K36" i="16"/>
  <c r="I36" i="16"/>
  <c r="F36" i="16"/>
  <c r="D36" i="16"/>
  <c r="B36" i="16"/>
  <c r="K35" i="16"/>
  <c r="I35" i="16"/>
  <c r="F35" i="16"/>
  <c r="D35" i="16"/>
  <c r="B35" i="16"/>
  <c r="K34" i="16"/>
  <c r="I34" i="16"/>
  <c r="F34" i="16"/>
  <c r="D34" i="16"/>
  <c r="B34" i="16"/>
  <c r="K33" i="16"/>
  <c r="I33" i="16"/>
  <c r="F33" i="16"/>
  <c r="D33" i="16"/>
  <c r="B33" i="16"/>
  <c r="K32" i="16"/>
  <c r="I32" i="16"/>
  <c r="F32" i="16"/>
  <c r="D32" i="16"/>
  <c r="B32" i="16"/>
  <c r="K31" i="16"/>
  <c r="I31" i="16"/>
  <c r="F31" i="16"/>
  <c r="D31" i="16"/>
  <c r="B31" i="16"/>
  <c r="K30" i="16"/>
  <c r="I30" i="16"/>
  <c r="F30" i="16"/>
  <c r="D30" i="16"/>
  <c r="B30" i="16"/>
  <c r="K29" i="16"/>
  <c r="I29" i="16"/>
  <c r="F29" i="16"/>
  <c r="D29" i="16"/>
  <c r="B29" i="16"/>
  <c r="K28" i="16"/>
  <c r="I28" i="16"/>
  <c r="F28" i="16"/>
  <c r="D28" i="16"/>
  <c r="B28" i="16"/>
  <c r="K27" i="16"/>
  <c r="I27" i="16"/>
  <c r="H27" i="16"/>
  <c r="F27" i="16"/>
  <c r="D27" i="16"/>
  <c r="B27" i="16"/>
  <c r="N26" i="16"/>
  <c r="K26" i="16"/>
  <c r="I26" i="16"/>
  <c r="H26" i="16"/>
  <c r="F26" i="16"/>
  <c r="D26" i="16"/>
  <c r="B26" i="16"/>
  <c r="K25" i="16"/>
  <c r="I25" i="16"/>
  <c r="F25" i="16"/>
  <c r="D25" i="16"/>
  <c r="B25" i="16"/>
  <c r="K24" i="16"/>
  <c r="I24" i="16"/>
  <c r="F24" i="16"/>
  <c r="D24" i="16"/>
  <c r="B24" i="16"/>
  <c r="K23" i="16"/>
  <c r="I23" i="16"/>
  <c r="F23" i="16"/>
  <c r="D23" i="16"/>
  <c r="B23" i="16"/>
  <c r="K22" i="16"/>
  <c r="I22" i="16"/>
  <c r="F22" i="16"/>
  <c r="D22" i="16"/>
  <c r="B22" i="16"/>
  <c r="K21" i="16"/>
  <c r="I21" i="16"/>
  <c r="F21" i="16"/>
  <c r="D21" i="16"/>
  <c r="B21" i="16"/>
  <c r="K20" i="16"/>
  <c r="I20" i="16"/>
  <c r="F20" i="16"/>
  <c r="D20" i="16"/>
  <c r="B20" i="16"/>
  <c r="K19" i="16"/>
  <c r="I19" i="16"/>
  <c r="F19" i="16"/>
  <c r="D19" i="16"/>
  <c r="B19" i="16"/>
  <c r="K18" i="16"/>
  <c r="I18" i="16"/>
  <c r="F18" i="16"/>
  <c r="D18" i="16"/>
  <c r="B18" i="16"/>
  <c r="K17" i="16"/>
  <c r="I17" i="16"/>
  <c r="F17" i="16"/>
  <c r="D17" i="16"/>
  <c r="B17" i="16"/>
  <c r="K16" i="16"/>
  <c r="I16" i="16"/>
  <c r="F16" i="16"/>
  <c r="D16" i="16"/>
  <c r="B16" i="16"/>
  <c r="K15" i="16"/>
  <c r="I15" i="16"/>
  <c r="F15" i="16"/>
  <c r="D15" i="16"/>
  <c r="B15" i="16"/>
  <c r="K14" i="16"/>
  <c r="I14" i="16"/>
  <c r="F14" i="16"/>
  <c r="D14" i="16"/>
  <c r="B14" i="16"/>
  <c r="K13" i="16"/>
  <c r="I13" i="16"/>
  <c r="F13" i="16"/>
  <c r="D13" i="16"/>
  <c r="B13" i="16"/>
  <c r="K12" i="16"/>
  <c r="I12" i="16"/>
  <c r="F12" i="16"/>
  <c r="D12" i="16"/>
  <c r="B12" i="16"/>
  <c r="K11" i="16"/>
  <c r="I11" i="16"/>
  <c r="F11" i="16"/>
  <c r="D11" i="16"/>
  <c r="B11" i="16"/>
  <c r="K10" i="16"/>
  <c r="I10" i="16"/>
  <c r="F10" i="16"/>
  <c r="D10" i="16"/>
  <c r="B10" i="16"/>
  <c r="N9" i="16"/>
  <c r="B9" i="16"/>
  <c r="K9" i="16"/>
  <c r="I9" i="16"/>
  <c r="H9" i="16"/>
  <c r="F9" i="16"/>
  <c r="D9" i="16"/>
  <c r="H9" i="15"/>
  <c r="M50" i="15" l="1"/>
  <c r="N50" i="15" s="1"/>
  <c r="H50" i="15"/>
  <c r="M49" i="15"/>
  <c r="N49" i="15" s="1"/>
  <c r="N49" i="16" s="1"/>
  <c r="H49" i="15"/>
  <c r="H49" i="16" s="1"/>
  <c r="M48" i="15"/>
  <c r="N48" i="15" s="1"/>
  <c r="N48" i="16" s="1"/>
  <c r="H48" i="15"/>
  <c r="H48" i="16" s="1"/>
  <c r="M47" i="15"/>
  <c r="N47" i="15" s="1"/>
  <c r="N47" i="16" s="1"/>
  <c r="H47" i="15"/>
  <c r="H47" i="16" s="1"/>
  <c r="M46" i="15"/>
  <c r="N46" i="15" s="1"/>
  <c r="N46" i="16" s="1"/>
  <c r="H46" i="15"/>
  <c r="H46" i="16" s="1"/>
  <c r="N45" i="15"/>
  <c r="N45" i="16" s="1"/>
  <c r="M45" i="15"/>
  <c r="H45" i="15"/>
  <c r="H45" i="16" s="1"/>
  <c r="M44" i="15"/>
  <c r="N44" i="15" s="1"/>
  <c r="N44" i="16" s="1"/>
  <c r="H44" i="15"/>
  <c r="H44" i="16" s="1"/>
  <c r="M43" i="15"/>
  <c r="N43" i="15" s="1"/>
  <c r="N43" i="16" s="1"/>
  <c r="H43" i="15"/>
  <c r="H43" i="16" s="1"/>
  <c r="M42" i="15"/>
  <c r="N42" i="15" s="1"/>
  <c r="N42" i="16" s="1"/>
  <c r="H42" i="15"/>
  <c r="H42" i="16" s="1"/>
  <c r="N41" i="15"/>
  <c r="N41" i="16" s="1"/>
  <c r="M41" i="15"/>
  <c r="H41" i="15"/>
  <c r="H41" i="16" s="1"/>
  <c r="M40" i="15"/>
  <c r="N40" i="15" s="1"/>
  <c r="N40" i="16" s="1"/>
  <c r="H40" i="15"/>
  <c r="H40" i="16" s="1"/>
  <c r="M39" i="15"/>
  <c r="N39" i="15" s="1"/>
  <c r="N39" i="16" s="1"/>
  <c r="H39" i="15"/>
  <c r="H39" i="16" s="1"/>
  <c r="M38" i="15"/>
  <c r="N38" i="15" s="1"/>
  <c r="N38" i="16" s="1"/>
  <c r="H38" i="15"/>
  <c r="H38" i="16" s="1"/>
  <c r="M37" i="15"/>
  <c r="N37" i="15" s="1"/>
  <c r="N37" i="16" s="1"/>
  <c r="H37" i="15"/>
  <c r="H37" i="16" s="1"/>
  <c r="N36" i="16"/>
  <c r="H36" i="16"/>
  <c r="M35" i="15"/>
  <c r="N35" i="15" s="1"/>
  <c r="N35" i="16" s="1"/>
  <c r="H35" i="15"/>
  <c r="H35" i="16" s="1"/>
  <c r="M34" i="15"/>
  <c r="N34" i="15" s="1"/>
  <c r="N34" i="16" s="1"/>
  <c r="H34" i="15"/>
  <c r="H34" i="16" s="1"/>
  <c r="M33" i="15"/>
  <c r="N33" i="15" s="1"/>
  <c r="N33" i="16" s="1"/>
  <c r="H33" i="15"/>
  <c r="H33" i="16" s="1"/>
  <c r="M32" i="15"/>
  <c r="N32" i="15" s="1"/>
  <c r="N32" i="16" s="1"/>
  <c r="H32" i="15"/>
  <c r="H32" i="16" s="1"/>
  <c r="M31" i="15"/>
  <c r="N31" i="15" s="1"/>
  <c r="N31" i="16" s="1"/>
  <c r="H31" i="15"/>
  <c r="H31" i="16" s="1"/>
  <c r="M30" i="15"/>
  <c r="N30" i="15" s="1"/>
  <c r="N30" i="16" s="1"/>
  <c r="H30" i="16"/>
  <c r="N29" i="15"/>
  <c r="N29" i="16" s="1"/>
  <c r="M29" i="15"/>
  <c r="H29" i="16"/>
  <c r="M28" i="15"/>
  <c r="N28" i="15" s="1"/>
  <c r="N28" i="16" s="1"/>
  <c r="H28" i="15"/>
  <c r="H28" i="16" s="1"/>
  <c r="M27" i="15"/>
  <c r="N27" i="15" s="1"/>
  <c r="N27" i="16" s="1"/>
  <c r="M25" i="15"/>
  <c r="N25" i="15" s="1"/>
  <c r="N25" i="16" s="1"/>
  <c r="H25" i="15"/>
  <c r="H25" i="16" s="1"/>
  <c r="M24" i="15"/>
  <c r="N24" i="15" s="1"/>
  <c r="N24" i="16" s="1"/>
  <c r="H24" i="15"/>
  <c r="H24" i="16" s="1"/>
  <c r="M23" i="15"/>
  <c r="N23" i="15" s="1"/>
  <c r="N23" i="16" s="1"/>
  <c r="H23" i="15"/>
  <c r="H23" i="16" s="1"/>
  <c r="M22" i="15"/>
  <c r="N22" i="15" s="1"/>
  <c r="N22" i="16" s="1"/>
  <c r="H22" i="15"/>
  <c r="H22" i="16" s="1"/>
  <c r="M21" i="15"/>
  <c r="N21" i="15" s="1"/>
  <c r="N21" i="16" s="1"/>
  <c r="H21" i="15"/>
  <c r="H21" i="16" s="1"/>
  <c r="M20" i="15"/>
  <c r="N20" i="15" s="1"/>
  <c r="N20" i="16" s="1"/>
  <c r="H20" i="15"/>
  <c r="H20" i="16" s="1"/>
  <c r="M19" i="15"/>
  <c r="N19" i="15" s="1"/>
  <c r="N19" i="16" s="1"/>
  <c r="H19" i="15"/>
  <c r="H19" i="16" s="1"/>
  <c r="M18" i="15" l="1"/>
  <c r="N18" i="15" s="1"/>
  <c r="N18" i="16" s="1"/>
  <c r="H18" i="15"/>
  <c r="H18" i="16" s="1"/>
  <c r="M17" i="15"/>
  <c r="N17" i="15" s="1"/>
  <c r="N17" i="16" s="1"/>
  <c r="H17" i="15"/>
  <c r="H17" i="16" s="1"/>
  <c r="M16" i="15"/>
  <c r="N16" i="15" s="1"/>
  <c r="N16" i="16" s="1"/>
  <c r="H16" i="15"/>
  <c r="H16" i="16" s="1"/>
  <c r="M15" i="15"/>
  <c r="N15" i="15" s="1"/>
  <c r="N15" i="16" s="1"/>
  <c r="H15" i="15"/>
  <c r="H15" i="16" s="1"/>
  <c r="M14" i="15"/>
  <c r="N14" i="15" s="1"/>
  <c r="N14" i="16" s="1"/>
  <c r="H14" i="15"/>
  <c r="H14" i="16" s="1"/>
  <c r="M13" i="15"/>
  <c r="N13" i="15" s="1"/>
  <c r="N13" i="16" s="1"/>
  <c r="H13" i="15"/>
  <c r="H13" i="16" s="1"/>
  <c r="M12" i="15"/>
  <c r="N12" i="15" s="1"/>
  <c r="N12" i="16" s="1"/>
  <c r="H12" i="15"/>
  <c r="H12" i="16" s="1"/>
  <c r="M11" i="15"/>
  <c r="N11" i="15" s="1"/>
  <c r="N11" i="16" s="1"/>
  <c r="H11" i="15"/>
  <c r="H11" i="16" s="1"/>
  <c r="M10" i="15"/>
  <c r="N10" i="15" s="1"/>
  <c r="N10" i="16" s="1"/>
  <c r="H10" i="15"/>
  <c r="H10" i="16" s="1"/>
  <c r="M9" i="15"/>
  <c r="N9" i="15" s="1"/>
  <c r="H287" i="12" l="1"/>
  <c r="H275" i="12" l="1"/>
  <c r="H273" i="12" l="1"/>
  <c r="H271" i="12" l="1"/>
  <c r="H262" i="12" l="1"/>
  <c r="H261" i="12"/>
  <c r="H252" i="12" l="1"/>
  <c r="K300" i="13" l="1"/>
  <c r="I300" i="13"/>
  <c r="F300" i="13"/>
  <c r="D300" i="13"/>
  <c r="B300" i="13"/>
  <c r="K299" i="13"/>
  <c r="I299" i="13"/>
  <c r="F299" i="13"/>
  <c r="D299" i="13"/>
  <c r="B299" i="13"/>
  <c r="K298" i="13"/>
  <c r="I298" i="13"/>
  <c r="F298" i="13"/>
  <c r="D298" i="13"/>
  <c r="B298" i="13"/>
  <c r="K297" i="13"/>
  <c r="I297" i="13"/>
  <c r="F297" i="13"/>
  <c r="D297" i="13"/>
  <c r="B297" i="13"/>
  <c r="K296" i="13"/>
  <c r="I296" i="13"/>
  <c r="F296" i="13"/>
  <c r="D296" i="13"/>
  <c r="B296" i="13"/>
  <c r="K295" i="13"/>
  <c r="I295" i="13"/>
  <c r="F295" i="13"/>
  <c r="D295" i="13"/>
  <c r="B295" i="13"/>
  <c r="K294" i="13"/>
  <c r="I294" i="13"/>
  <c r="F294" i="13"/>
  <c r="D294" i="13"/>
  <c r="B294" i="13"/>
  <c r="K293" i="13"/>
  <c r="I293" i="13"/>
  <c r="F293" i="13"/>
  <c r="D293" i="13"/>
  <c r="B293" i="13"/>
  <c r="K292" i="13"/>
  <c r="I292" i="13"/>
  <c r="F292" i="13"/>
  <c r="D292" i="13"/>
  <c r="B292" i="13"/>
  <c r="K291" i="13"/>
  <c r="I291" i="13"/>
  <c r="F291" i="13"/>
  <c r="D291" i="13"/>
  <c r="B291" i="13"/>
  <c r="K290" i="13"/>
  <c r="I290" i="13"/>
  <c r="F290" i="13"/>
  <c r="D290" i="13"/>
  <c r="B290" i="13"/>
  <c r="K289" i="13"/>
  <c r="I289" i="13"/>
  <c r="F289" i="13"/>
  <c r="D289" i="13"/>
  <c r="B289" i="13"/>
  <c r="K288" i="13"/>
  <c r="I288" i="13"/>
  <c r="F288" i="13"/>
  <c r="D288" i="13"/>
  <c r="B288" i="13"/>
  <c r="K287" i="13"/>
  <c r="I287" i="13"/>
  <c r="F287" i="13"/>
  <c r="D287" i="13"/>
  <c r="B287" i="13"/>
  <c r="K286" i="13"/>
  <c r="I286" i="13"/>
  <c r="F286" i="13"/>
  <c r="D286" i="13"/>
  <c r="B286" i="13"/>
  <c r="K285" i="13"/>
  <c r="I285" i="13"/>
  <c r="F285" i="13"/>
  <c r="D285" i="13"/>
  <c r="B285" i="13"/>
  <c r="K284" i="13"/>
  <c r="I284" i="13"/>
  <c r="F284" i="13"/>
  <c r="D284" i="13"/>
  <c r="B284" i="13"/>
  <c r="K283" i="13"/>
  <c r="I283" i="13"/>
  <c r="F283" i="13"/>
  <c r="D283" i="13"/>
  <c r="B283" i="13"/>
  <c r="K282" i="13"/>
  <c r="I282" i="13"/>
  <c r="F282" i="13"/>
  <c r="D282" i="13"/>
  <c r="B282" i="13"/>
  <c r="K281" i="13"/>
  <c r="I281" i="13"/>
  <c r="F281" i="13"/>
  <c r="D281" i="13"/>
  <c r="B281" i="13"/>
  <c r="K280" i="13"/>
  <c r="I280" i="13"/>
  <c r="F280" i="13"/>
  <c r="D280" i="13"/>
  <c r="B280" i="13"/>
  <c r="K279" i="13"/>
  <c r="I279" i="13"/>
  <c r="F279" i="13"/>
  <c r="D279" i="13"/>
  <c r="B279" i="13"/>
  <c r="K278" i="13"/>
  <c r="I278" i="13"/>
  <c r="F278" i="13"/>
  <c r="D278" i="13"/>
  <c r="B278" i="13"/>
  <c r="K277" i="13"/>
  <c r="I277" i="13"/>
  <c r="F277" i="13"/>
  <c r="D277" i="13"/>
  <c r="B277" i="13"/>
  <c r="K276" i="13"/>
  <c r="I276" i="13"/>
  <c r="F276" i="13"/>
  <c r="D276" i="13"/>
  <c r="B276" i="13"/>
  <c r="K275" i="13"/>
  <c r="I275" i="13"/>
  <c r="F275" i="13"/>
  <c r="D275" i="13"/>
  <c r="B275" i="13"/>
  <c r="K274" i="13"/>
  <c r="I274" i="13"/>
  <c r="F274" i="13"/>
  <c r="D274" i="13"/>
  <c r="B274" i="13"/>
  <c r="K273" i="13"/>
  <c r="I273" i="13"/>
  <c r="F273" i="13"/>
  <c r="D273" i="13"/>
  <c r="B273" i="13"/>
  <c r="K272" i="13"/>
  <c r="I272" i="13"/>
  <c r="F272" i="13"/>
  <c r="D272" i="13"/>
  <c r="B272" i="13"/>
  <c r="K271" i="13"/>
  <c r="I271" i="13"/>
  <c r="F271" i="13"/>
  <c r="D271" i="13"/>
  <c r="B271" i="13"/>
  <c r="K270" i="13"/>
  <c r="I270" i="13"/>
  <c r="F270" i="13"/>
  <c r="D270" i="13"/>
  <c r="B270" i="13"/>
  <c r="K269" i="13"/>
  <c r="I269" i="13"/>
  <c r="F269" i="13"/>
  <c r="D269" i="13"/>
  <c r="B269" i="13"/>
  <c r="K268" i="13"/>
  <c r="I268" i="13"/>
  <c r="F268" i="13"/>
  <c r="D268" i="13"/>
  <c r="B268" i="13"/>
  <c r="K267" i="13"/>
  <c r="I267" i="13"/>
  <c r="F267" i="13"/>
  <c r="D267" i="13"/>
  <c r="B267" i="13"/>
  <c r="K266" i="13"/>
  <c r="I266" i="13"/>
  <c r="F266" i="13"/>
  <c r="D266" i="13"/>
  <c r="B266" i="13"/>
  <c r="K265" i="13"/>
  <c r="I265" i="13"/>
  <c r="F265" i="13"/>
  <c r="D265" i="13"/>
  <c r="B265" i="13"/>
  <c r="K264" i="13"/>
  <c r="I264" i="13"/>
  <c r="F264" i="13"/>
  <c r="D264" i="13"/>
  <c r="B264" i="13"/>
  <c r="K263" i="13"/>
  <c r="I263" i="13"/>
  <c r="F263" i="13"/>
  <c r="D263" i="13"/>
  <c r="B263" i="13"/>
  <c r="K262" i="13"/>
  <c r="I262" i="13"/>
  <c r="F262" i="13"/>
  <c r="D262" i="13"/>
  <c r="B262" i="13"/>
  <c r="K261" i="13"/>
  <c r="I261" i="13"/>
  <c r="F261" i="13"/>
  <c r="D261" i="13"/>
  <c r="B261" i="13"/>
  <c r="K260" i="13"/>
  <c r="I260" i="13"/>
  <c r="F260" i="13"/>
  <c r="D260" i="13"/>
  <c r="B260" i="13"/>
  <c r="K259" i="13"/>
  <c r="I259" i="13"/>
  <c r="F259" i="13"/>
  <c r="D259" i="13"/>
  <c r="B259" i="13"/>
  <c r="K258" i="13"/>
  <c r="I258" i="13"/>
  <c r="F258" i="13"/>
  <c r="D258" i="13"/>
  <c r="B258" i="13"/>
  <c r="K257" i="13"/>
  <c r="I257" i="13"/>
  <c r="F257" i="13"/>
  <c r="D257" i="13"/>
  <c r="B257" i="13"/>
  <c r="K256" i="13"/>
  <c r="I256" i="13"/>
  <c r="F256" i="13"/>
  <c r="D256" i="13"/>
  <c r="B256" i="13"/>
  <c r="K255" i="13"/>
  <c r="I255" i="13"/>
  <c r="F255" i="13"/>
  <c r="D255" i="13"/>
  <c r="B255" i="13"/>
  <c r="K254" i="13"/>
  <c r="I254" i="13"/>
  <c r="F254" i="13"/>
  <c r="D254" i="13"/>
  <c r="B254" i="13"/>
  <c r="K253" i="13"/>
  <c r="I253" i="13"/>
  <c r="F253" i="13"/>
  <c r="D253" i="13"/>
  <c r="B253" i="13"/>
  <c r="K252" i="13"/>
  <c r="I252" i="13"/>
  <c r="F252" i="13"/>
  <c r="D252" i="13"/>
  <c r="B252" i="13"/>
  <c r="K251" i="13"/>
  <c r="I251" i="13"/>
  <c r="F251" i="13"/>
  <c r="D251" i="13"/>
  <c r="B251" i="13"/>
  <c r="M300" i="12"/>
  <c r="N300" i="12" s="1"/>
  <c r="N300" i="13" s="1"/>
  <c r="H300" i="12"/>
  <c r="H300" i="13" s="1"/>
  <c r="M299" i="12"/>
  <c r="N299" i="12" s="1"/>
  <c r="N299" i="13" s="1"/>
  <c r="H299" i="12"/>
  <c r="H299" i="13" s="1"/>
  <c r="M298" i="12"/>
  <c r="N298" i="12" s="1"/>
  <c r="N298" i="13" s="1"/>
  <c r="H298" i="12"/>
  <c r="H298" i="13" s="1"/>
  <c r="M297" i="12"/>
  <c r="N297" i="12" s="1"/>
  <c r="N297" i="13" s="1"/>
  <c r="H297" i="12"/>
  <c r="H297" i="13" s="1"/>
  <c r="M296" i="12"/>
  <c r="N296" i="12" s="1"/>
  <c r="N296" i="13" s="1"/>
  <c r="H296" i="12"/>
  <c r="H296" i="13" s="1"/>
  <c r="M295" i="12"/>
  <c r="N295" i="12" s="1"/>
  <c r="N295" i="13" s="1"/>
  <c r="H295" i="12"/>
  <c r="H295" i="13" s="1"/>
  <c r="M294" i="12"/>
  <c r="N294" i="12" s="1"/>
  <c r="N294" i="13" s="1"/>
  <c r="H294" i="12"/>
  <c r="H294" i="13" s="1"/>
  <c r="M293" i="12"/>
  <c r="N293" i="12" s="1"/>
  <c r="N293" i="13" s="1"/>
  <c r="H293" i="12"/>
  <c r="H293" i="13" s="1"/>
  <c r="M292" i="12"/>
  <c r="N292" i="12" s="1"/>
  <c r="N292" i="13" s="1"/>
  <c r="H292" i="12"/>
  <c r="H292" i="13" s="1"/>
  <c r="M291" i="12"/>
  <c r="N291" i="12" s="1"/>
  <c r="N291" i="13" s="1"/>
  <c r="H291" i="12"/>
  <c r="H291" i="13" s="1"/>
  <c r="M290" i="12"/>
  <c r="N290" i="12" s="1"/>
  <c r="N290" i="13" s="1"/>
  <c r="H290" i="12"/>
  <c r="H290" i="13" s="1"/>
  <c r="M289" i="12"/>
  <c r="N289" i="12" s="1"/>
  <c r="N289" i="13" s="1"/>
  <c r="H289" i="12"/>
  <c r="H289" i="13" s="1"/>
  <c r="M288" i="12"/>
  <c r="N288" i="12" s="1"/>
  <c r="N288" i="13" s="1"/>
  <c r="H288" i="12"/>
  <c r="H288" i="13" s="1"/>
  <c r="M287" i="12"/>
  <c r="N287" i="12" s="1"/>
  <c r="N287" i="13" s="1"/>
  <c r="H287" i="13"/>
  <c r="M286" i="12"/>
  <c r="N286" i="12" s="1"/>
  <c r="N286" i="13" s="1"/>
  <c r="H286" i="12"/>
  <c r="H286" i="13" s="1"/>
  <c r="M285" i="12"/>
  <c r="N285" i="12" s="1"/>
  <c r="N285" i="13" s="1"/>
  <c r="H285" i="12"/>
  <c r="H285" i="13" s="1"/>
  <c r="M284" i="12"/>
  <c r="N284" i="12" s="1"/>
  <c r="N284" i="13" s="1"/>
  <c r="H284" i="12"/>
  <c r="H284" i="13" s="1"/>
  <c r="M283" i="12"/>
  <c r="N283" i="12" s="1"/>
  <c r="N283" i="13" s="1"/>
  <c r="H283" i="12"/>
  <c r="H283" i="13" s="1"/>
  <c r="M282" i="12"/>
  <c r="N282" i="12" s="1"/>
  <c r="N282" i="13" s="1"/>
  <c r="H282" i="12"/>
  <c r="H282" i="13" s="1"/>
  <c r="M281" i="12"/>
  <c r="N281" i="12" s="1"/>
  <c r="N281" i="13" s="1"/>
  <c r="H281" i="12"/>
  <c r="H281" i="13" s="1"/>
  <c r="M280" i="12"/>
  <c r="N280" i="12" s="1"/>
  <c r="N280" i="13" s="1"/>
  <c r="H280" i="12"/>
  <c r="H280" i="13" s="1"/>
  <c r="M279" i="12"/>
  <c r="N279" i="12" s="1"/>
  <c r="N279" i="13" s="1"/>
  <c r="H279" i="12"/>
  <c r="H279" i="13" s="1"/>
  <c r="M278" i="12"/>
  <c r="N278" i="12" s="1"/>
  <c r="N278" i="13" s="1"/>
  <c r="H278" i="12"/>
  <c r="H278" i="13" s="1"/>
  <c r="M277" i="12"/>
  <c r="N277" i="12" s="1"/>
  <c r="N277" i="13" s="1"/>
  <c r="H277" i="12"/>
  <c r="H277" i="13" s="1"/>
  <c r="M276" i="12"/>
  <c r="N276" i="12" s="1"/>
  <c r="N276" i="13" s="1"/>
  <c r="H276" i="12"/>
  <c r="H276" i="13" s="1"/>
  <c r="M275" i="12"/>
  <c r="N275" i="12" s="1"/>
  <c r="N275" i="13" s="1"/>
  <c r="H275" i="13"/>
  <c r="M274" i="12"/>
  <c r="N274" i="12" s="1"/>
  <c r="N274" i="13" s="1"/>
  <c r="H274" i="13"/>
  <c r="M273" i="12"/>
  <c r="N273" i="12" s="1"/>
  <c r="N273" i="13" s="1"/>
  <c r="H273" i="13"/>
  <c r="M272" i="12"/>
  <c r="N272" i="12" s="1"/>
  <c r="N272" i="13" s="1"/>
  <c r="H272" i="12"/>
  <c r="H272" i="13" s="1"/>
  <c r="M271" i="12"/>
  <c r="N271" i="12" s="1"/>
  <c r="N271" i="13" s="1"/>
  <c r="H271" i="13"/>
  <c r="M270" i="12"/>
  <c r="N270" i="12" s="1"/>
  <c r="N270" i="13" s="1"/>
  <c r="H270" i="12"/>
  <c r="H270" i="13" s="1"/>
  <c r="M269" i="12"/>
  <c r="N269" i="12" s="1"/>
  <c r="N269" i="13" s="1"/>
  <c r="H269" i="12"/>
  <c r="H269" i="13" s="1"/>
  <c r="M268" i="12"/>
  <c r="N268" i="12" s="1"/>
  <c r="N268" i="13" s="1"/>
  <c r="H268" i="12"/>
  <c r="H268" i="13" s="1"/>
  <c r="M267" i="12"/>
  <c r="N267" i="12" s="1"/>
  <c r="N267" i="13" s="1"/>
  <c r="H267" i="12"/>
  <c r="H267" i="13" s="1"/>
  <c r="M266" i="12"/>
  <c r="N266" i="12" s="1"/>
  <c r="N266" i="13" s="1"/>
  <c r="H266" i="12"/>
  <c r="H266" i="13" s="1"/>
  <c r="M265" i="12"/>
  <c r="N265" i="12" s="1"/>
  <c r="N265" i="13" s="1"/>
  <c r="H265" i="12"/>
  <c r="H265" i="13" s="1"/>
  <c r="M264" i="12"/>
  <c r="N264" i="12" s="1"/>
  <c r="N264" i="13" s="1"/>
  <c r="H264" i="12"/>
  <c r="H264" i="13" s="1"/>
  <c r="M263" i="12"/>
  <c r="N263" i="12" s="1"/>
  <c r="N263" i="13" s="1"/>
  <c r="H263" i="12"/>
  <c r="H263" i="13" s="1"/>
  <c r="M262" i="12"/>
  <c r="N262" i="12" s="1"/>
  <c r="N262" i="13" s="1"/>
  <c r="H262" i="13"/>
  <c r="M261" i="12"/>
  <c r="N261" i="12" s="1"/>
  <c r="N261" i="13" s="1"/>
  <c r="H261" i="13"/>
  <c r="M260" i="12"/>
  <c r="N260" i="12" s="1"/>
  <c r="N260" i="13" s="1"/>
  <c r="H260" i="12"/>
  <c r="H260" i="13" s="1"/>
  <c r="M259" i="12"/>
  <c r="N259" i="12" s="1"/>
  <c r="N259" i="13" s="1"/>
  <c r="H259" i="12"/>
  <c r="H259" i="13" s="1"/>
  <c r="M258" i="12"/>
  <c r="N258" i="12" s="1"/>
  <c r="N258" i="13" s="1"/>
  <c r="H258" i="12"/>
  <c r="H258" i="13" s="1"/>
  <c r="M257" i="12"/>
  <c r="N257" i="12" s="1"/>
  <c r="N257" i="13" s="1"/>
  <c r="H257" i="12"/>
  <c r="H257" i="13" s="1"/>
  <c r="M256" i="12"/>
  <c r="N256" i="12" s="1"/>
  <c r="N256" i="13" s="1"/>
  <c r="H256" i="12"/>
  <c r="H256" i="13" s="1"/>
  <c r="M255" i="12"/>
  <c r="N255" i="12" s="1"/>
  <c r="N255" i="13" s="1"/>
  <c r="H255" i="12"/>
  <c r="H255" i="13" s="1"/>
  <c r="M254" i="12"/>
  <c r="N254" i="12" s="1"/>
  <c r="N254" i="13" s="1"/>
  <c r="H254" i="12"/>
  <c r="H254" i="13" s="1"/>
  <c r="M253" i="12"/>
  <c r="N253" i="12" s="1"/>
  <c r="N253" i="13" s="1"/>
  <c r="H253" i="12"/>
  <c r="H253" i="13" s="1"/>
  <c r="M252" i="12"/>
  <c r="N252" i="12" s="1"/>
  <c r="N252" i="13" s="1"/>
  <c r="H252" i="13"/>
  <c r="M251" i="12"/>
  <c r="N251" i="12" s="1"/>
  <c r="N251" i="13" s="1"/>
  <c r="H251" i="12"/>
  <c r="H251" i="13" s="1"/>
  <c r="H244" i="12"/>
  <c r="H235" i="12" l="1"/>
  <c r="H234" i="12" l="1"/>
  <c r="H233" i="12"/>
  <c r="H232" i="12"/>
  <c r="H231" i="12"/>
  <c r="H230" i="12" l="1"/>
  <c r="H229" i="12"/>
  <c r="H228" i="12"/>
  <c r="H227" i="12"/>
  <c r="H226" i="12"/>
  <c r="H225" i="12"/>
  <c r="H224" i="12"/>
  <c r="M223" i="12"/>
  <c r="N223" i="12" s="1"/>
  <c r="H223" i="12"/>
  <c r="H222" i="12" l="1"/>
  <c r="H220" i="12" l="1"/>
  <c r="H215" i="12" l="1"/>
  <c r="M213" i="12" l="1"/>
  <c r="N213" i="12" s="1"/>
  <c r="H213" i="12"/>
  <c r="K250" i="13" l="1"/>
  <c r="I250" i="13"/>
  <c r="F250" i="13"/>
  <c r="D250" i="13"/>
  <c r="B250" i="13"/>
  <c r="K249" i="13"/>
  <c r="I249" i="13"/>
  <c r="F249" i="13"/>
  <c r="D249" i="13"/>
  <c r="B249" i="13"/>
  <c r="K248" i="13"/>
  <c r="I248" i="13"/>
  <c r="F248" i="13"/>
  <c r="D248" i="13"/>
  <c r="B248" i="13"/>
  <c r="K247" i="13"/>
  <c r="I247" i="13"/>
  <c r="F247" i="13"/>
  <c r="D247" i="13"/>
  <c r="B247" i="13"/>
  <c r="K246" i="13"/>
  <c r="I246" i="13"/>
  <c r="F246" i="13"/>
  <c r="D246" i="13"/>
  <c r="B246" i="13"/>
  <c r="K245" i="13"/>
  <c r="I245" i="13"/>
  <c r="F245" i="13"/>
  <c r="D245" i="13"/>
  <c r="B245" i="13"/>
  <c r="K244" i="13"/>
  <c r="I244" i="13"/>
  <c r="F244" i="13"/>
  <c r="D244" i="13"/>
  <c r="B244" i="13"/>
  <c r="K243" i="13"/>
  <c r="I243" i="13"/>
  <c r="F243" i="13"/>
  <c r="D243" i="13"/>
  <c r="B243" i="13"/>
  <c r="K242" i="13"/>
  <c r="I242" i="13"/>
  <c r="F242" i="13"/>
  <c r="D242" i="13"/>
  <c r="B242" i="13"/>
  <c r="K241" i="13"/>
  <c r="I241" i="13"/>
  <c r="F241" i="13"/>
  <c r="D241" i="13"/>
  <c r="B241" i="13"/>
  <c r="K240" i="13"/>
  <c r="I240" i="13"/>
  <c r="F240" i="13"/>
  <c r="D240" i="13"/>
  <c r="B240" i="13"/>
  <c r="K239" i="13"/>
  <c r="I239" i="13"/>
  <c r="F239" i="13"/>
  <c r="D239" i="13"/>
  <c r="B239" i="13"/>
  <c r="K238" i="13"/>
  <c r="I238" i="13"/>
  <c r="F238" i="13"/>
  <c r="D238" i="13"/>
  <c r="B238" i="13"/>
  <c r="K237" i="13"/>
  <c r="I237" i="13"/>
  <c r="F237" i="13"/>
  <c r="D237" i="13"/>
  <c r="B237" i="13"/>
  <c r="K236" i="13"/>
  <c r="I236" i="13"/>
  <c r="F236" i="13"/>
  <c r="D236" i="13"/>
  <c r="B236" i="13"/>
  <c r="K235" i="13"/>
  <c r="I235" i="13"/>
  <c r="F235" i="13"/>
  <c r="D235" i="13"/>
  <c r="B235" i="13"/>
  <c r="K234" i="13"/>
  <c r="I234" i="13"/>
  <c r="F234" i="13"/>
  <c r="D234" i="13"/>
  <c r="B234" i="13"/>
  <c r="K233" i="13"/>
  <c r="I233" i="13"/>
  <c r="F233" i="13"/>
  <c r="D233" i="13"/>
  <c r="B233" i="13"/>
  <c r="K232" i="13"/>
  <c r="I232" i="13"/>
  <c r="F232" i="13"/>
  <c r="D232" i="13"/>
  <c r="B232" i="13"/>
  <c r="K231" i="13"/>
  <c r="I231" i="13"/>
  <c r="F231" i="13"/>
  <c r="D231" i="13"/>
  <c r="B231" i="13"/>
  <c r="K230" i="13"/>
  <c r="I230" i="13"/>
  <c r="F230" i="13"/>
  <c r="D230" i="13"/>
  <c r="B230" i="13"/>
  <c r="K229" i="13"/>
  <c r="I229" i="13"/>
  <c r="F229" i="13"/>
  <c r="D229" i="13"/>
  <c r="B229" i="13"/>
  <c r="K228" i="13"/>
  <c r="I228" i="13"/>
  <c r="F228" i="13"/>
  <c r="D228" i="13"/>
  <c r="B228" i="13"/>
  <c r="K227" i="13"/>
  <c r="I227" i="13"/>
  <c r="F227" i="13"/>
  <c r="D227" i="13"/>
  <c r="B227" i="13"/>
  <c r="K226" i="13"/>
  <c r="I226" i="13"/>
  <c r="F226" i="13"/>
  <c r="D226" i="13"/>
  <c r="B226" i="13"/>
  <c r="K225" i="13"/>
  <c r="I225" i="13"/>
  <c r="F225" i="13"/>
  <c r="D225" i="13"/>
  <c r="B225" i="13"/>
  <c r="K224" i="13"/>
  <c r="I224" i="13"/>
  <c r="F224" i="13"/>
  <c r="D224" i="13"/>
  <c r="B224" i="13"/>
  <c r="K223" i="13"/>
  <c r="I223" i="13"/>
  <c r="F223" i="13"/>
  <c r="D223" i="13"/>
  <c r="B223" i="13"/>
  <c r="K222" i="13"/>
  <c r="I222" i="13"/>
  <c r="F222" i="13"/>
  <c r="D222" i="13"/>
  <c r="B222" i="13"/>
  <c r="K221" i="13"/>
  <c r="I221" i="13"/>
  <c r="F221" i="13"/>
  <c r="D221" i="13"/>
  <c r="B221" i="13"/>
  <c r="K220" i="13"/>
  <c r="I220" i="13"/>
  <c r="F220" i="13"/>
  <c r="D220" i="13"/>
  <c r="B220" i="13"/>
  <c r="K219" i="13"/>
  <c r="I219" i="13"/>
  <c r="F219" i="13"/>
  <c r="D219" i="13"/>
  <c r="B219" i="13"/>
  <c r="K218" i="13"/>
  <c r="I218" i="13"/>
  <c r="F218" i="13"/>
  <c r="D218" i="13"/>
  <c r="B218" i="13"/>
  <c r="K217" i="13"/>
  <c r="I217" i="13"/>
  <c r="F217" i="13"/>
  <c r="D217" i="13"/>
  <c r="B217" i="13"/>
  <c r="K216" i="13"/>
  <c r="I216" i="13"/>
  <c r="F216" i="13"/>
  <c r="D216" i="13"/>
  <c r="B216" i="13"/>
  <c r="K215" i="13"/>
  <c r="I215" i="13"/>
  <c r="H215" i="13"/>
  <c r="F215" i="13"/>
  <c r="D215" i="13"/>
  <c r="B215" i="13"/>
  <c r="K214" i="13"/>
  <c r="I214" i="13"/>
  <c r="F214" i="13"/>
  <c r="D214" i="13"/>
  <c r="B214" i="13"/>
  <c r="N213" i="13"/>
  <c r="K213" i="13"/>
  <c r="I213" i="13"/>
  <c r="H213" i="13"/>
  <c r="F213" i="13"/>
  <c r="D213" i="13"/>
  <c r="B213" i="13"/>
  <c r="K212" i="13"/>
  <c r="I212" i="13"/>
  <c r="F212" i="13"/>
  <c r="D212" i="13"/>
  <c r="B212" i="13"/>
  <c r="K211" i="13"/>
  <c r="I211" i="13"/>
  <c r="F211" i="13"/>
  <c r="D211" i="13"/>
  <c r="B211" i="13"/>
  <c r="K210" i="13"/>
  <c r="I210" i="13"/>
  <c r="F210" i="13"/>
  <c r="D210" i="13"/>
  <c r="B210" i="13"/>
  <c r="K209" i="13"/>
  <c r="I209" i="13"/>
  <c r="F209" i="13"/>
  <c r="D209" i="13"/>
  <c r="B209" i="13"/>
  <c r="M250" i="12"/>
  <c r="N250" i="12" s="1"/>
  <c r="N250" i="13" s="1"/>
  <c r="H250" i="12"/>
  <c r="H250" i="13" s="1"/>
  <c r="M249" i="12"/>
  <c r="N249" i="12" s="1"/>
  <c r="N249" i="13" s="1"/>
  <c r="H249" i="13"/>
  <c r="M248" i="12"/>
  <c r="N248" i="12" s="1"/>
  <c r="N248" i="13" s="1"/>
  <c r="H248" i="12"/>
  <c r="H248" i="13" s="1"/>
  <c r="M247" i="12"/>
  <c r="N247" i="12" s="1"/>
  <c r="N247" i="13" s="1"/>
  <c r="H247" i="12"/>
  <c r="H247" i="13" s="1"/>
  <c r="M246" i="12"/>
  <c r="N246" i="12" s="1"/>
  <c r="N246" i="13" s="1"/>
  <c r="H246" i="12"/>
  <c r="H246" i="13" s="1"/>
  <c r="M245" i="12"/>
  <c r="N245" i="12" s="1"/>
  <c r="N245" i="13" s="1"/>
  <c r="H245" i="12"/>
  <c r="H245" i="13" s="1"/>
  <c r="M244" i="12"/>
  <c r="N244" i="12" s="1"/>
  <c r="N244" i="13" s="1"/>
  <c r="H244" i="13"/>
  <c r="M243" i="12"/>
  <c r="N243" i="12" s="1"/>
  <c r="N243" i="13" s="1"/>
  <c r="H243" i="12"/>
  <c r="H243" i="13" s="1"/>
  <c r="M242" i="12"/>
  <c r="N242" i="12" s="1"/>
  <c r="N242" i="13" s="1"/>
  <c r="H242" i="12"/>
  <c r="H242" i="13" s="1"/>
  <c r="M241" i="12"/>
  <c r="N241" i="12" s="1"/>
  <c r="N241" i="13" s="1"/>
  <c r="H241" i="12"/>
  <c r="H241" i="13" s="1"/>
  <c r="M240" i="12"/>
  <c r="N240" i="12" s="1"/>
  <c r="N240" i="13" s="1"/>
  <c r="H240" i="12"/>
  <c r="H240" i="13" s="1"/>
  <c r="M239" i="12"/>
  <c r="N239" i="12" s="1"/>
  <c r="N239" i="13" s="1"/>
  <c r="H239" i="12"/>
  <c r="H239" i="13" s="1"/>
  <c r="M238" i="12"/>
  <c r="N238" i="12" s="1"/>
  <c r="N238" i="13" s="1"/>
  <c r="H238" i="12"/>
  <c r="H238" i="13" s="1"/>
  <c r="M237" i="12"/>
  <c r="N237" i="12" s="1"/>
  <c r="N237" i="13" s="1"/>
  <c r="H237" i="12"/>
  <c r="H237" i="13" s="1"/>
  <c r="M236" i="12"/>
  <c r="N236" i="12" s="1"/>
  <c r="N236" i="13" s="1"/>
  <c r="H236" i="12"/>
  <c r="H236" i="13" s="1"/>
  <c r="M235" i="12"/>
  <c r="N235" i="12" s="1"/>
  <c r="N235" i="13" s="1"/>
  <c r="H235" i="13"/>
  <c r="M234" i="12"/>
  <c r="N234" i="12" s="1"/>
  <c r="N234" i="13" s="1"/>
  <c r="H234" i="13"/>
  <c r="M233" i="12"/>
  <c r="N233" i="12" s="1"/>
  <c r="N233" i="13" s="1"/>
  <c r="H233" i="13"/>
  <c r="M232" i="12"/>
  <c r="N232" i="12" s="1"/>
  <c r="N232" i="13" s="1"/>
  <c r="H232" i="13"/>
  <c r="M231" i="12"/>
  <c r="N231" i="12" s="1"/>
  <c r="N231" i="13" s="1"/>
  <c r="H231" i="13"/>
  <c r="M230" i="12"/>
  <c r="N230" i="12" s="1"/>
  <c r="N230" i="13" s="1"/>
  <c r="H230" i="13"/>
  <c r="M229" i="12"/>
  <c r="N229" i="12" s="1"/>
  <c r="N229" i="13" s="1"/>
  <c r="H229" i="13"/>
  <c r="M228" i="12"/>
  <c r="N228" i="12" s="1"/>
  <c r="N228" i="13" s="1"/>
  <c r="H228" i="13"/>
  <c r="M227" i="12"/>
  <c r="N227" i="12" s="1"/>
  <c r="N227" i="13" s="1"/>
  <c r="H227" i="13"/>
  <c r="M226" i="12"/>
  <c r="N226" i="12" s="1"/>
  <c r="N226" i="13" s="1"/>
  <c r="H226" i="13"/>
  <c r="M225" i="12"/>
  <c r="N225" i="12" s="1"/>
  <c r="N225" i="13" s="1"/>
  <c r="H225" i="13"/>
  <c r="M224" i="12"/>
  <c r="N224" i="12" s="1"/>
  <c r="N224" i="13" s="1"/>
  <c r="H224" i="13"/>
  <c r="N223" i="13"/>
  <c r="H223" i="13"/>
  <c r="M222" i="12"/>
  <c r="N222" i="12" s="1"/>
  <c r="N222" i="13" s="1"/>
  <c r="H222" i="13"/>
  <c r="M221" i="12"/>
  <c r="N221" i="12" s="1"/>
  <c r="N221" i="13" s="1"/>
  <c r="H221" i="13"/>
  <c r="M220" i="12"/>
  <c r="N220" i="12" s="1"/>
  <c r="N220" i="13" s="1"/>
  <c r="H220" i="13"/>
  <c r="M219" i="12"/>
  <c r="N219" i="12" s="1"/>
  <c r="N219" i="13" s="1"/>
  <c r="H219" i="12"/>
  <c r="H219" i="13" s="1"/>
  <c r="M218" i="12"/>
  <c r="N218" i="12" s="1"/>
  <c r="N218" i="13" s="1"/>
  <c r="H218" i="12"/>
  <c r="H218" i="13" s="1"/>
  <c r="M217" i="12"/>
  <c r="N217" i="12" s="1"/>
  <c r="N217" i="13" s="1"/>
  <c r="H217" i="12"/>
  <c r="H217" i="13" s="1"/>
  <c r="M216" i="12"/>
  <c r="N216" i="12" s="1"/>
  <c r="N216" i="13" s="1"/>
  <c r="H216" i="12"/>
  <c r="H216" i="13" s="1"/>
  <c r="M215" i="12"/>
  <c r="N215" i="12" s="1"/>
  <c r="N215" i="13" s="1"/>
  <c r="M214" i="12"/>
  <c r="N214" i="12" s="1"/>
  <c r="N214" i="13" s="1"/>
  <c r="H214" i="12"/>
  <c r="H214" i="13" s="1"/>
  <c r="M212" i="12"/>
  <c r="N212" i="12" s="1"/>
  <c r="N212" i="13" s="1"/>
  <c r="H212" i="12"/>
  <c r="H212" i="13" s="1"/>
  <c r="M211" i="12"/>
  <c r="N211" i="12" s="1"/>
  <c r="N211" i="13" s="1"/>
  <c r="H211" i="12"/>
  <c r="H211" i="13" s="1"/>
  <c r="M210" i="12"/>
  <c r="N210" i="12" s="1"/>
  <c r="N210" i="13" s="1"/>
  <c r="H210" i="12"/>
  <c r="H210" i="13" s="1"/>
  <c r="M209" i="12"/>
  <c r="N209" i="12" s="1"/>
  <c r="N209" i="13" s="1"/>
  <c r="H209" i="12"/>
  <c r="H209" i="13" s="1"/>
  <c r="H198" i="12" l="1"/>
  <c r="H197" i="12"/>
  <c r="H196" i="12"/>
  <c r="H195" i="12"/>
  <c r="H194" i="12"/>
  <c r="H193" i="12"/>
  <c r="H192" i="12"/>
  <c r="H191" i="12"/>
  <c r="H190" i="12"/>
  <c r="H189" i="12" l="1"/>
  <c r="H188" i="12"/>
  <c r="H187" i="12"/>
  <c r="H186" i="12"/>
  <c r="H182" i="12" l="1"/>
  <c r="H181" i="12" l="1"/>
  <c r="H180" i="12" l="1"/>
  <c r="H179" i="12"/>
  <c r="H172" i="12" l="1"/>
  <c r="H171" i="12" l="1"/>
  <c r="H170" i="12"/>
  <c r="H151" i="12" l="1"/>
  <c r="H142" i="12" l="1"/>
  <c r="H138" i="12" l="1"/>
  <c r="H135" i="12" l="1"/>
  <c r="H134" i="12" l="1"/>
  <c r="H132" i="12" l="1"/>
  <c r="H131" i="12"/>
  <c r="H103" i="12" l="1"/>
  <c r="H102" i="12"/>
  <c r="H101" i="12"/>
  <c r="H100" i="12" l="1"/>
  <c r="M98" i="12" l="1"/>
  <c r="N98" i="12" s="1"/>
  <c r="H98" i="12"/>
  <c r="M95" i="12" l="1"/>
  <c r="N95" i="12" s="1"/>
  <c r="H95" i="12"/>
  <c r="M94" i="12" l="1"/>
  <c r="N94" i="12" s="1"/>
  <c r="H94" i="12"/>
  <c r="M93" i="12" l="1"/>
  <c r="N93" i="12" s="1"/>
  <c r="H93" i="12"/>
  <c r="M92" i="12"/>
  <c r="N92" i="12" s="1"/>
  <c r="H92" i="12"/>
  <c r="M91" i="12" l="1"/>
  <c r="N91" i="12" s="1"/>
  <c r="H91" i="12"/>
  <c r="M88" i="12" l="1"/>
  <c r="N88" i="12" s="1"/>
  <c r="H88" i="12"/>
  <c r="I242" i="6" l="1"/>
  <c r="H45" i="12" l="1"/>
  <c r="H43" i="12" l="1"/>
  <c r="H37" i="12" l="1"/>
  <c r="H38" i="12"/>
  <c r="H39" i="12"/>
  <c r="H34" i="12" l="1"/>
  <c r="H35" i="12"/>
  <c r="H36" i="12"/>
  <c r="H30" i="12" l="1"/>
  <c r="H27" i="12" l="1"/>
  <c r="M10" i="12" l="1"/>
  <c r="M11" i="12"/>
  <c r="N11" i="12" s="1"/>
  <c r="M12" i="12"/>
  <c r="N12" i="12" s="1"/>
  <c r="M13" i="12"/>
  <c r="N13" i="12" s="1"/>
  <c r="M14" i="12"/>
  <c r="M15" i="12"/>
  <c r="N15" i="12" s="1"/>
  <c r="M16" i="12"/>
  <c r="M17" i="12"/>
  <c r="N17" i="12" s="1"/>
  <c r="M18" i="12"/>
  <c r="N18" i="12" s="1"/>
  <c r="M19" i="12"/>
  <c r="N19" i="12" s="1"/>
  <c r="M20" i="12"/>
  <c r="N20" i="12" s="1"/>
  <c r="M21" i="12"/>
  <c r="N21" i="12" s="1"/>
  <c r="M22" i="12"/>
  <c r="N22" i="12" s="1"/>
  <c r="M23" i="12"/>
  <c r="N23" i="12" s="1"/>
  <c r="M24" i="12"/>
  <c r="N24" i="12" s="1"/>
  <c r="M25" i="12"/>
  <c r="N25" i="12" s="1"/>
  <c r="M26" i="12"/>
  <c r="M27" i="12"/>
  <c r="N27" i="12" s="1"/>
  <c r="M28" i="12"/>
  <c r="N28" i="12" s="1"/>
  <c r="M29" i="12"/>
  <c r="N29" i="12" s="1"/>
  <c r="M30" i="12"/>
  <c r="M31" i="12"/>
  <c r="N31" i="12" s="1"/>
  <c r="M32" i="12"/>
  <c r="N32" i="12" s="1"/>
  <c r="M33" i="12"/>
  <c r="N33" i="12" s="1"/>
  <c r="M34" i="12"/>
  <c r="N34" i="12" s="1"/>
  <c r="M35" i="12"/>
  <c r="N35" i="12" s="1"/>
  <c r="M36" i="12"/>
  <c r="N36" i="12" s="1"/>
  <c r="M37" i="12"/>
  <c r="N37" i="12" s="1"/>
  <c r="M38" i="12"/>
  <c r="N38" i="12" s="1"/>
  <c r="M39" i="12"/>
  <c r="N39" i="12" s="1"/>
  <c r="M40" i="12"/>
  <c r="N40" i="12" s="1"/>
  <c r="M41" i="12"/>
  <c r="N41" i="12" s="1"/>
  <c r="M42" i="12"/>
  <c r="N42" i="12" s="1"/>
  <c r="M43" i="12"/>
  <c r="N43" i="12" s="1"/>
  <c r="M44" i="12"/>
  <c r="N44" i="12" s="1"/>
  <c r="M45" i="12"/>
  <c r="N45" i="12" s="1"/>
  <c r="M46" i="12"/>
  <c r="M47" i="12"/>
  <c r="N47" i="12" s="1"/>
  <c r="M48" i="12"/>
  <c r="N48" i="12" s="1"/>
  <c r="M49" i="12"/>
  <c r="N49" i="12" s="1"/>
  <c r="M50" i="12"/>
  <c r="M51" i="12"/>
  <c r="N51" i="12" s="1"/>
  <c r="M52" i="12"/>
  <c r="N52" i="12" s="1"/>
  <c r="M53" i="12"/>
  <c r="N53" i="12" s="1"/>
  <c r="M54" i="12"/>
  <c r="N54" i="12" s="1"/>
  <c r="M55" i="12"/>
  <c r="N55" i="12" s="1"/>
  <c r="M56" i="12"/>
  <c r="N56" i="12" s="1"/>
  <c r="M57" i="12"/>
  <c r="N57" i="12" s="1"/>
  <c r="M58" i="12"/>
  <c r="N58" i="12" s="1"/>
  <c r="M59" i="12"/>
  <c r="N59" i="12" s="1"/>
  <c r="M60" i="12"/>
  <c r="N60" i="12" s="1"/>
  <c r="M61" i="12"/>
  <c r="N61" i="12" s="1"/>
  <c r="M62" i="12"/>
  <c r="N62" i="12" s="1"/>
  <c r="M63" i="12"/>
  <c r="N63" i="12" s="1"/>
  <c r="M64" i="12"/>
  <c r="N64" i="12" s="1"/>
  <c r="M65" i="12"/>
  <c r="N65" i="12" s="1"/>
  <c r="M66" i="12"/>
  <c r="M67" i="12"/>
  <c r="N67" i="12" s="1"/>
  <c r="M68" i="12"/>
  <c r="N68" i="12" s="1"/>
  <c r="M69" i="12"/>
  <c r="N69" i="12" s="1"/>
  <c r="M70" i="12"/>
  <c r="M71" i="12"/>
  <c r="N71" i="12" s="1"/>
  <c r="M72" i="12"/>
  <c r="N72" i="12" s="1"/>
  <c r="M73" i="12"/>
  <c r="N73" i="12" s="1"/>
  <c r="M74" i="12"/>
  <c r="N74" i="12" s="1"/>
  <c r="M75" i="12"/>
  <c r="N75" i="12" s="1"/>
  <c r="M76" i="12"/>
  <c r="N76" i="12" s="1"/>
  <c r="M77" i="12"/>
  <c r="N77" i="12" s="1"/>
  <c r="M78" i="12"/>
  <c r="N78" i="12" s="1"/>
  <c r="M79" i="12"/>
  <c r="N79" i="12" s="1"/>
  <c r="M80" i="12"/>
  <c r="N80" i="12" s="1"/>
  <c r="M81" i="12"/>
  <c r="N81" i="12" s="1"/>
  <c r="M82" i="12"/>
  <c r="N82" i="12" s="1"/>
  <c r="M83" i="12"/>
  <c r="N83" i="12" s="1"/>
  <c r="M84" i="12"/>
  <c r="N84" i="12" s="1"/>
  <c r="M85" i="12"/>
  <c r="N85" i="12" s="1"/>
  <c r="M86" i="12"/>
  <c r="N86" i="12" s="1"/>
  <c r="M87" i="12"/>
  <c r="N87" i="12" s="1"/>
  <c r="M89" i="12"/>
  <c r="N89" i="12" s="1"/>
  <c r="M90" i="12"/>
  <c r="N90" i="12" s="1"/>
  <c r="M96" i="12"/>
  <c r="M97" i="12"/>
  <c r="N97" i="12" s="1"/>
  <c r="M99" i="12"/>
  <c r="N99" i="12" s="1"/>
  <c r="M100" i="12"/>
  <c r="N100" i="12" s="1"/>
  <c r="M101" i="12"/>
  <c r="N101" i="12" s="1"/>
  <c r="M102" i="12"/>
  <c r="N102" i="12" s="1"/>
  <c r="M103" i="12"/>
  <c r="N103" i="12" s="1"/>
  <c r="M104" i="12"/>
  <c r="N104" i="12" s="1"/>
  <c r="M105" i="12"/>
  <c r="N105" i="12" s="1"/>
  <c r="M106" i="12"/>
  <c r="N106" i="12" s="1"/>
  <c r="M107" i="12"/>
  <c r="N107" i="12" s="1"/>
  <c r="M108" i="12"/>
  <c r="N108" i="12" s="1"/>
  <c r="M109" i="12"/>
  <c r="N109" i="12" s="1"/>
  <c r="M110" i="12"/>
  <c r="N110" i="12" s="1"/>
  <c r="M111" i="12"/>
  <c r="N111" i="12" s="1"/>
  <c r="M112" i="12"/>
  <c r="N112" i="12" s="1"/>
  <c r="M113" i="12"/>
  <c r="N113" i="12" s="1"/>
  <c r="M114" i="12"/>
  <c r="N114" i="12" s="1"/>
  <c r="M115" i="12"/>
  <c r="N115" i="12" s="1"/>
  <c r="M116" i="12"/>
  <c r="N116" i="12" s="1"/>
  <c r="M117" i="12"/>
  <c r="N117" i="12" s="1"/>
  <c r="M118" i="12"/>
  <c r="N118" i="12" s="1"/>
  <c r="M119" i="12"/>
  <c r="N119" i="12" s="1"/>
  <c r="M120" i="12"/>
  <c r="N120" i="12" s="1"/>
  <c r="M121" i="12"/>
  <c r="N121" i="12" s="1"/>
  <c r="M122" i="12"/>
  <c r="N122" i="12" s="1"/>
  <c r="M123" i="12"/>
  <c r="N123" i="12" s="1"/>
  <c r="M124" i="12"/>
  <c r="N124" i="12" s="1"/>
  <c r="M125" i="12"/>
  <c r="N125" i="12" s="1"/>
  <c r="M126" i="12"/>
  <c r="N126" i="12" s="1"/>
  <c r="M127" i="12"/>
  <c r="N127" i="12" s="1"/>
  <c r="M128" i="12"/>
  <c r="N128" i="12" s="1"/>
  <c r="M129" i="12"/>
  <c r="N129" i="12" s="1"/>
  <c r="M130" i="12"/>
  <c r="N130" i="12" s="1"/>
  <c r="M131" i="12"/>
  <c r="N131" i="12" s="1"/>
  <c r="M132" i="12"/>
  <c r="N132" i="12" s="1"/>
  <c r="M133" i="12"/>
  <c r="N133" i="12" s="1"/>
  <c r="M134" i="12"/>
  <c r="N134" i="12" s="1"/>
  <c r="M135" i="12"/>
  <c r="N135" i="12" s="1"/>
  <c r="M136" i="12"/>
  <c r="N136" i="12" s="1"/>
  <c r="M137" i="12"/>
  <c r="N137" i="12" s="1"/>
  <c r="M138" i="12"/>
  <c r="N138" i="12" s="1"/>
  <c r="M139" i="12"/>
  <c r="N139" i="12" s="1"/>
  <c r="M140" i="12"/>
  <c r="N140" i="12" s="1"/>
  <c r="M141" i="12"/>
  <c r="N141" i="12" s="1"/>
  <c r="M142" i="12"/>
  <c r="N142" i="12" s="1"/>
  <c r="M143" i="12"/>
  <c r="N143" i="12" s="1"/>
  <c r="M144" i="12"/>
  <c r="N144" i="12" s="1"/>
  <c r="M145" i="12"/>
  <c r="N145" i="12" s="1"/>
  <c r="M146" i="12"/>
  <c r="N146" i="12" s="1"/>
  <c r="M147" i="12"/>
  <c r="N147" i="12" s="1"/>
  <c r="M148" i="12"/>
  <c r="N148" i="12" s="1"/>
  <c r="M149" i="12"/>
  <c r="N149" i="12" s="1"/>
  <c r="M150" i="12"/>
  <c r="N150" i="12" s="1"/>
  <c r="M151" i="12"/>
  <c r="N151" i="12" s="1"/>
  <c r="M152" i="12"/>
  <c r="N152" i="12" s="1"/>
  <c r="M153" i="12"/>
  <c r="N153" i="12" s="1"/>
  <c r="M154" i="12"/>
  <c r="N154" i="12" s="1"/>
  <c r="M155" i="12"/>
  <c r="N155" i="12" s="1"/>
  <c r="M156" i="12"/>
  <c r="N156" i="12" s="1"/>
  <c r="M157" i="12"/>
  <c r="N157" i="12" s="1"/>
  <c r="M158" i="12"/>
  <c r="N158" i="12" s="1"/>
  <c r="M159" i="12"/>
  <c r="N159" i="12" s="1"/>
  <c r="M160" i="12"/>
  <c r="N160" i="12" s="1"/>
  <c r="M161" i="12"/>
  <c r="N161" i="12" s="1"/>
  <c r="M162" i="12"/>
  <c r="N162" i="12" s="1"/>
  <c r="M163" i="12"/>
  <c r="N163" i="12" s="1"/>
  <c r="M164" i="12"/>
  <c r="N164" i="12" s="1"/>
  <c r="M165" i="12"/>
  <c r="N165" i="12" s="1"/>
  <c r="M166" i="12"/>
  <c r="N166" i="12" s="1"/>
  <c r="M167" i="12"/>
  <c r="N167" i="12" s="1"/>
  <c r="M168" i="12"/>
  <c r="N168" i="12" s="1"/>
  <c r="M169" i="12"/>
  <c r="N169" i="12" s="1"/>
  <c r="M170" i="12"/>
  <c r="N170" i="12" s="1"/>
  <c r="M171" i="12"/>
  <c r="N171" i="12" s="1"/>
  <c r="M172" i="12"/>
  <c r="N172" i="12" s="1"/>
  <c r="M173" i="12"/>
  <c r="N173" i="12" s="1"/>
  <c r="M174" i="12"/>
  <c r="N174" i="12" s="1"/>
  <c r="M175" i="12"/>
  <c r="N175" i="12" s="1"/>
  <c r="M176" i="12"/>
  <c r="N176" i="12" s="1"/>
  <c r="M177" i="12"/>
  <c r="N177" i="12" s="1"/>
  <c r="M178" i="12"/>
  <c r="N178" i="12" s="1"/>
  <c r="M179" i="12"/>
  <c r="N179" i="12" s="1"/>
  <c r="M180" i="12"/>
  <c r="N180" i="12" s="1"/>
  <c r="M181" i="12"/>
  <c r="N181" i="12" s="1"/>
  <c r="M182" i="12"/>
  <c r="N182" i="12" s="1"/>
  <c r="M183" i="12"/>
  <c r="N183" i="12" s="1"/>
  <c r="M184" i="12"/>
  <c r="N184" i="12" s="1"/>
  <c r="M185" i="12"/>
  <c r="N185" i="12" s="1"/>
  <c r="M186" i="12"/>
  <c r="N186" i="12" s="1"/>
  <c r="M187" i="12"/>
  <c r="N187" i="12" s="1"/>
  <c r="M188" i="12"/>
  <c r="N188" i="12" s="1"/>
  <c r="M189" i="12"/>
  <c r="N189" i="12" s="1"/>
  <c r="M190" i="12"/>
  <c r="N190" i="12" s="1"/>
  <c r="M191" i="12"/>
  <c r="N191" i="12" s="1"/>
  <c r="M192" i="12"/>
  <c r="N192" i="12" s="1"/>
  <c r="M193" i="12"/>
  <c r="N193" i="12" s="1"/>
  <c r="M194" i="12"/>
  <c r="N194" i="12" s="1"/>
  <c r="M195" i="12"/>
  <c r="N195" i="12" s="1"/>
  <c r="M196" i="12"/>
  <c r="N196" i="12" s="1"/>
  <c r="M197" i="12"/>
  <c r="N197" i="12" s="1"/>
  <c r="M198" i="12"/>
  <c r="N198" i="12" s="1"/>
  <c r="M199" i="12"/>
  <c r="N199" i="12" s="1"/>
  <c r="M200" i="12"/>
  <c r="N200" i="12" s="1"/>
  <c r="M201" i="12"/>
  <c r="N201" i="12" s="1"/>
  <c r="M202" i="12"/>
  <c r="N202" i="12" s="1"/>
  <c r="M203" i="12"/>
  <c r="N203" i="12" s="1"/>
  <c r="M204" i="12"/>
  <c r="N204" i="12" s="1"/>
  <c r="M205" i="12"/>
  <c r="N205" i="12" s="1"/>
  <c r="M206" i="12"/>
  <c r="N206" i="12" s="1"/>
  <c r="M207" i="12"/>
  <c r="N207" i="12" s="1"/>
  <c r="M208" i="12"/>
  <c r="N208" i="12" s="1"/>
  <c r="N10" i="12"/>
  <c r="N14" i="12"/>
  <c r="N16" i="12"/>
  <c r="N26" i="12"/>
  <c r="N30" i="12"/>
  <c r="N46" i="12"/>
  <c r="N50" i="12"/>
  <c r="N66" i="12"/>
  <c r="N70" i="12"/>
  <c r="N96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8" i="12"/>
  <c r="H29" i="12"/>
  <c r="H31" i="12"/>
  <c r="H32" i="12"/>
  <c r="H33" i="12"/>
  <c r="H40" i="12"/>
  <c r="H41" i="12"/>
  <c r="H42" i="12"/>
  <c r="H44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9" i="12"/>
  <c r="H90" i="12"/>
  <c r="H96" i="12"/>
  <c r="H97" i="12"/>
  <c r="H99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3" i="12"/>
  <c r="H136" i="12"/>
  <c r="H137" i="12"/>
  <c r="H139" i="12"/>
  <c r="H140" i="12"/>
  <c r="H141" i="12"/>
  <c r="H143" i="12"/>
  <c r="H144" i="12"/>
  <c r="H145" i="12"/>
  <c r="H146" i="12"/>
  <c r="H147" i="12"/>
  <c r="H148" i="12"/>
  <c r="H149" i="12"/>
  <c r="H150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3" i="12"/>
  <c r="H174" i="12"/>
  <c r="H175" i="12"/>
  <c r="H176" i="12"/>
  <c r="H177" i="12"/>
  <c r="H178" i="12"/>
  <c r="H183" i="12"/>
  <c r="H184" i="12"/>
  <c r="H185" i="12"/>
  <c r="H199" i="12"/>
  <c r="H200" i="12"/>
  <c r="H201" i="12"/>
  <c r="H202" i="12"/>
  <c r="H203" i="12"/>
  <c r="H204" i="12"/>
  <c r="H205" i="12"/>
  <c r="H206" i="12"/>
  <c r="H207" i="12"/>
  <c r="H208" i="12"/>
  <c r="H10" i="12"/>
  <c r="H11" i="12"/>
  <c r="N208" i="13" l="1"/>
  <c r="K208" i="13"/>
  <c r="I208" i="13"/>
  <c r="H208" i="13"/>
  <c r="F208" i="13"/>
  <c r="D208" i="13"/>
  <c r="B208" i="13"/>
  <c r="N207" i="13"/>
  <c r="K207" i="13"/>
  <c r="I207" i="13"/>
  <c r="H207" i="13"/>
  <c r="F207" i="13"/>
  <c r="D207" i="13"/>
  <c r="B207" i="13"/>
  <c r="N206" i="13"/>
  <c r="K206" i="13"/>
  <c r="I206" i="13"/>
  <c r="H206" i="13"/>
  <c r="F206" i="13"/>
  <c r="D206" i="13"/>
  <c r="B206" i="13"/>
  <c r="N205" i="13"/>
  <c r="K205" i="13"/>
  <c r="I205" i="13"/>
  <c r="H205" i="13"/>
  <c r="F205" i="13"/>
  <c r="D205" i="13"/>
  <c r="B205" i="13"/>
  <c r="N204" i="13"/>
  <c r="K204" i="13"/>
  <c r="I204" i="13"/>
  <c r="H204" i="13"/>
  <c r="F204" i="13"/>
  <c r="D204" i="13"/>
  <c r="B204" i="13"/>
  <c r="N203" i="13"/>
  <c r="K203" i="13"/>
  <c r="I203" i="13"/>
  <c r="H203" i="13"/>
  <c r="F203" i="13"/>
  <c r="D203" i="13"/>
  <c r="B203" i="13"/>
  <c r="N202" i="13"/>
  <c r="K202" i="13"/>
  <c r="I202" i="13"/>
  <c r="H202" i="13"/>
  <c r="F202" i="13"/>
  <c r="D202" i="13"/>
  <c r="B202" i="13"/>
  <c r="N201" i="13"/>
  <c r="K201" i="13"/>
  <c r="I201" i="13"/>
  <c r="H201" i="13"/>
  <c r="F201" i="13"/>
  <c r="D201" i="13"/>
  <c r="B201" i="13"/>
  <c r="N200" i="13"/>
  <c r="K200" i="13"/>
  <c r="I200" i="13"/>
  <c r="H200" i="13"/>
  <c r="F200" i="13"/>
  <c r="D200" i="13"/>
  <c r="B200" i="13"/>
  <c r="N199" i="13"/>
  <c r="K199" i="13"/>
  <c r="I199" i="13"/>
  <c r="H199" i="13"/>
  <c r="F199" i="13"/>
  <c r="D199" i="13"/>
  <c r="B199" i="13"/>
  <c r="N198" i="13"/>
  <c r="K198" i="13"/>
  <c r="I198" i="13"/>
  <c r="H198" i="13"/>
  <c r="F198" i="13"/>
  <c r="D198" i="13"/>
  <c r="B198" i="13"/>
  <c r="N197" i="13"/>
  <c r="K197" i="13"/>
  <c r="I197" i="13"/>
  <c r="H197" i="13"/>
  <c r="F197" i="13"/>
  <c r="D197" i="13"/>
  <c r="B197" i="13"/>
  <c r="N196" i="13"/>
  <c r="K196" i="13"/>
  <c r="I196" i="13"/>
  <c r="H196" i="13"/>
  <c r="F196" i="13"/>
  <c r="D196" i="13"/>
  <c r="B196" i="13"/>
  <c r="N195" i="13"/>
  <c r="K195" i="13"/>
  <c r="I195" i="13"/>
  <c r="H195" i="13"/>
  <c r="F195" i="13"/>
  <c r="D195" i="13"/>
  <c r="B195" i="13"/>
  <c r="N194" i="13"/>
  <c r="K194" i="13"/>
  <c r="I194" i="13"/>
  <c r="H194" i="13"/>
  <c r="F194" i="13"/>
  <c r="D194" i="13"/>
  <c r="B194" i="13"/>
  <c r="N193" i="13"/>
  <c r="K193" i="13"/>
  <c r="I193" i="13"/>
  <c r="H193" i="13"/>
  <c r="F193" i="13"/>
  <c r="D193" i="13"/>
  <c r="B193" i="13"/>
  <c r="N192" i="13"/>
  <c r="K192" i="13"/>
  <c r="I192" i="13"/>
  <c r="H192" i="13"/>
  <c r="F192" i="13"/>
  <c r="D192" i="13"/>
  <c r="B192" i="13"/>
  <c r="N191" i="13"/>
  <c r="K191" i="13"/>
  <c r="I191" i="13"/>
  <c r="H191" i="13"/>
  <c r="F191" i="13"/>
  <c r="D191" i="13"/>
  <c r="B191" i="13"/>
  <c r="N190" i="13"/>
  <c r="K190" i="13"/>
  <c r="I190" i="13"/>
  <c r="H190" i="13"/>
  <c r="F190" i="13"/>
  <c r="D190" i="13"/>
  <c r="B190" i="13"/>
  <c r="N189" i="13"/>
  <c r="K189" i="13"/>
  <c r="I189" i="13"/>
  <c r="H189" i="13"/>
  <c r="F189" i="13"/>
  <c r="D189" i="13"/>
  <c r="B189" i="13"/>
  <c r="N188" i="13"/>
  <c r="K188" i="13"/>
  <c r="I188" i="13"/>
  <c r="H188" i="13"/>
  <c r="F188" i="13"/>
  <c r="D188" i="13"/>
  <c r="B188" i="13"/>
  <c r="N187" i="13"/>
  <c r="K187" i="13"/>
  <c r="I187" i="13"/>
  <c r="H187" i="13"/>
  <c r="F187" i="13"/>
  <c r="D187" i="13"/>
  <c r="B187" i="13"/>
  <c r="N186" i="13"/>
  <c r="K186" i="13"/>
  <c r="I186" i="13"/>
  <c r="H186" i="13"/>
  <c r="F186" i="13"/>
  <c r="D186" i="13"/>
  <c r="B186" i="13"/>
  <c r="N185" i="13"/>
  <c r="K185" i="13"/>
  <c r="I185" i="13"/>
  <c r="H185" i="13"/>
  <c r="F185" i="13"/>
  <c r="D185" i="13"/>
  <c r="B185" i="13"/>
  <c r="N184" i="13"/>
  <c r="K184" i="13"/>
  <c r="I184" i="13"/>
  <c r="H184" i="13"/>
  <c r="F184" i="13"/>
  <c r="D184" i="13"/>
  <c r="B184" i="13"/>
  <c r="N183" i="13"/>
  <c r="K183" i="13"/>
  <c r="I183" i="13"/>
  <c r="H183" i="13"/>
  <c r="F183" i="13"/>
  <c r="D183" i="13"/>
  <c r="B183" i="13"/>
  <c r="N182" i="13"/>
  <c r="K182" i="13"/>
  <c r="I182" i="13"/>
  <c r="H182" i="13"/>
  <c r="F182" i="13"/>
  <c r="D182" i="13"/>
  <c r="B182" i="13"/>
  <c r="N181" i="13"/>
  <c r="K181" i="13"/>
  <c r="I181" i="13"/>
  <c r="H181" i="13"/>
  <c r="F181" i="13"/>
  <c r="D181" i="13"/>
  <c r="B181" i="13"/>
  <c r="N180" i="13"/>
  <c r="K180" i="13"/>
  <c r="I180" i="13"/>
  <c r="H180" i="13"/>
  <c r="F180" i="13"/>
  <c r="D180" i="13"/>
  <c r="B180" i="13"/>
  <c r="N179" i="13"/>
  <c r="K179" i="13"/>
  <c r="I179" i="13"/>
  <c r="H179" i="13"/>
  <c r="F179" i="13"/>
  <c r="D179" i="13"/>
  <c r="B179" i="13"/>
  <c r="N178" i="13"/>
  <c r="K178" i="13"/>
  <c r="I178" i="13"/>
  <c r="H178" i="13"/>
  <c r="F178" i="13"/>
  <c r="D178" i="13"/>
  <c r="B178" i="13"/>
  <c r="N177" i="13"/>
  <c r="K177" i="13"/>
  <c r="I177" i="13"/>
  <c r="H177" i="13"/>
  <c r="F177" i="13"/>
  <c r="D177" i="13"/>
  <c r="B177" i="13"/>
  <c r="N176" i="13"/>
  <c r="K176" i="13"/>
  <c r="I176" i="13"/>
  <c r="H176" i="13"/>
  <c r="F176" i="13"/>
  <c r="D176" i="13"/>
  <c r="B176" i="13"/>
  <c r="N175" i="13"/>
  <c r="K175" i="13"/>
  <c r="I175" i="13"/>
  <c r="H175" i="13"/>
  <c r="F175" i="13"/>
  <c r="D175" i="13"/>
  <c r="B175" i="13"/>
  <c r="N174" i="13"/>
  <c r="K174" i="13"/>
  <c r="I174" i="13"/>
  <c r="H174" i="13"/>
  <c r="F174" i="13"/>
  <c r="D174" i="13"/>
  <c r="B174" i="13"/>
  <c r="N173" i="13"/>
  <c r="K173" i="13"/>
  <c r="I173" i="13"/>
  <c r="H173" i="13"/>
  <c r="F173" i="13"/>
  <c r="D173" i="13"/>
  <c r="B173" i="13"/>
  <c r="N172" i="13"/>
  <c r="K172" i="13"/>
  <c r="I172" i="13"/>
  <c r="H172" i="13"/>
  <c r="F172" i="13"/>
  <c r="D172" i="13"/>
  <c r="B172" i="13"/>
  <c r="N171" i="13"/>
  <c r="K171" i="13"/>
  <c r="I171" i="13"/>
  <c r="H171" i="13"/>
  <c r="F171" i="13"/>
  <c r="D171" i="13"/>
  <c r="B171" i="13"/>
  <c r="N170" i="13"/>
  <c r="K170" i="13"/>
  <c r="I170" i="13"/>
  <c r="H170" i="13"/>
  <c r="F170" i="13"/>
  <c r="D170" i="13"/>
  <c r="B170" i="13"/>
  <c r="N169" i="13"/>
  <c r="K169" i="13"/>
  <c r="I169" i="13"/>
  <c r="H169" i="13"/>
  <c r="F169" i="13"/>
  <c r="D169" i="13"/>
  <c r="B169" i="13"/>
  <c r="N168" i="13"/>
  <c r="K168" i="13"/>
  <c r="I168" i="13"/>
  <c r="H168" i="13"/>
  <c r="F168" i="13"/>
  <c r="D168" i="13"/>
  <c r="B168" i="13"/>
  <c r="N167" i="13"/>
  <c r="K167" i="13"/>
  <c r="I167" i="13"/>
  <c r="H167" i="13"/>
  <c r="F167" i="13"/>
  <c r="D167" i="13"/>
  <c r="B167" i="13"/>
  <c r="N166" i="13"/>
  <c r="K166" i="13"/>
  <c r="I166" i="13"/>
  <c r="H166" i="13"/>
  <c r="F166" i="13"/>
  <c r="D166" i="13"/>
  <c r="B166" i="13"/>
  <c r="N165" i="13"/>
  <c r="K165" i="13"/>
  <c r="I165" i="13"/>
  <c r="H165" i="13"/>
  <c r="F165" i="13"/>
  <c r="D165" i="13"/>
  <c r="B165" i="13"/>
  <c r="N164" i="13"/>
  <c r="K164" i="13"/>
  <c r="I164" i="13"/>
  <c r="H164" i="13"/>
  <c r="F164" i="13"/>
  <c r="D164" i="13"/>
  <c r="B164" i="13"/>
  <c r="N163" i="13"/>
  <c r="K163" i="13"/>
  <c r="I163" i="13"/>
  <c r="H163" i="13"/>
  <c r="F163" i="13"/>
  <c r="D163" i="13"/>
  <c r="B163" i="13"/>
  <c r="N162" i="13"/>
  <c r="K162" i="13"/>
  <c r="I162" i="13"/>
  <c r="H162" i="13"/>
  <c r="F162" i="13"/>
  <c r="D162" i="13"/>
  <c r="B162" i="13"/>
  <c r="N161" i="13"/>
  <c r="K161" i="13"/>
  <c r="I161" i="13"/>
  <c r="H161" i="13"/>
  <c r="F161" i="13"/>
  <c r="D161" i="13"/>
  <c r="B161" i="13"/>
  <c r="N160" i="13"/>
  <c r="K160" i="13"/>
  <c r="I160" i="13"/>
  <c r="H160" i="13"/>
  <c r="F160" i="13"/>
  <c r="D160" i="13"/>
  <c r="B160" i="13"/>
  <c r="N159" i="13"/>
  <c r="K159" i="13"/>
  <c r="I159" i="13"/>
  <c r="H159" i="13"/>
  <c r="F159" i="13"/>
  <c r="D159" i="13"/>
  <c r="B159" i="13"/>
  <c r="N158" i="13"/>
  <c r="K158" i="13"/>
  <c r="I158" i="13"/>
  <c r="H158" i="13"/>
  <c r="F158" i="13"/>
  <c r="D158" i="13"/>
  <c r="B158" i="13"/>
  <c r="N157" i="13"/>
  <c r="K157" i="13"/>
  <c r="I157" i="13"/>
  <c r="H157" i="13"/>
  <c r="F157" i="13"/>
  <c r="D157" i="13"/>
  <c r="B157" i="13"/>
  <c r="N156" i="13"/>
  <c r="K156" i="13"/>
  <c r="I156" i="13"/>
  <c r="H156" i="13"/>
  <c r="F156" i="13"/>
  <c r="D156" i="13"/>
  <c r="B156" i="13"/>
  <c r="N155" i="13"/>
  <c r="K155" i="13"/>
  <c r="I155" i="13"/>
  <c r="H155" i="13"/>
  <c r="F155" i="13"/>
  <c r="D155" i="13"/>
  <c r="B155" i="13"/>
  <c r="N154" i="13"/>
  <c r="K154" i="13"/>
  <c r="I154" i="13"/>
  <c r="H154" i="13"/>
  <c r="F154" i="13"/>
  <c r="D154" i="13"/>
  <c r="B154" i="13"/>
  <c r="N153" i="13"/>
  <c r="K153" i="13"/>
  <c r="I153" i="13"/>
  <c r="H153" i="13"/>
  <c r="F153" i="13"/>
  <c r="D153" i="13"/>
  <c r="B153" i="13"/>
  <c r="N152" i="13"/>
  <c r="K152" i="13"/>
  <c r="I152" i="13"/>
  <c r="H152" i="13"/>
  <c r="F152" i="13"/>
  <c r="D152" i="13"/>
  <c r="B152" i="13"/>
  <c r="N151" i="13"/>
  <c r="K151" i="13"/>
  <c r="I151" i="13"/>
  <c r="H151" i="13"/>
  <c r="F151" i="13"/>
  <c r="D151" i="13"/>
  <c r="B151" i="13"/>
  <c r="N150" i="13"/>
  <c r="K150" i="13"/>
  <c r="I150" i="13"/>
  <c r="H150" i="13"/>
  <c r="F150" i="13"/>
  <c r="D150" i="13"/>
  <c r="B150" i="13"/>
  <c r="N149" i="13"/>
  <c r="K149" i="13"/>
  <c r="I149" i="13"/>
  <c r="H149" i="13"/>
  <c r="F149" i="13"/>
  <c r="D149" i="13"/>
  <c r="B149" i="13"/>
  <c r="N148" i="13"/>
  <c r="K148" i="13"/>
  <c r="I148" i="13"/>
  <c r="H148" i="13"/>
  <c r="F148" i="13"/>
  <c r="D148" i="13"/>
  <c r="B148" i="13"/>
  <c r="N147" i="13"/>
  <c r="K147" i="13"/>
  <c r="I147" i="13"/>
  <c r="H147" i="13"/>
  <c r="F147" i="13"/>
  <c r="D147" i="13"/>
  <c r="B147" i="13"/>
  <c r="N146" i="13"/>
  <c r="K146" i="13"/>
  <c r="I146" i="13"/>
  <c r="H146" i="13"/>
  <c r="F146" i="13"/>
  <c r="D146" i="13"/>
  <c r="B146" i="13"/>
  <c r="N145" i="13"/>
  <c r="K145" i="13"/>
  <c r="I145" i="13"/>
  <c r="H145" i="13"/>
  <c r="F145" i="13"/>
  <c r="D145" i="13"/>
  <c r="B145" i="13"/>
  <c r="N144" i="13"/>
  <c r="K144" i="13"/>
  <c r="I144" i="13"/>
  <c r="H144" i="13"/>
  <c r="F144" i="13"/>
  <c r="D144" i="13"/>
  <c r="B144" i="13"/>
  <c r="N143" i="13"/>
  <c r="K143" i="13"/>
  <c r="I143" i="13"/>
  <c r="H143" i="13"/>
  <c r="F143" i="13"/>
  <c r="D143" i="13"/>
  <c r="B143" i="13"/>
  <c r="N142" i="13"/>
  <c r="K142" i="13"/>
  <c r="I142" i="13"/>
  <c r="H142" i="13"/>
  <c r="F142" i="13"/>
  <c r="D142" i="13"/>
  <c r="B142" i="13"/>
  <c r="N141" i="13"/>
  <c r="K141" i="13"/>
  <c r="I141" i="13"/>
  <c r="H141" i="13"/>
  <c r="F141" i="13"/>
  <c r="D141" i="13"/>
  <c r="B141" i="13"/>
  <c r="N140" i="13"/>
  <c r="K140" i="13"/>
  <c r="I140" i="13"/>
  <c r="H140" i="13"/>
  <c r="F140" i="13"/>
  <c r="D140" i="13"/>
  <c r="B140" i="13"/>
  <c r="N139" i="13"/>
  <c r="K139" i="13"/>
  <c r="I139" i="13"/>
  <c r="H139" i="13"/>
  <c r="F139" i="13"/>
  <c r="D139" i="13"/>
  <c r="B139" i="13"/>
  <c r="N138" i="13"/>
  <c r="K138" i="13"/>
  <c r="I138" i="13"/>
  <c r="H138" i="13"/>
  <c r="F138" i="13"/>
  <c r="D138" i="13"/>
  <c r="B138" i="13"/>
  <c r="N137" i="13"/>
  <c r="K137" i="13"/>
  <c r="I137" i="13"/>
  <c r="H137" i="13"/>
  <c r="F137" i="13"/>
  <c r="D137" i="13"/>
  <c r="B137" i="13"/>
  <c r="N136" i="13"/>
  <c r="K136" i="13"/>
  <c r="I136" i="13"/>
  <c r="H136" i="13"/>
  <c r="F136" i="13"/>
  <c r="D136" i="13"/>
  <c r="B136" i="13"/>
  <c r="N135" i="13"/>
  <c r="K135" i="13"/>
  <c r="I135" i="13"/>
  <c r="H135" i="13"/>
  <c r="F135" i="13"/>
  <c r="D135" i="13"/>
  <c r="B135" i="13"/>
  <c r="N134" i="13"/>
  <c r="K134" i="13"/>
  <c r="I134" i="13"/>
  <c r="H134" i="13"/>
  <c r="F134" i="13"/>
  <c r="D134" i="13"/>
  <c r="B134" i="13"/>
  <c r="N133" i="13"/>
  <c r="K133" i="13"/>
  <c r="I133" i="13"/>
  <c r="H133" i="13"/>
  <c r="F133" i="13"/>
  <c r="D133" i="13"/>
  <c r="B133" i="13"/>
  <c r="N132" i="13"/>
  <c r="K132" i="13"/>
  <c r="I132" i="13"/>
  <c r="H132" i="13"/>
  <c r="F132" i="13"/>
  <c r="D132" i="13"/>
  <c r="B132" i="13"/>
  <c r="N131" i="13"/>
  <c r="K131" i="13"/>
  <c r="I131" i="13"/>
  <c r="H131" i="13"/>
  <c r="F131" i="13"/>
  <c r="D131" i="13"/>
  <c r="B131" i="13"/>
  <c r="N130" i="13"/>
  <c r="K130" i="13"/>
  <c r="I130" i="13"/>
  <c r="H130" i="13"/>
  <c r="F130" i="13"/>
  <c r="D130" i="13"/>
  <c r="B130" i="13"/>
  <c r="N129" i="13"/>
  <c r="K129" i="13"/>
  <c r="I129" i="13"/>
  <c r="H129" i="13"/>
  <c r="F129" i="13"/>
  <c r="D129" i="13"/>
  <c r="B129" i="13"/>
  <c r="N128" i="13"/>
  <c r="K128" i="13"/>
  <c r="I128" i="13"/>
  <c r="H128" i="13"/>
  <c r="F128" i="13"/>
  <c r="D128" i="13"/>
  <c r="B128" i="13"/>
  <c r="N127" i="13"/>
  <c r="K127" i="13"/>
  <c r="I127" i="13"/>
  <c r="H127" i="13"/>
  <c r="F127" i="13"/>
  <c r="D127" i="13"/>
  <c r="B127" i="13"/>
  <c r="N126" i="13"/>
  <c r="K126" i="13"/>
  <c r="I126" i="13"/>
  <c r="H126" i="13"/>
  <c r="F126" i="13"/>
  <c r="D126" i="13"/>
  <c r="B126" i="13"/>
  <c r="N125" i="13"/>
  <c r="K125" i="13"/>
  <c r="I125" i="13"/>
  <c r="H125" i="13"/>
  <c r="F125" i="13"/>
  <c r="D125" i="13"/>
  <c r="B125" i="13"/>
  <c r="N124" i="13"/>
  <c r="K124" i="13"/>
  <c r="I124" i="13"/>
  <c r="H124" i="13"/>
  <c r="F124" i="13"/>
  <c r="D124" i="13"/>
  <c r="B124" i="13"/>
  <c r="N123" i="13"/>
  <c r="K123" i="13"/>
  <c r="I123" i="13"/>
  <c r="H123" i="13"/>
  <c r="F123" i="13"/>
  <c r="D123" i="13"/>
  <c r="B123" i="13"/>
  <c r="N122" i="13"/>
  <c r="K122" i="13"/>
  <c r="I122" i="13"/>
  <c r="H122" i="13"/>
  <c r="F122" i="13"/>
  <c r="D122" i="13"/>
  <c r="B122" i="13"/>
  <c r="N121" i="13"/>
  <c r="K121" i="13"/>
  <c r="I121" i="13"/>
  <c r="H121" i="13"/>
  <c r="F121" i="13"/>
  <c r="D121" i="13"/>
  <c r="B121" i="13"/>
  <c r="N120" i="13"/>
  <c r="K120" i="13"/>
  <c r="I120" i="13"/>
  <c r="H120" i="13"/>
  <c r="F120" i="13"/>
  <c r="D120" i="13"/>
  <c r="B120" i="13"/>
  <c r="N119" i="13"/>
  <c r="K119" i="13"/>
  <c r="I119" i="13"/>
  <c r="H119" i="13"/>
  <c r="F119" i="13"/>
  <c r="D119" i="13"/>
  <c r="B119" i="13"/>
  <c r="N118" i="13"/>
  <c r="K118" i="13"/>
  <c r="I118" i="13"/>
  <c r="H118" i="13"/>
  <c r="F118" i="13"/>
  <c r="D118" i="13"/>
  <c r="B118" i="13"/>
  <c r="N117" i="13"/>
  <c r="K117" i="13"/>
  <c r="I117" i="13"/>
  <c r="H117" i="13"/>
  <c r="F117" i="13"/>
  <c r="D117" i="13"/>
  <c r="B117" i="13"/>
  <c r="N116" i="13"/>
  <c r="K116" i="13"/>
  <c r="I116" i="13"/>
  <c r="H116" i="13"/>
  <c r="F116" i="13"/>
  <c r="D116" i="13"/>
  <c r="B116" i="13"/>
  <c r="N115" i="13"/>
  <c r="K115" i="13"/>
  <c r="I115" i="13"/>
  <c r="H115" i="13"/>
  <c r="F115" i="13"/>
  <c r="D115" i="13"/>
  <c r="B115" i="13"/>
  <c r="N114" i="13"/>
  <c r="K114" i="13"/>
  <c r="I114" i="13"/>
  <c r="H114" i="13"/>
  <c r="F114" i="13"/>
  <c r="D114" i="13"/>
  <c r="B114" i="13"/>
  <c r="N113" i="13"/>
  <c r="K113" i="13"/>
  <c r="I113" i="13"/>
  <c r="H113" i="13"/>
  <c r="F113" i="13"/>
  <c r="D113" i="13"/>
  <c r="B113" i="13"/>
  <c r="N112" i="13"/>
  <c r="K112" i="13"/>
  <c r="I112" i="13"/>
  <c r="H112" i="13"/>
  <c r="F112" i="13"/>
  <c r="D112" i="13"/>
  <c r="B112" i="13"/>
  <c r="N111" i="13"/>
  <c r="K111" i="13"/>
  <c r="I111" i="13"/>
  <c r="H111" i="13"/>
  <c r="F111" i="13"/>
  <c r="D111" i="13"/>
  <c r="B111" i="13"/>
  <c r="N110" i="13"/>
  <c r="K110" i="13"/>
  <c r="I110" i="13"/>
  <c r="H110" i="13"/>
  <c r="F110" i="13"/>
  <c r="D110" i="13"/>
  <c r="B110" i="13"/>
  <c r="N109" i="13"/>
  <c r="K109" i="13"/>
  <c r="I109" i="13"/>
  <c r="H109" i="13"/>
  <c r="F109" i="13"/>
  <c r="D109" i="13"/>
  <c r="B109" i="13"/>
  <c r="N108" i="13"/>
  <c r="K108" i="13"/>
  <c r="I108" i="13"/>
  <c r="H108" i="13"/>
  <c r="F108" i="13"/>
  <c r="D108" i="13"/>
  <c r="B108" i="13"/>
  <c r="N107" i="13"/>
  <c r="K107" i="13"/>
  <c r="I107" i="13"/>
  <c r="H107" i="13"/>
  <c r="F107" i="13"/>
  <c r="D107" i="13"/>
  <c r="B107" i="13"/>
  <c r="N106" i="13"/>
  <c r="K106" i="13"/>
  <c r="I106" i="13"/>
  <c r="H106" i="13"/>
  <c r="F106" i="13"/>
  <c r="D106" i="13"/>
  <c r="B106" i="13"/>
  <c r="N105" i="13"/>
  <c r="K105" i="13"/>
  <c r="I105" i="13"/>
  <c r="H105" i="13"/>
  <c r="F105" i="13"/>
  <c r="D105" i="13"/>
  <c r="B105" i="13"/>
  <c r="N104" i="13"/>
  <c r="K104" i="13"/>
  <c r="I104" i="13"/>
  <c r="H104" i="13"/>
  <c r="F104" i="13"/>
  <c r="D104" i="13"/>
  <c r="B104" i="13"/>
  <c r="N103" i="13"/>
  <c r="K103" i="13"/>
  <c r="I103" i="13"/>
  <c r="H103" i="13"/>
  <c r="F103" i="13"/>
  <c r="D103" i="13"/>
  <c r="B103" i="13"/>
  <c r="N102" i="13"/>
  <c r="K102" i="13"/>
  <c r="I102" i="13"/>
  <c r="H102" i="13"/>
  <c r="F102" i="13"/>
  <c r="D102" i="13"/>
  <c r="B102" i="13"/>
  <c r="N101" i="13"/>
  <c r="K101" i="13"/>
  <c r="I101" i="13"/>
  <c r="H101" i="13"/>
  <c r="F101" i="13"/>
  <c r="D101" i="13"/>
  <c r="B101" i="13"/>
  <c r="N100" i="13"/>
  <c r="K100" i="13"/>
  <c r="I100" i="13"/>
  <c r="H100" i="13"/>
  <c r="F100" i="13"/>
  <c r="D100" i="13"/>
  <c r="B100" i="13"/>
  <c r="N99" i="13"/>
  <c r="K99" i="13"/>
  <c r="I99" i="13"/>
  <c r="H99" i="13"/>
  <c r="F99" i="13"/>
  <c r="D99" i="13"/>
  <c r="B99" i="13"/>
  <c r="N98" i="13"/>
  <c r="K98" i="13"/>
  <c r="I98" i="13"/>
  <c r="H98" i="13"/>
  <c r="F98" i="13"/>
  <c r="D98" i="13"/>
  <c r="B98" i="13"/>
  <c r="N97" i="13"/>
  <c r="K97" i="13"/>
  <c r="I97" i="13"/>
  <c r="H97" i="13"/>
  <c r="F97" i="13"/>
  <c r="D97" i="13"/>
  <c r="B97" i="13"/>
  <c r="N96" i="13"/>
  <c r="K96" i="13"/>
  <c r="I96" i="13"/>
  <c r="H96" i="13"/>
  <c r="F96" i="13"/>
  <c r="D96" i="13"/>
  <c r="B96" i="13"/>
  <c r="N95" i="13"/>
  <c r="K95" i="13"/>
  <c r="I95" i="13"/>
  <c r="H95" i="13"/>
  <c r="F95" i="13"/>
  <c r="D95" i="13"/>
  <c r="B95" i="13"/>
  <c r="N94" i="13"/>
  <c r="K94" i="13"/>
  <c r="I94" i="13"/>
  <c r="H94" i="13"/>
  <c r="F94" i="13"/>
  <c r="D94" i="13"/>
  <c r="B94" i="13"/>
  <c r="N93" i="13"/>
  <c r="K93" i="13"/>
  <c r="I93" i="13"/>
  <c r="H93" i="13"/>
  <c r="F93" i="13"/>
  <c r="D93" i="13"/>
  <c r="B93" i="13"/>
  <c r="N92" i="13"/>
  <c r="K92" i="13"/>
  <c r="I92" i="13"/>
  <c r="H92" i="13"/>
  <c r="F92" i="13"/>
  <c r="D92" i="13"/>
  <c r="B92" i="13"/>
  <c r="N91" i="13"/>
  <c r="K91" i="13"/>
  <c r="I91" i="13"/>
  <c r="H91" i="13"/>
  <c r="F91" i="13"/>
  <c r="D91" i="13"/>
  <c r="B91" i="13"/>
  <c r="N90" i="13"/>
  <c r="K90" i="13"/>
  <c r="I90" i="13"/>
  <c r="H90" i="13"/>
  <c r="F90" i="13"/>
  <c r="D90" i="13"/>
  <c r="B90" i="13"/>
  <c r="N89" i="13"/>
  <c r="K89" i="13"/>
  <c r="I89" i="13"/>
  <c r="H89" i="13"/>
  <c r="F89" i="13"/>
  <c r="D89" i="13"/>
  <c r="B89" i="13"/>
  <c r="N88" i="13"/>
  <c r="K88" i="13"/>
  <c r="I88" i="13"/>
  <c r="H88" i="13"/>
  <c r="F88" i="13"/>
  <c r="D88" i="13"/>
  <c r="B88" i="13"/>
  <c r="N87" i="13"/>
  <c r="K87" i="13"/>
  <c r="I87" i="13"/>
  <c r="H87" i="13"/>
  <c r="F87" i="13"/>
  <c r="D87" i="13"/>
  <c r="B87" i="13"/>
  <c r="N86" i="13"/>
  <c r="K86" i="13"/>
  <c r="I86" i="13"/>
  <c r="H86" i="13"/>
  <c r="F86" i="13"/>
  <c r="D86" i="13"/>
  <c r="B86" i="13"/>
  <c r="N85" i="13"/>
  <c r="K85" i="13"/>
  <c r="I85" i="13"/>
  <c r="H85" i="13"/>
  <c r="F85" i="13"/>
  <c r="D85" i="13"/>
  <c r="B85" i="13"/>
  <c r="N84" i="13"/>
  <c r="K84" i="13"/>
  <c r="I84" i="13"/>
  <c r="H84" i="13"/>
  <c r="F84" i="13"/>
  <c r="D84" i="13"/>
  <c r="B84" i="13"/>
  <c r="N83" i="13"/>
  <c r="K83" i="13"/>
  <c r="I83" i="13"/>
  <c r="H83" i="13"/>
  <c r="F83" i="13"/>
  <c r="D83" i="13"/>
  <c r="B83" i="13"/>
  <c r="N82" i="13"/>
  <c r="K82" i="13"/>
  <c r="I82" i="13"/>
  <c r="H82" i="13"/>
  <c r="F82" i="13"/>
  <c r="D82" i="13"/>
  <c r="B82" i="13"/>
  <c r="N81" i="13"/>
  <c r="K81" i="13"/>
  <c r="I81" i="13"/>
  <c r="H81" i="13"/>
  <c r="F81" i="13"/>
  <c r="D81" i="13"/>
  <c r="B81" i="13"/>
  <c r="N80" i="13"/>
  <c r="K80" i="13"/>
  <c r="I80" i="13"/>
  <c r="H80" i="13"/>
  <c r="F80" i="13"/>
  <c r="D80" i="13"/>
  <c r="B80" i="13"/>
  <c r="N79" i="13"/>
  <c r="K79" i="13"/>
  <c r="I79" i="13"/>
  <c r="H79" i="13"/>
  <c r="F79" i="13"/>
  <c r="D79" i="13"/>
  <c r="B79" i="13"/>
  <c r="N78" i="13"/>
  <c r="K78" i="13"/>
  <c r="I78" i="13"/>
  <c r="H78" i="13"/>
  <c r="F78" i="13"/>
  <c r="D78" i="13"/>
  <c r="B78" i="13"/>
  <c r="N77" i="13"/>
  <c r="K77" i="13"/>
  <c r="I77" i="13"/>
  <c r="H77" i="13"/>
  <c r="F77" i="13"/>
  <c r="D77" i="13"/>
  <c r="B77" i="13"/>
  <c r="N76" i="13"/>
  <c r="K76" i="13"/>
  <c r="I76" i="13"/>
  <c r="H76" i="13"/>
  <c r="F76" i="13"/>
  <c r="D76" i="13"/>
  <c r="B76" i="13"/>
  <c r="N75" i="13"/>
  <c r="K75" i="13"/>
  <c r="I75" i="13"/>
  <c r="H75" i="13"/>
  <c r="F75" i="13"/>
  <c r="D75" i="13"/>
  <c r="B75" i="13"/>
  <c r="N74" i="13"/>
  <c r="K74" i="13"/>
  <c r="I74" i="13"/>
  <c r="H74" i="13"/>
  <c r="F74" i="13"/>
  <c r="D74" i="13"/>
  <c r="B74" i="13"/>
  <c r="N73" i="13"/>
  <c r="K73" i="13"/>
  <c r="I73" i="13"/>
  <c r="H73" i="13"/>
  <c r="F73" i="13"/>
  <c r="D73" i="13"/>
  <c r="B73" i="13"/>
  <c r="N72" i="13"/>
  <c r="K72" i="13"/>
  <c r="I72" i="13"/>
  <c r="H72" i="13"/>
  <c r="F72" i="13"/>
  <c r="D72" i="13"/>
  <c r="B72" i="13"/>
  <c r="N71" i="13"/>
  <c r="K71" i="13"/>
  <c r="I71" i="13"/>
  <c r="H71" i="13"/>
  <c r="F71" i="13"/>
  <c r="D71" i="13"/>
  <c r="B71" i="13"/>
  <c r="N70" i="13"/>
  <c r="K70" i="13"/>
  <c r="I70" i="13"/>
  <c r="H70" i="13"/>
  <c r="F70" i="13"/>
  <c r="D70" i="13"/>
  <c r="B70" i="13"/>
  <c r="N69" i="13"/>
  <c r="K69" i="13"/>
  <c r="I69" i="13"/>
  <c r="H69" i="13"/>
  <c r="F69" i="13"/>
  <c r="D69" i="13"/>
  <c r="B69" i="13"/>
  <c r="N68" i="13"/>
  <c r="K68" i="13"/>
  <c r="I68" i="13"/>
  <c r="H68" i="13"/>
  <c r="F68" i="13"/>
  <c r="D68" i="13"/>
  <c r="B68" i="13"/>
  <c r="N67" i="13"/>
  <c r="K67" i="13"/>
  <c r="I67" i="13"/>
  <c r="H67" i="13"/>
  <c r="F67" i="13"/>
  <c r="D67" i="13"/>
  <c r="B67" i="13"/>
  <c r="N66" i="13"/>
  <c r="K66" i="13"/>
  <c r="I66" i="13"/>
  <c r="H66" i="13"/>
  <c r="F66" i="13"/>
  <c r="D66" i="13"/>
  <c r="B66" i="13"/>
  <c r="N65" i="13"/>
  <c r="K65" i="13"/>
  <c r="I65" i="13"/>
  <c r="H65" i="13"/>
  <c r="F65" i="13"/>
  <c r="D65" i="13"/>
  <c r="B65" i="13"/>
  <c r="N64" i="13"/>
  <c r="K64" i="13"/>
  <c r="I64" i="13"/>
  <c r="H64" i="13"/>
  <c r="F64" i="13"/>
  <c r="D64" i="13"/>
  <c r="B64" i="13"/>
  <c r="N63" i="13"/>
  <c r="K63" i="13"/>
  <c r="I63" i="13"/>
  <c r="H63" i="13"/>
  <c r="F63" i="13"/>
  <c r="D63" i="13"/>
  <c r="B63" i="13"/>
  <c r="N62" i="13"/>
  <c r="K62" i="13"/>
  <c r="I62" i="13"/>
  <c r="H62" i="13"/>
  <c r="F62" i="13"/>
  <c r="D62" i="13"/>
  <c r="B62" i="13"/>
  <c r="N61" i="13"/>
  <c r="K61" i="13"/>
  <c r="I61" i="13"/>
  <c r="H61" i="13"/>
  <c r="F61" i="13"/>
  <c r="D61" i="13"/>
  <c r="B61" i="13"/>
  <c r="N60" i="13"/>
  <c r="K60" i="13"/>
  <c r="I60" i="13"/>
  <c r="H60" i="13"/>
  <c r="F60" i="13"/>
  <c r="D60" i="13"/>
  <c r="B60" i="13"/>
  <c r="N59" i="13"/>
  <c r="K59" i="13"/>
  <c r="I59" i="13"/>
  <c r="H59" i="13"/>
  <c r="F59" i="13"/>
  <c r="D59" i="13"/>
  <c r="B59" i="13"/>
  <c r="N58" i="13"/>
  <c r="K58" i="13"/>
  <c r="I58" i="13"/>
  <c r="H58" i="13"/>
  <c r="F58" i="13"/>
  <c r="D58" i="13"/>
  <c r="B58" i="13"/>
  <c r="N57" i="13"/>
  <c r="K57" i="13"/>
  <c r="I57" i="13"/>
  <c r="H57" i="13"/>
  <c r="F57" i="13"/>
  <c r="D57" i="13"/>
  <c r="B57" i="13"/>
  <c r="N56" i="13"/>
  <c r="K56" i="13"/>
  <c r="I56" i="13"/>
  <c r="H56" i="13"/>
  <c r="F56" i="13"/>
  <c r="D56" i="13"/>
  <c r="B56" i="13"/>
  <c r="N55" i="13"/>
  <c r="K55" i="13"/>
  <c r="I55" i="13"/>
  <c r="H55" i="13"/>
  <c r="F55" i="13"/>
  <c r="D55" i="13"/>
  <c r="B55" i="13"/>
  <c r="N54" i="13"/>
  <c r="K54" i="13"/>
  <c r="I54" i="13"/>
  <c r="H54" i="13"/>
  <c r="F54" i="13"/>
  <c r="D54" i="13"/>
  <c r="B54" i="13"/>
  <c r="N53" i="13"/>
  <c r="K53" i="13"/>
  <c r="I53" i="13"/>
  <c r="H53" i="13"/>
  <c r="F53" i="13"/>
  <c r="D53" i="13"/>
  <c r="B53" i="13"/>
  <c r="N52" i="13"/>
  <c r="K52" i="13"/>
  <c r="I52" i="13"/>
  <c r="H52" i="13"/>
  <c r="F52" i="13"/>
  <c r="D52" i="13"/>
  <c r="B52" i="13"/>
  <c r="N51" i="13"/>
  <c r="K51" i="13"/>
  <c r="I51" i="13"/>
  <c r="H51" i="13"/>
  <c r="F51" i="13"/>
  <c r="D51" i="13"/>
  <c r="B51" i="13"/>
  <c r="N50" i="13"/>
  <c r="K50" i="13"/>
  <c r="I50" i="13"/>
  <c r="H50" i="13"/>
  <c r="F50" i="13"/>
  <c r="D50" i="13"/>
  <c r="B50" i="13"/>
  <c r="N49" i="13"/>
  <c r="K49" i="13"/>
  <c r="I49" i="13"/>
  <c r="H49" i="13"/>
  <c r="F49" i="13"/>
  <c r="D49" i="13"/>
  <c r="B49" i="13"/>
  <c r="N48" i="13"/>
  <c r="K48" i="13"/>
  <c r="I48" i="13"/>
  <c r="H48" i="13"/>
  <c r="F48" i="13"/>
  <c r="D48" i="13"/>
  <c r="B48" i="13"/>
  <c r="N47" i="13"/>
  <c r="K47" i="13"/>
  <c r="I47" i="13"/>
  <c r="H47" i="13"/>
  <c r="F47" i="13"/>
  <c r="D47" i="13"/>
  <c r="B47" i="13"/>
  <c r="N46" i="13"/>
  <c r="K46" i="13"/>
  <c r="I46" i="13"/>
  <c r="H46" i="13"/>
  <c r="F46" i="13"/>
  <c r="D46" i="13"/>
  <c r="B46" i="13"/>
  <c r="N45" i="13"/>
  <c r="K45" i="13"/>
  <c r="I45" i="13"/>
  <c r="H45" i="13"/>
  <c r="F45" i="13"/>
  <c r="D45" i="13"/>
  <c r="B45" i="13"/>
  <c r="N44" i="13"/>
  <c r="K44" i="13"/>
  <c r="I44" i="13"/>
  <c r="H44" i="13"/>
  <c r="F44" i="13"/>
  <c r="D44" i="13"/>
  <c r="B44" i="13"/>
  <c r="N43" i="13"/>
  <c r="K43" i="13"/>
  <c r="I43" i="13"/>
  <c r="H43" i="13"/>
  <c r="F43" i="13"/>
  <c r="D43" i="13"/>
  <c r="B43" i="13"/>
  <c r="N42" i="13"/>
  <c r="K42" i="13"/>
  <c r="I42" i="13"/>
  <c r="H42" i="13"/>
  <c r="F42" i="13"/>
  <c r="D42" i="13"/>
  <c r="B42" i="13"/>
  <c r="N41" i="13"/>
  <c r="K41" i="13"/>
  <c r="I41" i="13"/>
  <c r="H41" i="13"/>
  <c r="F41" i="13"/>
  <c r="D41" i="13"/>
  <c r="B41" i="13"/>
  <c r="N40" i="13"/>
  <c r="K40" i="13"/>
  <c r="I40" i="13"/>
  <c r="H40" i="13"/>
  <c r="F40" i="13"/>
  <c r="D40" i="13"/>
  <c r="B40" i="13"/>
  <c r="N39" i="13"/>
  <c r="K39" i="13"/>
  <c r="I39" i="13"/>
  <c r="H39" i="13"/>
  <c r="F39" i="13"/>
  <c r="D39" i="13"/>
  <c r="B39" i="13"/>
  <c r="N38" i="13"/>
  <c r="K38" i="13"/>
  <c r="I38" i="13"/>
  <c r="H38" i="13"/>
  <c r="F38" i="13"/>
  <c r="D38" i="13"/>
  <c r="B38" i="13"/>
  <c r="N37" i="13"/>
  <c r="K37" i="13"/>
  <c r="I37" i="13"/>
  <c r="H37" i="13"/>
  <c r="F37" i="13"/>
  <c r="D37" i="13"/>
  <c r="B37" i="13"/>
  <c r="N36" i="13"/>
  <c r="K36" i="13"/>
  <c r="I36" i="13"/>
  <c r="H36" i="13"/>
  <c r="F36" i="13"/>
  <c r="D36" i="13"/>
  <c r="B36" i="13"/>
  <c r="N35" i="13"/>
  <c r="K35" i="13"/>
  <c r="I35" i="13"/>
  <c r="H35" i="13"/>
  <c r="F35" i="13"/>
  <c r="D35" i="13"/>
  <c r="B35" i="13"/>
  <c r="N34" i="13"/>
  <c r="K34" i="13"/>
  <c r="I34" i="13"/>
  <c r="H34" i="13"/>
  <c r="F34" i="13"/>
  <c r="D34" i="13"/>
  <c r="B34" i="13"/>
  <c r="N33" i="13"/>
  <c r="K33" i="13"/>
  <c r="I33" i="13"/>
  <c r="H33" i="13"/>
  <c r="F33" i="13"/>
  <c r="D33" i="13"/>
  <c r="B33" i="13"/>
  <c r="N32" i="13"/>
  <c r="K32" i="13"/>
  <c r="I32" i="13"/>
  <c r="H32" i="13"/>
  <c r="F32" i="13"/>
  <c r="D32" i="13"/>
  <c r="B32" i="13"/>
  <c r="N31" i="13"/>
  <c r="K31" i="13"/>
  <c r="I31" i="13"/>
  <c r="H31" i="13"/>
  <c r="F31" i="13"/>
  <c r="D31" i="13"/>
  <c r="B31" i="13"/>
  <c r="N30" i="13"/>
  <c r="K30" i="13"/>
  <c r="I30" i="13"/>
  <c r="H30" i="13"/>
  <c r="F30" i="13"/>
  <c r="D30" i="13"/>
  <c r="B30" i="13"/>
  <c r="N29" i="13"/>
  <c r="K29" i="13"/>
  <c r="I29" i="13"/>
  <c r="H29" i="13"/>
  <c r="F29" i="13"/>
  <c r="D29" i="13"/>
  <c r="B29" i="13"/>
  <c r="N28" i="13"/>
  <c r="K28" i="13"/>
  <c r="I28" i="13"/>
  <c r="H28" i="13"/>
  <c r="F28" i="13"/>
  <c r="D28" i="13"/>
  <c r="B28" i="13"/>
  <c r="N27" i="13"/>
  <c r="K27" i="13"/>
  <c r="I27" i="13"/>
  <c r="H27" i="13"/>
  <c r="F27" i="13"/>
  <c r="D27" i="13"/>
  <c r="B27" i="13"/>
  <c r="N26" i="13"/>
  <c r="K26" i="13"/>
  <c r="I26" i="13"/>
  <c r="H26" i="13"/>
  <c r="F26" i="13"/>
  <c r="D26" i="13"/>
  <c r="B26" i="13"/>
  <c r="N25" i="13"/>
  <c r="K25" i="13"/>
  <c r="I25" i="13"/>
  <c r="H25" i="13"/>
  <c r="F25" i="13"/>
  <c r="D25" i="13"/>
  <c r="B25" i="13"/>
  <c r="N24" i="13"/>
  <c r="K24" i="13"/>
  <c r="I24" i="13"/>
  <c r="H24" i="13"/>
  <c r="F24" i="13"/>
  <c r="D24" i="13"/>
  <c r="B24" i="13"/>
  <c r="N23" i="13"/>
  <c r="K23" i="13"/>
  <c r="I23" i="13"/>
  <c r="H23" i="13"/>
  <c r="F23" i="13"/>
  <c r="D23" i="13"/>
  <c r="B23" i="13"/>
  <c r="N22" i="13"/>
  <c r="K22" i="13"/>
  <c r="I22" i="13"/>
  <c r="H22" i="13"/>
  <c r="F22" i="13"/>
  <c r="D22" i="13"/>
  <c r="B22" i="13"/>
  <c r="N21" i="13"/>
  <c r="K21" i="13"/>
  <c r="I21" i="13"/>
  <c r="H21" i="13"/>
  <c r="F21" i="13"/>
  <c r="D21" i="13"/>
  <c r="B21" i="13"/>
  <c r="N20" i="13"/>
  <c r="K20" i="13"/>
  <c r="I20" i="13"/>
  <c r="H20" i="13"/>
  <c r="F20" i="13"/>
  <c r="D20" i="13"/>
  <c r="B20" i="13"/>
  <c r="N19" i="13"/>
  <c r="K19" i="13"/>
  <c r="I19" i="13"/>
  <c r="H19" i="13"/>
  <c r="F19" i="13"/>
  <c r="D19" i="13"/>
  <c r="B19" i="13"/>
  <c r="N18" i="13"/>
  <c r="K18" i="13"/>
  <c r="I18" i="13"/>
  <c r="H18" i="13"/>
  <c r="F18" i="13"/>
  <c r="D18" i="13"/>
  <c r="B18" i="13"/>
  <c r="N17" i="13"/>
  <c r="K17" i="13"/>
  <c r="I17" i="13"/>
  <c r="H17" i="13"/>
  <c r="F17" i="13"/>
  <c r="D17" i="13"/>
  <c r="B17" i="13"/>
  <c r="N16" i="13"/>
  <c r="K16" i="13"/>
  <c r="I16" i="13"/>
  <c r="H16" i="13"/>
  <c r="F16" i="13"/>
  <c r="D16" i="13"/>
  <c r="B16" i="13"/>
  <c r="N15" i="13"/>
  <c r="K15" i="13"/>
  <c r="I15" i="13"/>
  <c r="H15" i="13"/>
  <c r="F15" i="13"/>
  <c r="D15" i="13"/>
  <c r="B15" i="13"/>
  <c r="N14" i="13"/>
  <c r="K14" i="13"/>
  <c r="I14" i="13"/>
  <c r="H14" i="13"/>
  <c r="F14" i="13"/>
  <c r="D14" i="13"/>
  <c r="B14" i="13"/>
  <c r="N13" i="13"/>
  <c r="K13" i="13"/>
  <c r="I13" i="13"/>
  <c r="H13" i="13"/>
  <c r="F13" i="13"/>
  <c r="D13" i="13"/>
  <c r="B13" i="13"/>
  <c r="N12" i="13"/>
  <c r="K12" i="13"/>
  <c r="I12" i="13"/>
  <c r="H12" i="13"/>
  <c r="F12" i="13"/>
  <c r="D12" i="13"/>
  <c r="B12" i="13"/>
  <c r="N11" i="13"/>
  <c r="K11" i="13"/>
  <c r="I11" i="13"/>
  <c r="H11" i="13"/>
  <c r="F11" i="13"/>
  <c r="D11" i="13"/>
  <c r="B11" i="13"/>
  <c r="N10" i="13"/>
  <c r="K10" i="13"/>
  <c r="I10" i="13"/>
  <c r="H10" i="13"/>
  <c r="F10" i="13"/>
  <c r="D10" i="13"/>
  <c r="B10" i="13"/>
  <c r="B9" i="13" l="1"/>
  <c r="I9" i="13"/>
  <c r="S3" i="13" l="1"/>
  <c r="K9" i="13"/>
  <c r="F9" i="13"/>
  <c r="D9" i="13"/>
  <c r="H9" i="13"/>
  <c r="S9" i="13"/>
  <c r="M9" i="12"/>
  <c r="N9" i="12" s="1"/>
  <c r="N9" i="13" s="1"/>
  <c r="I262" i="6" l="1"/>
  <c r="I178" i="6" l="1"/>
  <c r="M150" i="6" l="1"/>
  <c r="N150" i="6" s="1"/>
  <c r="I150" i="6"/>
  <c r="I125" i="6" l="1"/>
  <c r="I123" i="6" l="1"/>
  <c r="I121" i="6" l="1"/>
  <c r="I39" i="6" l="1"/>
  <c r="S350" i="8" l="1"/>
  <c r="K350" i="8"/>
  <c r="H350" i="8"/>
  <c r="F350" i="8"/>
  <c r="D350" i="8"/>
  <c r="B350" i="8"/>
  <c r="S349" i="8"/>
  <c r="K349" i="8"/>
  <c r="H349" i="8"/>
  <c r="F349" i="8"/>
  <c r="D349" i="8"/>
  <c r="B349" i="8"/>
  <c r="S348" i="8"/>
  <c r="K348" i="8"/>
  <c r="H348" i="8"/>
  <c r="F348" i="8"/>
  <c r="D348" i="8"/>
  <c r="B348" i="8"/>
  <c r="S347" i="8"/>
  <c r="K347" i="8"/>
  <c r="H347" i="8"/>
  <c r="F347" i="8"/>
  <c r="D347" i="8"/>
  <c r="B347" i="8"/>
  <c r="S346" i="8"/>
  <c r="K346" i="8"/>
  <c r="H346" i="8"/>
  <c r="F346" i="8"/>
  <c r="D346" i="8"/>
  <c r="B346" i="8"/>
  <c r="S345" i="8"/>
  <c r="K345" i="8"/>
  <c r="H345" i="8"/>
  <c r="F345" i="8"/>
  <c r="D345" i="8"/>
  <c r="B345" i="8"/>
  <c r="S344" i="8"/>
  <c r="K344" i="8"/>
  <c r="H344" i="8"/>
  <c r="F344" i="8"/>
  <c r="D344" i="8"/>
  <c r="B344" i="8"/>
  <c r="S343" i="8"/>
  <c r="K343" i="8"/>
  <c r="H343" i="8"/>
  <c r="F343" i="8"/>
  <c r="D343" i="8"/>
  <c r="B343" i="8"/>
  <c r="S342" i="8"/>
  <c r="K342" i="8"/>
  <c r="H342" i="8"/>
  <c r="F342" i="8"/>
  <c r="D342" i="8"/>
  <c r="B342" i="8"/>
  <c r="S341" i="8"/>
  <c r="K341" i="8"/>
  <c r="H341" i="8"/>
  <c r="F341" i="8"/>
  <c r="D341" i="8"/>
  <c r="B341" i="8"/>
  <c r="S340" i="8"/>
  <c r="K340" i="8"/>
  <c r="H340" i="8"/>
  <c r="F340" i="8"/>
  <c r="D340" i="8"/>
  <c r="B340" i="8"/>
  <c r="S339" i="8"/>
  <c r="K339" i="8"/>
  <c r="H339" i="8"/>
  <c r="F339" i="8"/>
  <c r="D339" i="8"/>
  <c r="B339" i="8"/>
  <c r="S338" i="8"/>
  <c r="K338" i="8"/>
  <c r="H338" i="8"/>
  <c r="F338" i="8"/>
  <c r="D338" i="8"/>
  <c r="B338" i="8"/>
  <c r="S337" i="8"/>
  <c r="K337" i="8"/>
  <c r="H337" i="8"/>
  <c r="F337" i="8"/>
  <c r="D337" i="8"/>
  <c r="B337" i="8"/>
  <c r="S336" i="8"/>
  <c r="K336" i="8"/>
  <c r="H336" i="8"/>
  <c r="F336" i="8"/>
  <c r="D336" i="8"/>
  <c r="B336" i="8"/>
  <c r="S335" i="8"/>
  <c r="K335" i="8"/>
  <c r="H335" i="8"/>
  <c r="F335" i="8"/>
  <c r="D335" i="8"/>
  <c r="B335" i="8"/>
  <c r="S334" i="8"/>
  <c r="K334" i="8"/>
  <c r="H334" i="8"/>
  <c r="F334" i="8"/>
  <c r="D334" i="8"/>
  <c r="B334" i="8"/>
  <c r="S333" i="8"/>
  <c r="K333" i="8"/>
  <c r="H333" i="8"/>
  <c r="F333" i="8"/>
  <c r="D333" i="8"/>
  <c r="B333" i="8"/>
  <c r="S332" i="8"/>
  <c r="K332" i="8"/>
  <c r="H332" i="8"/>
  <c r="F332" i="8"/>
  <c r="D332" i="8"/>
  <c r="B332" i="8"/>
  <c r="S331" i="8"/>
  <c r="K331" i="8"/>
  <c r="H331" i="8"/>
  <c r="F331" i="8"/>
  <c r="D331" i="8"/>
  <c r="B331" i="8"/>
  <c r="S330" i="8"/>
  <c r="K330" i="8"/>
  <c r="H330" i="8"/>
  <c r="F330" i="8"/>
  <c r="D330" i="8"/>
  <c r="B330" i="8"/>
  <c r="S329" i="8"/>
  <c r="K329" i="8"/>
  <c r="H329" i="8"/>
  <c r="F329" i="8"/>
  <c r="D329" i="8"/>
  <c r="B329" i="8"/>
  <c r="S328" i="8"/>
  <c r="K328" i="8"/>
  <c r="H328" i="8"/>
  <c r="F328" i="8"/>
  <c r="D328" i="8"/>
  <c r="B328" i="8"/>
  <c r="S327" i="8"/>
  <c r="K327" i="8"/>
  <c r="H327" i="8"/>
  <c r="F327" i="8"/>
  <c r="D327" i="8"/>
  <c r="B327" i="8"/>
  <c r="S326" i="8"/>
  <c r="K326" i="8"/>
  <c r="H326" i="8"/>
  <c r="F326" i="8"/>
  <c r="D326" i="8"/>
  <c r="B326" i="8"/>
  <c r="S325" i="8"/>
  <c r="K325" i="8"/>
  <c r="H325" i="8"/>
  <c r="F325" i="8"/>
  <c r="D325" i="8"/>
  <c r="B325" i="8"/>
  <c r="S324" i="8"/>
  <c r="K324" i="8"/>
  <c r="H324" i="8"/>
  <c r="F324" i="8"/>
  <c r="D324" i="8"/>
  <c r="B324" i="8"/>
  <c r="S323" i="8"/>
  <c r="K323" i="8"/>
  <c r="H323" i="8"/>
  <c r="F323" i="8"/>
  <c r="D323" i="8"/>
  <c r="B323" i="8"/>
  <c r="S322" i="8"/>
  <c r="K322" i="8"/>
  <c r="H322" i="8"/>
  <c r="F322" i="8"/>
  <c r="D322" i="8"/>
  <c r="B322" i="8"/>
  <c r="S321" i="8"/>
  <c r="K321" i="8"/>
  <c r="H321" i="8"/>
  <c r="F321" i="8"/>
  <c r="D321" i="8"/>
  <c r="B321" i="8"/>
  <c r="S320" i="8"/>
  <c r="K320" i="8"/>
  <c r="H320" i="8"/>
  <c r="F320" i="8"/>
  <c r="D320" i="8"/>
  <c r="B320" i="8"/>
  <c r="S319" i="8"/>
  <c r="K319" i="8"/>
  <c r="H319" i="8"/>
  <c r="F319" i="8"/>
  <c r="D319" i="8"/>
  <c r="B319" i="8"/>
  <c r="S318" i="8"/>
  <c r="K318" i="8"/>
  <c r="H318" i="8"/>
  <c r="F318" i="8"/>
  <c r="D318" i="8"/>
  <c r="B318" i="8"/>
  <c r="S317" i="8"/>
  <c r="K317" i="8"/>
  <c r="H317" i="8"/>
  <c r="F317" i="8"/>
  <c r="D317" i="8"/>
  <c r="B317" i="8"/>
  <c r="S316" i="8"/>
  <c r="K316" i="8"/>
  <c r="H316" i="8"/>
  <c r="F316" i="8"/>
  <c r="D316" i="8"/>
  <c r="B316" i="8"/>
  <c r="S315" i="8"/>
  <c r="K315" i="8"/>
  <c r="H315" i="8"/>
  <c r="F315" i="8"/>
  <c r="D315" i="8"/>
  <c r="B315" i="8"/>
  <c r="S314" i="8"/>
  <c r="K314" i="8"/>
  <c r="H314" i="8"/>
  <c r="F314" i="8"/>
  <c r="D314" i="8"/>
  <c r="B314" i="8"/>
  <c r="S313" i="8"/>
  <c r="K313" i="8"/>
  <c r="H313" i="8"/>
  <c r="F313" i="8"/>
  <c r="D313" i="8"/>
  <c r="B313" i="8"/>
  <c r="S312" i="8"/>
  <c r="K312" i="8"/>
  <c r="H312" i="8"/>
  <c r="F312" i="8"/>
  <c r="D312" i="8"/>
  <c r="B312" i="8"/>
  <c r="S311" i="8"/>
  <c r="K311" i="8"/>
  <c r="H311" i="8"/>
  <c r="F311" i="8"/>
  <c r="D311" i="8"/>
  <c r="B311" i="8"/>
  <c r="S310" i="8"/>
  <c r="K310" i="8"/>
  <c r="H310" i="8"/>
  <c r="F310" i="8"/>
  <c r="D310" i="8"/>
  <c r="B310" i="8"/>
  <c r="S309" i="8"/>
  <c r="K309" i="8"/>
  <c r="H309" i="8"/>
  <c r="F309" i="8"/>
  <c r="D309" i="8"/>
  <c r="B309" i="8"/>
  <c r="S308" i="8"/>
  <c r="K308" i="8"/>
  <c r="H308" i="8"/>
  <c r="F308" i="8"/>
  <c r="D308" i="8"/>
  <c r="B308" i="8"/>
  <c r="S307" i="8"/>
  <c r="K307" i="8"/>
  <c r="H307" i="8"/>
  <c r="F307" i="8"/>
  <c r="D307" i="8"/>
  <c r="B307" i="8"/>
  <c r="S306" i="8"/>
  <c r="K306" i="8"/>
  <c r="H306" i="8"/>
  <c r="F306" i="8"/>
  <c r="D306" i="8"/>
  <c r="B306" i="8"/>
  <c r="S305" i="8"/>
  <c r="K305" i="8"/>
  <c r="H305" i="8"/>
  <c r="F305" i="8"/>
  <c r="D305" i="8"/>
  <c r="B305" i="8"/>
  <c r="S304" i="8"/>
  <c r="K304" i="8"/>
  <c r="H304" i="8"/>
  <c r="F304" i="8"/>
  <c r="D304" i="8"/>
  <c r="B304" i="8"/>
  <c r="S303" i="8"/>
  <c r="K303" i="8"/>
  <c r="H303" i="8"/>
  <c r="F303" i="8"/>
  <c r="D303" i="8"/>
  <c r="B303" i="8"/>
  <c r="S302" i="8"/>
  <c r="K302" i="8"/>
  <c r="H302" i="8"/>
  <c r="F302" i="8"/>
  <c r="D302" i="8"/>
  <c r="B302" i="8"/>
  <c r="S301" i="8"/>
  <c r="K301" i="8"/>
  <c r="H301" i="8"/>
  <c r="F301" i="8"/>
  <c r="D301" i="8"/>
  <c r="B301" i="8"/>
  <c r="S300" i="8"/>
  <c r="K300" i="8"/>
  <c r="H300" i="8"/>
  <c r="F300" i="8"/>
  <c r="D300" i="8"/>
  <c r="B300" i="8"/>
  <c r="S299" i="8"/>
  <c r="K299" i="8"/>
  <c r="H299" i="8"/>
  <c r="F299" i="8"/>
  <c r="D299" i="8"/>
  <c r="B299" i="8"/>
  <c r="S298" i="8"/>
  <c r="K298" i="8"/>
  <c r="H298" i="8"/>
  <c r="F298" i="8"/>
  <c r="D298" i="8"/>
  <c r="B298" i="8"/>
  <c r="S297" i="8"/>
  <c r="K297" i="8"/>
  <c r="H297" i="8"/>
  <c r="F297" i="8"/>
  <c r="D297" i="8"/>
  <c r="B297" i="8"/>
  <c r="S296" i="8"/>
  <c r="K296" i="8"/>
  <c r="H296" i="8"/>
  <c r="F296" i="8"/>
  <c r="D296" i="8"/>
  <c r="B296" i="8"/>
  <c r="S295" i="8"/>
  <c r="K295" i="8"/>
  <c r="H295" i="8"/>
  <c r="F295" i="8"/>
  <c r="D295" i="8"/>
  <c r="B295" i="8"/>
  <c r="S294" i="8"/>
  <c r="K294" i="8"/>
  <c r="H294" i="8"/>
  <c r="F294" i="8"/>
  <c r="D294" i="8"/>
  <c r="B294" i="8"/>
  <c r="S293" i="8"/>
  <c r="K293" i="8"/>
  <c r="H293" i="8"/>
  <c r="F293" i="8"/>
  <c r="D293" i="8"/>
  <c r="B293" i="8"/>
  <c r="S292" i="8"/>
  <c r="K292" i="8"/>
  <c r="H292" i="8"/>
  <c r="F292" i="8"/>
  <c r="D292" i="8"/>
  <c r="B292" i="8"/>
  <c r="S291" i="8"/>
  <c r="K291" i="8"/>
  <c r="H291" i="8"/>
  <c r="F291" i="8"/>
  <c r="D291" i="8"/>
  <c r="B291" i="8"/>
  <c r="S290" i="8"/>
  <c r="K290" i="8"/>
  <c r="H290" i="8"/>
  <c r="F290" i="8"/>
  <c r="D290" i="8"/>
  <c r="B290" i="8"/>
  <c r="S289" i="8"/>
  <c r="K289" i="8"/>
  <c r="H289" i="8"/>
  <c r="F289" i="8"/>
  <c r="D289" i="8"/>
  <c r="B289" i="8"/>
  <c r="S288" i="8"/>
  <c r="K288" i="8"/>
  <c r="H288" i="8"/>
  <c r="F288" i="8"/>
  <c r="D288" i="8"/>
  <c r="B288" i="8"/>
  <c r="S287" i="8"/>
  <c r="K287" i="8"/>
  <c r="H287" i="8"/>
  <c r="F287" i="8"/>
  <c r="D287" i="8"/>
  <c r="B287" i="8"/>
  <c r="S286" i="8"/>
  <c r="K286" i="8"/>
  <c r="H286" i="8"/>
  <c r="F286" i="8"/>
  <c r="D286" i="8"/>
  <c r="B286" i="8"/>
  <c r="S285" i="8"/>
  <c r="K285" i="8"/>
  <c r="H285" i="8"/>
  <c r="F285" i="8"/>
  <c r="D285" i="8"/>
  <c r="B285" i="8"/>
  <c r="S284" i="8"/>
  <c r="K284" i="8"/>
  <c r="H284" i="8"/>
  <c r="F284" i="8"/>
  <c r="D284" i="8"/>
  <c r="B284" i="8"/>
  <c r="S283" i="8"/>
  <c r="K283" i="8"/>
  <c r="H283" i="8"/>
  <c r="F283" i="8"/>
  <c r="D283" i="8"/>
  <c r="B283" i="8"/>
  <c r="S282" i="8"/>
  <c r="K282" i="8"/>
  <c r="H282" i="8"/>
  <c r="F282" i="8"/>
  <c r="D282" i="8"/>
  <c r="B282" i="8"/>
  <c r="S281" i="8"/>
  <c r="K281" i="8"/>
  <c r="H281" i="8"/>
  <c r="F281" i="8"/>
  <c r="D281" i="8"/>
  <c r="B281" i="8"/>
  <c r="S280" i="8"/>
  <c r="K280" i="8"/>
  <c r="H280" i="8"/>
  <c r="F280" i="8"/>
  <c r="D280" i="8"/>
  <c r="B280" i="8"/>
  <c r="S279" i="8"/>
  <c r="K279" i="8"/>
  <c r="H279" i="8"/>
  <c r="F279" i="8"/>
  <c r="D279" i="8"/>
  <c r="B279" i="8"/>
  <c r="S278" i="8"/>
  <c r="K278" i="8"/>
  <c r="H278" i="8"/>
  <c r="F278" i="8"/>
  <c r="D278" i="8"/>
  <c r="B278" i="8"/>
  <c r="S277" i="8"/>
  <c r="K277" i="8"/>
  <c r="H277" i="8"/>
  <c r="F277" i="8"/>
  <c r="D277" i="8"/>
  <c r="B277" i="8"/>
  <c r="S276" i="8"/>
  <c r="K276" i="8"/>
  <c r="H276" i="8"/>
  <c r="F276" i="8"/>
  <c r="D276" i="8"/>
  <c r="B276" i="8"/>
  <c r="S275" i="8"/>
  <c r="K275" i="8"/>
  <c r="H275" i="8"/>
  <c r="F275" i="8"/>
  <c r="D275" i="8"/>
  <c r="B275" i="8"/>
  <c r="S274" i="8"/>
  <c r="K274" i="8"/>
  <c r="H274" i="8"/>
  <c r="F274" i="8"/>
  <c r="D274" i="8"/>
  <c r="B274" i="8"/>
  <c r="S273" i="8"/>
  <c r="K273" i="8"/>
  <c r="H273" i="8"/>
  <c r="F273" i="8"/>
  <c r="D273" i="8"/>
  <c r="B273" i="8"/>
  <c r="S272" i="8"/>
  <c r="K272" i="8"/>
  <c r="H272" i="8"/>
  <c r="F272" i="8"/>
  <c r="D272" i="8"/>
  <c r="B272" i="8"/>
  <c r="S271" i="8"/>
  <c r="K271" i="8"/>
  <c r="H271" i="8"/>
  <c r="F271" i="8"/>
  <c r="D271" i="8"/>
  <c r="B271" i="8"/>
  <c r="S270" i="8"/>
  <c r="K270" i="8"/>
  <c r="H270" i="8"/>
  <c r="F270" i="8"/>
  <c r="D270" i="8"/>
  <c r="B270" i="8"/>
  <c r="S269" i="8"/>
  <c r="K269" i="8"/>
  <c r="H269" i="8"/>
  <c r="F269" i="8"/>
  <c r="D269" i="8"/>
  <c r="B269" i="8"/>
  <c r="S268" i="8"/>
  <c r="K268" i="8"/>
  <c r="H268" i="8"/>
  <c r="F268" i="8"/>
  <c r="D268" i="8"/>
  <c r="B268" i="8"/>
  <c r="S267" i="8"/>
  <c r="K267" i="8"/>
  <c r="H267" i="8"/>
  <c r="F267" i="8"/>
  <c r="D267" i="8"/>
  <c r="B267" i="8"/>
  <c r="S266" i="8"/>
  <c r="K266" i="8"/>
  <c r="H266" i="8"/>
  <c r="F266" i="8"/>
  <c r="D266" i="8"/>
  <c r="B266" i="8"/>
  <c r="S265" i="8"/>
  <c r="K265" i="8"/>
  <c r="H265" i="8"/>
  <c r="F265" i="8"/>
  <c r="D265" i="8"/>
  <c r="B265" i="8"/>
  <c r="S264" i="8"/>
  <c r="K264" i="8"/>
  <c r="H264" i="8"/>
  <c r="F264" i="8"/>
  <c r="D264" i="8"/>
  <c r="B264" i="8"/>
  <c r="S263" i="8"/>
  <c r="K263" i="8"/>
  <c r="H263" i="8"/>
  <c r="F263" i="8"/>
  <c r="D263" i="8"/>
  <c r="B263" i="8"/>
  <c r="S262" i="8"/>
  <c r="K262" i="8"/>
  <c r="H262" i="8"/>
  <c r="F262" i="8"/>
  <c r="D262" i="8"/>
  <c r="B262" i="8"/>
  <c r="S261" i="8"/>
  <c r="K261" i="8"/>
  <c r="H261" i="8"/>
  <c r="F261" i="8"/>
  <c r="D261" i="8"/>
  <c r="B261" i="8"/>
  <c r="S260" i="8"/>
  <c r="K260" i="8"/>
  <c r="H260" i="8"/>
  <c r="F260" i="8"/>
  <c r="D260" i="8"/>
  <c r="B260" i="8"/>
  <c r="S259" i="8"/>
  <c r="K259" i="8"/>
  <c r="H259" i="8"/>
  <c r="F259" i="8"/>
  <c r="D259" i="8"/>
  <c r="B259" i="8"/>
  <c r="S258" i="8"/>
  <c r="K258" i="8"/>
  <c r="H258" i="8"/>
  <c r="F258" i="8"/>
  <c r="D258" i="8"/>
  <c r="B258" i="8"/>
  <c r="S257" i="8"/>
  <c r="K257" i="8"/>
  <c r="H257" i="8"/>
  <c r="F257" i="8"/>
  <c r="D257" i="8"/>
  <c r="B257" i="8"/>
  <c r="S256" i="8"/>
  <c r="K256" i="8"/>
  <c r="H256" i="8"/>
  <c r="F256" i="8"/>
  <c r="D256" i="8"/>
  <c r="B256" i="8"/>
  <c r="S255" i="8"/>
  <c r="K255" i="8"/>
  <c r="H255" i="8"/>
  <c r="F255" i="8"/>
  <c r="D255" i="8"/>
  <c r="B255" i="8"/>
  <c r="S254" i="8"/>
  <c r="K254" i="8"/>
  <c r="H254" i="8"/>
  <c r="F254" i="8"/>
  <c r="D254" i="8"/>
  <c r="B254" i="8"/>
  <c r="S253" i="8"/>
  <c r="K253" i="8"/>
  <c r="H253" i="8"/>
  <c r="F253" i="8"/>
  <c r="D253" i="8"/>
  <c r="B253" i="8"/>
  <c r="S252" i="8"/>
  <c r="K252" i="8"/>
  <c r="H252" i="8"/>
  <c r="F252" i="8"/>
  <c r="D252" i="8"/>
  <c r="B252" i="8"/>
  <c r="S251" i="8"/>
  <c r="K251" i="8"/>
  <c r="H251" i="8"/>
  <c r="F251" i="8"/>
  <c r="D251" i="8"/>
  <c r="B251" i="8"/>
  <c r="S250" i="8"/>
  <c r="K250" i="8"/>
  <c r="H250" i="8"/>
  <c r="F250" i="8"/>
  <c r="D250" i="8"/>
  <c r="B250" i="8"/>
  <c r="S249" i="8"/>
  <c r="K249" i="8"/>
  <c r="H249" i="8"/>
  <c r="F249" i="8"/>
  <c r="D249" i="8"/>
  <c r="B249" i="8"/>
  <c r="S248" i="8"/>
  <c r="K248" i="8"/>
  <c r="H248" i="8"/>
  <c r="F248" i="8"/>
  <c r="D248" i="8"/>
  <c r="B248" i="8"/>
  <c r="S247" i="8"/>
  <c r="K247" i="8"/>
  <c r="H247" i="8"/>
  <c r="F247" i="8"/>
  <c r="D247" i="8"/>
  <c r="B247" i="8"/>
  <c r="S246" i="8"/>
  <c r="K246" i="8"/>
  <c r="H246" i="8"/>
  <c r="F246" i="8"/>
  <c r="D246" i="8"/>
  <c r="B246" i="8"/>
  <c r="S245" i="8"/>
  <c r="K245" i="8"/>
  <c r="H245" i="8"/>
  <c r="F245" i="8"/>
  <c r="D245" i="8"/>
  <c r="B245" i="8"/>
  <c r="S244" i="8"/>
  <c r="K244" i="8"/>
  <c r="H244" i="8"/>
  <c r="F244" i="8"/>
  <c r="D244" i="8"/>
  <c r="B244" i="8"/>
  <c r="S243" i="8"/>
  <c r="K243" i="8"/>
  <c r="H243" i="8"/>
  <c r="F243" i="8"/>
  <c r="D243" i="8"/>
  <c r="B243" i="8"/>
  <c r="S242" i="8"/>
  <c r="K242" i="8"/>
  <c r="H242" i="8"/>
  <c r="F242" i="8"/>
  <c r="D242" i="8"/>
  <c r="B242" i="8"/>
  <c r="S241" i="8"/>
  <c r="K241" i="8"/>
  <c r="H241" i="8"/>
  <c r="F241" i="8"/>
  <c r="D241" i="8"/>
  <c r="B241" i="8"/>
  <c r="S240" i="8"/>
  <c r="K240" i="8"/>
  <c r="H240" i="8"/>
  <c r="F240" i="8"/>
  <c r="D240" i="8"/>
  <c r="B240" i="8"/>
  <c r="S239" i="8"/>
  <c r="K239" i="8"/>
  <c r="H239" i="8"/>
  <c r="F239" i="8"/>
  <c r="D239" i="8"/>
  <c r="B239" i="8"/>
  <c r="S238" i="8"/>
  <c r="K238" i="8"/>
  <c r="H238" i="8"/>
  <c r="F238" i="8"/>
  <c r="D238" i="8"/>
  <c r="B238" i="8"/>
  <c r="S237" i="8"/>
  <c r="K237" i="8"/>
  <c r="H237" i="8"/>
  <c r="F237" i="8"/>
  <c r="D237" i="8"/>
  <c r="B237" i="8"/>
  <c r="S236" i="8"/>
  <c r="K236" i="8"/>
  <c r="H236" i="8"/>
  <c r="F236" i="8"/>
  <c r="D236" i="8"/>
  <c r="B236" i="8"/>
  <c r="S235" i="8"/>
  <c r="K235" i="8"/>
  <c r="H235" i="8"/>
  <c r="F235" i="8"/>
  <c r="D235" i="8"/>
  <c r="B235" i="8"/>
  <c r="S234" i="8"/>
  <c r="K234" i="8"/>
  <c r="H234" i="8"/>
  <c r="F234" i="8"/>
  <c r="D234" i="8"/>
  <c r="B234" i="8"/>
  <c r="S233" i="8"/>
  <c r="K233" i="8"/>
  <c r="H233" i="8"/>
  <c r="F233" i="8"/>
  <c r="D233" i="8"/>
  <c r="B233" i="8"/>
  <c r="S232" i="8"/>
  <c r="K232" i="8"/>
  <c r="H232" i="8"/>
  <c r="F232" i="8"/>
  <c r="D232" i="8"/>
  <c r="B232" i="8"/>
  <c r="S231" i="8"/>
  <c r="K231" i="8"/>
  <c r="H231" i="8"/>
  <c r="F231" i="8"/>
  <c r="D231" i="8"/>
  <c r="B231" i="8"/>
  <c r="S230" i="8"/>
  <c r="K230" i="8"/>
  <c r="H230" i="8"/>
  <c r="F230" i="8"/>
  <c r="D230" i="8"/>
  <c r="B230" i="8"/>
  <c r="S229" i="8"/>
  <c r="K229" i="8"/>
  <c r="H229" i="8"/>
  <c r="F229" i="8"/>
  <c r="D229" i="8"/>
  <c r="B229" i="8"/>
  <c r="S228" i="8"/>
  <c r="K228" i="8"/>
  <c r="H228" i="8"/>
  <c r="F228" i="8"/>
  <c r="D228" i="8"/>
  <c r="B228" i="8"/>
  <c r="S227" i="8"/>
  <c r="K227" i="8"/>
  <c r="H227" i="8"/>
  <c r="F227" i="8"/>
  <c r="D227" i="8"/>
  <c r="B227" i="8"/>
  <c r="S226" i="8"/>
  <c r="K226" i="8"/>
  <c r="H226" i="8"/>
  <c r="F226" i="8"/>
  <c r="D226" i="8"/>
  <c r="B226" i="8"/>
  <c r="S225" i="8"/>
  <c r="K225" i="8"/>
  <c r="H225" i="8"/>
  <c r="F225" i="8"/>
  <c r="D225" i="8"/>
  <c r="B225" i="8"/>
  <c r="S224" i="8"/>
  <c r="K224" i="8"/>
  <c r="H224" i="8"/>
  <c r="F224" i="8"/>
  <c r="D224" i="8"/>
  <c r="B224" i="8"/>
  <c r="S223" i="8"/>
  <c r="K223" i="8"/>
  <c r="H223" i="8"/>
  <c r="F223" i="8"/>
  <c r="D223" i="8"/>
  <c r="B223" i="8"/>
  <c r="S222" i="8"/>
  <c r="K222" i="8"/>
  <c r="H222" i="8"/>
  <c r="F222" i="8"/>
  <c r="D222" i="8"/>
  <c r="B222" i="8"/>
  <c r="S221" i="8"/>
  <c r="K221" i="8"/>
  <c r="H221" i="8"/>
  <c r="F221" i="8"/>
  <c r="D221" i="8"/>
  <c r="B221" i="8"/>
  <c r="S220" i="8"/>
  <c r="K220" i="8"/>
  <c r="H220" i="8"/>
  <c r="F220" i="8"/>
  <c r="D220" i="8"/>
  <c r="B220" i="8"/>
  <c r="S219" i="8"/>
  <c r="K219" i="8"/>
  <c r="H219" i="8"/>
  <c r="F219" i="8"/>
  <c r="D219" i="8"/>
  <c r="B219" i="8"/>
  <c r="S218" i="8"/>
  <c r="K218" i="8"/>
  <c r="H218" i="8"/>
  <c r="F218" i="8"/>
  <c r="D218" i="8"/>
  <c r="B218" i="8"/>
  <c r="S217" i="8"/>
  <c r="K217" i="8"/>
  <c r="H217" i="8"/>
  <c r="F217" i="8"/>
  <c r="D217" i="8"/>
  <c r="B217" i="8"/>
  <c r="S216" i="8"/>
  <c r="K216" i="8"/>
  <c r="H216" i="8"/>
  <c r="F216" i="8"/>
  <c r="D216" i="8"/>
  <c r="B216" i="8"/>
  <c r="S215" i="8"/>
  <c r="K215" i="8"/>
  <c r="H215" i="8"/>
  <c r="F215" i="8"/>
  <c r="D215" i="8"/>
  <c r="B215" i="8"/>
  <c r="S214" i="8"/>
  <c r="K214" i="8"/>
  <c r="H214" i="8"/>
  <c r="F214" i="8"/>
  <c r="D214" i="8"/>
  <c r="B214" i="8"/>
  <c r="S213" i="8"/>
  <c r="K213" i="8"/>
  <c r="H213" i="8"/>
  <c r="F213" i="8"/>
  <c r="D213" i="8"/>
  <c r="B213" i="8"/>
  <c r="S212" i="8"/>
  <c r="K212" i="8"/>
  <c r="H212" i="8"/>
  <c r="F212" i="8"/>
  <c r="D212" i="8"/>
  <c r="B212" i="8"/>
  <c r="S211" i="8"/>
  <c r="K211" i="8"/>
  <c r="H211" i="8"/>
  <c r="F211" i="8"/>
  <c r="D211" i="8"/>
  <c r="B211" i="8"/>
  <c r="S210" i="8"/>
  <c r="K210" i="8"/>
  <c r="H210" i="8"/>
  <c r="F210" i="8"/>
  <c r="D210" i="8"/>
  <c r="B210" i="8"/>
  <c r="S209" i="8"/>
  <c r="K209" i="8"/>
  <c r="H209" i="8"/>
  <c r="F209" i="8"/>
  <c r="D209" i="8"/>
  <c r="B209" i="8"/>
  <c r="S208" i="8"/>
  <c r="K208" i="8"/>
  <c r="H208" i="8"/>
  <c r="F208" i="8"/>
  <c r="D208" i="8"/>
  <c r="B208" i="8"/>
  <c r="S207" i="8"/>
  <c r="K207" i="8"/>
  <c r="H207" i="8"/>
  <c r="F207" i="8"/>
  <c r="D207" i="8"/>
  <c r="B207" i="8"/>
  <c r="S206" i="8"/>
  <c r="K206" i="8"/>
  <c r="H206" i="8"/>
  <c r="F206" i="8"/>
  <c r="D206" i="8"/>
  <c r="B206" i="8"/>
  <c r="S205" i="8"/>
  <c r="K205" i="8"/>
  <c r="H205" i="8"/>
  <c r="F205" i="8"/>
  <c r="D205" i="8"/>
  <c r="B205" i="8"/>
  <c r="S204" i="8"/>
  <c r="K204" i="8"/>
  <c r="H204" i="8"/>
  <c r="F204" i="8"/>
  <c r="D204" i="8"/>
  <c r="B204" i="8"/>
  <c r="S203" i="8"/>
  <c r="K203" i="8"/>
  <c r="H203" i="8"/>
  <c r="F203" i="8"/>
  <c r="D203" i="8"/>
  <c r="B203" i="8"/>
  <c r="S202" i="8"/>
  <c r="K202" i="8"/>
  <c r="H202" i="8"/>
  <c r="F202" i="8"/>
  <c r="D202" i="8"/>
  <c r="B202" i="8"/>
  <c r="S201" i="8"/>
  <c r="K201" i="8"/>
  <c r="H201" i="8"/>
  <c r="F201" i="8"/>
  <c r="D201" i="8"/>
  <c r="B201" i="8"/>
  <c r="S200" i="8"/>
  <c r="K200" i="8"/>
  <c r="H200" i="8"/>
  <c r="F200" i="8"/>
  <c r="D200" i="8"/>
  <c r="B200" i="8"/>
  <c r="S199" i="8"/>
  <c r="K199" i="8"/>
  <c r="H199" i="8"/>
  <c r="F199" i="8"/>
  <c r="D199" i="8"/>
  <c r="B199" i="8"/>
  <c r="S198" i="8"/>
  <c r="K198" i="8"/>
  <c r="H198" i="8"/>
  <c r="F198" i="8"/>
  <c r="D198" i="8"/>
  <c r="B198" i="8"/>
  <c r="S197" i="8"/>
  <c r="K197" i="8"/>
  <c r="H197" i="8"/>
  <c r="F197" i="8"/>
  <c r="D197" i="8"/>
  <c r="B197" i="8"/>
  <c r="S196" i="8"/>
  <c r="K196" i="8"/>
  <c r="H196" i="8"/>
  <c r="F196" i="8"/>
  <c r="D196" i="8"/>
  <c r="B196" i="8"/>
  <c r="S195" i="8"/>
  <c r="K195" i="8"/>
  <c r="H195" i="8"/>
  <c r="F195" i="8"/>
  <c r="D195" i="8"/>
  <c r="B195" i="8"/>
  <c r="S194" i="8"/>
  <c r="K194" i="8"/>
  <c r="H194" i="8"/>
  <c r="F194" i="8"/>
  <c r="D194" i="8"/>
  <c r="B194" i="8"/>
  <c r="S193" i="8"/>
  <c r="K193" i="8"/>
  <c r="H193" i="8"/>
  <c r="F193" i="8"/>
  <c r="D193" i="8"/>
  <c r="B193" i="8"/>
  <c r="S192" i="8"/>
  <c r="K192" i="8"/>
  <c r="H192" i="8"/>
  <c r="F192" i="8"/>
  <c r="D192" i="8"/>
  <c r="B192" i="8"/>
  <c r="S191" i="8"/>
  <c r="K191" i="8"/>
  <c r="H191" i="8"/>
  <c r="F191" i="8"/>
  <c r="D191" i="8"/>
  <c r="B191" i="8"/>
  <c r="S190" i="8"/>
  <c r="K190" i="8"/>
  <c r="H190" i="8"/>
  <c r="F190" i="8"/>
  <c r="D190" i="8"/>
  <c r="B190" i="8"/>
  <c r="S189" i="8"/>
  <c r="K189" i="8"/>
  <c r="H189" i="8"/>
  <c r="F189" i="8"/>
  <c r="D189" i="8"/>
  <c r="B189" i="8"/>
  <c r="S188" i="8"/>
  <c r="K188" i="8"/>
  <c r="H188" i="8"/>
  <c r="F188" i="8"/>
  <c r="D188" i="8"/>
  <c r="B188" i="8"/>
  <c r="S187" i="8"/>
  <c r="K187" i="8"/>
  <c r="H187" i="8"/>
  <c r="F187" i="8"/>
  <c r="D187" i="8"/>
  <c r="B187" i="8"/>
  <c r="S186" i="8"/>
  <c r="K186" i="8"/>
  <c r="H186" i="8"/>
  <c r="F186" i="8"/>
  <c r="D186" i="8"/>
  <c r="B186" i="8"/>
  <c r="S185" i="8"/>
  <c r="K185" i="8"/>
  <c r="H185" i="8"/>
  <c r="F185" i="8"/>
  <c r="D185" i="8"/>
  <c r="B185" i="8"/>
  <c r="S184" i="8"/>
  <c r="K184" i="8"/>
  <c r="H184" i="8"/>
  <c r="F184" i="8"/>
  <c r="D184" i="8"/>
  <c r="B184" i="8"/>
  <c r="S183" i="8"/>
  <c r="K183" i="8"/>
  <c r="H183" i="8"/>
  <c r="F183" i="8"/>
  <c r="D183" i="8"/>
  <c r="B183" i="8"/>
  <c r="S182" i="8"/>
  <c r="K182" i="8"/>
  <c r="H182" i="8"/>
  <c r="F182" i="8"/>
  <c r="D182" i="8"/>
  <c r="B182" i="8"/>
  <c r="S181" i="8"/>
  <c r="K181" i="8"/>
  <c r="H181" i="8"/>
  <c r="F181" i="8"/>
  <c r="D181" i="8"/>
  <c r="B181" i="8"/>
  <c r="S180" i="8"/>
  <c r="K180" i="8"/>
  <c r="H180" i="8"/>
  <c r="F180" i="8"/>
  <c r="D180" i="8"/>
  <c r="B180" i="8"/>
  <c r="S179" i="8"/>
  <c r="K179" i="8"/>
  <c r="H179" i="8"/>
  <c r="F179" i="8"/>
  <c r="D179" i="8"/>
  <c r="B179" i="8"/>
  <c r="S178" i="8"/>
  <c r="K178" i="8"/>
  <c r="H178" i="8"/>
  <c r="F178" i="8"/>
  <c r="D178" i="8"/>
  <c r="B178" i="8"/>
  <c r="S177" i="8"/>
  <c r="K177" i="8"/>
  <c r="H177" i="8"/>
  <c r="F177" i="8"/>
  <c r="D177" i="8"/>
  <c r="B177" i="8"/>
  <c r="S176" i="8"/>
  <c r="K176" i="8"/>
  <c r="H176" i="8"/>
  <c r="F176" i="8"/>
  <c r="D176" i="8"/>
  <c r="B176" i="8"/>
  <c r="S175" i="8"/>
  <c r="K175" i="8"/>
  <c r="H175" i="8"/>
  <c r="F175" i="8"/>
  <c r="D175" i="8"/>
  <c r="B175" i="8"/>
  <c r="S174" i="8"/>
  <c r="K174" i="8"/>
  <c r="H174" i="8"/>
  <c r="F174" i="8"/>
  <c r="D174" i="8"/>
  <c r="B174" i="8"/>
  <c r="S173" i="8"/>
  <c r="K173" i="8"/>
  <c r="H173" i="8"/>
  <c r="F173" i="8"/>
  <c r="D173" i="8"/>
  <c r="B173" i="8"/>
  <c r="S172" i="8"/>
  <c r="K172" i="8"/>
  <c r="H172" i="8"/>
  <c r="F172" i="8"/>
  <c r="D172" i="8"/>
  <c r="B172" i="8"/>
  <c r="S171" i="8"/>
  <c r="K171" i="8"/>
  <c r="H171" i="8"/>
  <c r="F171" i="8"/>
  <c r="D171" i="8"/>
  <c r="B171" i="8"/>
  <c r="S170" i="8"/>
  <c r="K170" i="8"/>
  <c r="H170" i="8"/>
  <c r="F170" i="8"/>
  <c r="D170" i="8"/>
  <c r="B170" i="8"/>
  <c r="S169" i="8"/>
  <c r="K169" i="8"/>
  <c r="H169" i="8"/>
  <c r="F169" i="8"/>
  <c r="D169" i="8"/>
  <c r="B169" i="8"/>
  <c r="S168" i="8"/>
  <c r="K168" i="8"/>
  <c r="H168" i="8"/>
  <c r="F168" i="8"/>
  <c r="D168" i="8"/>
  <c r="B168" i="8"/>
  <c r="S167" i="8"/>
  <c r="K167" i="8"/>
  <c r="H167" i="8"/>
  <c r="F167" i="8"/>
  <c r="D167" i="8"/>
  <c r="B167" i="8"/>
  <c r="S166" i="8"/>
  <c r="K166" i="8"/>
  <c r="H166" i="8"/>
  <c r="F166" i="8"/>
  <c r="D166" i="8"/>
  <c r="B166" i="8"/>
  <c r="S165" i="8"/>
  <c r="K165" i="8"/>
  <c r="H165" i="8"/>
  <c r="F165" i="8"/>
  <c r="D165" i="8"/>
  <c r="B165" i="8"/>
  <c r="S164" i="8"/>
  <c r="K164" i="8"/>
  <c r="H164" i="8"/>
  <c r="F164" i="8"/>
  <c r="D164" i="8"/>
  <c r="B164" i="8"/>
  <c r="S163" i="8"/>
  <c r="K163" i="8"/>
  <c r="H163" i="8"/>
  <c r="F163" i="8"/>
  <c r="D163" i="8"/>
  <c r="B163" i="8"/>
  <c r="S162" i="8"/>
  <c r="K162" i="8"/>
  <c r="H162" i="8"/>
  <c r="F162" i="8"/>
  <c r="D162" i="8"/>
  <c r="B162" i="8"/>
  <c r="S161" i="8"/>
  <c r="K161" i="8"/>
  <c r="H161" i="8"/>
  <c r="F161" i="8"/>
  <c r="D161" i="8"/>
  <c r="B161" i="8"/>
  <c r="S160" i="8"/>
  <c r="K160" i="8"/>
  <c r="H160" i="8"/>
  <c r="F160" i="8"/>
  <c r="D160" i="8"/>
  <c r="B160" i="8"/>
  <c r="S159" i="8"/>
  <c r="K159" i="8"/>
  <c r="H159" i="8"/>
  <c r="F159" i="8"/>
  <c r="D159" i="8"/>
  <c r="B159" i="8"/>
  <c r="S158" i="8"/>
  <c r="K158" i="8"/>
  <c r="H158" i="8"/>
  <c r="F158" i="8"/>
  <c r="D158" i="8"/>
  <c r="B158" i="8"/>
  <c r="S157" i="8"/>
  <c r="K157" i="8"/>
  <c r="H157" i="8"/>
  <c r="F157" i="8"/>
  <c r="D157" i="8"/>
  <c r="B157" i="8"/>
  <c r="S156" i="8"/>
  <c r="K156" i="8"/>
  <c r="H156" i="8"/>
  <c r="F156" i="8"/>
  <c r="D156" i="8"/>
  <c r="B156" i="8"/>
  <c r="S155" i="8"/>
  <c r="K155" i="8"/>
  <c r="H155" i="8"/>
  <c r="F155" i="8"/>
  <c r="D155" i="8"/>
  <c r="B155" i="8"/>
  <c r="S154" i="8"/>
  <c r="K154" i="8"/>
  <c r="H154" i="8"/>
  <c r="F154" i="8"/>
  <c r="D154" i="8"/>
  <c r="B154" i="8"/>
  <c r="S153" i="8"/>
  <c r="K153" i="8"/>
  <c r="H153" i="8"/>
  <c r="F153" i="8"/>
  <c r="D153" i="8"/>
  <c r="B153" i="8"/>
  <c r="S152" i="8"/>
  <c r="K152" i="8"/>
  <c r="H152" i="8"/>
  <c r="F152" i="8"/>
  <c r="D152" i="8"/>
  <c r="B152" i="8"/>
  <c r="S151" i="8"/>
  <c r="K151" i="8"/>
  <c r="H151" i="8"/>
  <c r="F151" i="8"/>
  <c r="D151" i="8"/>
  <c r="B151" i="8"/>
  <c r="S150" i="8"/>
  <c r="K150" i="8"/>
  <c r="H150" i="8"/>
  <c r="F150" i="8"/>
  <c r="D150" i="8"/>
  <c r="B150" i="8"/>
  <c r="S149" i="8"/>
  <c r="K149" i="8"/>
  <c r="H149" i="8"/>
  <c r="F149" i="8"/>
  <c r="D149" i="8"/>
  <c r="B149" i="8"/>
  <c r="S148" i="8"/>
  <c r="K148" i="8"/>
  <c r="H148" i="8"/>
  <c r="F148" i="8"/>
  <c r="D148" i="8"/>
  <c r="B148" i="8"/>
  <c r="S147" i="8"/>
  <c r="K147" i="8"/>
  <c r="H147" i="8"/>
  <c r="F147" i="8"/>
  <c r="D147" i="8"/>
  <c r="B147" i="8"/>
  <c r="S146" i="8"/>
  <c r="K146" i="8"/>
  <c r="H146" i="8"/>
  <c r="F146" i="8"/>
  <c r="D146" i="8"/>
  <c r="B146" i="8"/>
  <c r="S145" i="8"/>
  <c r="K145" i="8"/>
  <c r="H145" i="8"/>
  <c r="F145" i="8"/>
  <c r="D145" i="8"/>
  <c r="B145" i="8"/>
  <c r="S144" i="8"/>
  <c r="K144" i="8"/>
  <c r="H144" i="8"/>
  <c r="F144" i="8"/>
  <c r="D144" i="8"/>
  <c r="B144" i="8"/>
  <c r="S143" i="8"/>
  <c r="K143" i="8"/>
  <c r="H143" i="8"/>
  <c r="F143" i="8"/>
  <c r="D143" i="8"/>
  <c r="B143" i="8"/>
  <c r="S142" i="8"/>
  <c r="K142" i="8"/>
  <c r="H142" i="8"/>
  <c r="F142" i="8"/>
  <c r="D142" i="8"/>
  <c r="B142" i="8"/>
  <c r="S141" i="8"/>
  <c r="K141" i="8"/>
  <c r="H141" i="8"/>
  <c r="F141" i="8"/>
  <c r="D141" i="8"/>
  <c r="B141" i="8"/>
  <c r="S140" i="8"/>
  <c r="K140" i="8"/>
  <c r="H140" i="8"/>
  <c r="F140" i="8"/>
  <c r="D140" i="8"/>
  <c r="B140" i="8"/>
  <c r="S139" i="8"/>
  <c r="K139" i="8"/>
  <c r="H139" i="8"/>
  <c r="F139" i="8"/>
  <c r="D139" i="8"/>
  <c r="B139" i="8"/>
  <c r="S138" i="8"/>
  <c r="K138" i="8"/>
  <c r="H138" i="8"/>
  <c r="F138" i="8"/>
  <c r="D138" i="8"/>
  <c r="B138" i="8"/>
  <c r="S137" i="8"/>
  <c r="K137" i="8"/>
  <c r="H137" i="8"/>
  <c r="F137" i="8"/>
  <c r="D137" i="8"/>
  <c r="B137" i="8"/>
  <c r="S136" i="8"/>
  <c r="K136" i="8"/>
  <c r="H136" i="8"/>
  <c r="F136" i="8"/>
  <c r="D136" i="8"/>
  <c r="B136" i="8"/>
  <c r="S135" i="8"/>
  <c r="K135" i="8"/>
  <c r="H135" i="8"/>
  <c r="F135" i="8"/>
  <c r="D135" i="8"/>
  <c r="B135" i="8"/>
  <c r="S134" i="8"/>
  <c r="K134" i="8"/>
  <c r="H134" i="8"/>
  <c r="F134" i="8"/>
  <c r="D134" i="8"/>
  <c r="B134" i="8"/>
  <c r="S133" i="8"/>
  <c r="K133" i="8"/>
  <c r="H133" i="8"/>
  <c r="F133" i="8"/>
  <c r="D133" i="8"/>
  <c r="B133" i="8"/>
  <c r="S132" i="8"/>
  <c r="K132" i="8"/>
  <c r="H132" i="8"/>
  <c r="F132" i="8"/>
  <c r="D132" i="8"/>
  <c r="B132" i="8"/>
  <c r="S131" i="8"/>
  <c r="K131" i="8"/>
  <c r="H131" i="8"/>
  <c r="F131" i="8"/>
  <c r="D131" i="8"/>
  <c r="B131" i="8"/>
  <c r="S130" i="8"/>
  <c r="K130" i="8"/>
  <c r="H130" i="8"/>
  <c r="F130" i="8"/>
  <c r="D130" i="8"/>
  <c r="B130" i="8"/>
  <c r="S129" i="8"/>
  <c r="K129" i="8"/>
  <c r="H129" i="8"/>
  <c r="F129" i="8"/>
  <c r="D129" i="8"/>
  <c r="B129" i="8"/>
  <c r="S128" i="8"/>
  <c r="K128" i="8"/>
  <c r="H128" i="8"/>
  <c r="F128" i="8"/>
  <c r="D128" i="8"/>
  <c r="B128" i="8"/>
  <c r="S127" i="8"/>
  <c r="K127" i="8"/>
  <c r="H127" i="8"/>
  <c r="F127" i="8"/>
  <c r="D127" i="8"/>
  <c r="B127" i="8"/>
  <c r="S126" i="8"/>
  <c r="K126" i="8"/>
  <c r="H126" i="8"/>
  <c r="F126" i="8"/>
  <c r="D126" i="8"/>
  <c r="B126" i="8"/>
  <c r="S125" i="8"/>
  <c r="K125" i="8"/>
  <c r="H125" i="8"/>
  <c r="F125" i="8"/>
  <c r="D125" i="8"/>
  <c r="B125" i="8"/>
  <c r="S124" i="8"/>
  <c r="K124" i="8"/>
  <c r="H124" i="8"/>
  <c r="F124" i="8"/>
  <c r="D124" i="8"/>
  <c r="B124" i="8"/>
  <c r="S123" i="8"/>
  <c r="K123" i="8"/>
  <c r="H123" i="8"/>
  <c r="F123" i="8"/>
  <c r="D123" i="8"/>
  <c r="B123" i="8"/>
  <c r="S122" i="8"/>
  <c r="K122" i="8"/>
  <c r="H122" i="8"/>
  <c r="F122" i="8"/>
  <c r="D122" i="8"/>
  <c r="B122" i="8"/>
  <c r="S121" i="8"/>
  <c r="K121" i="8"/>
  <c r="H121" i="8"/>
  <c r="F121" i="8"/>
  <c r="D121" i="8"/>
  <c r="B121" i="8"/>
  <c r="S120" i="8"/>
  <c r="K120" i="8"/>
  <c r="H120" i="8"/>
  <c r="F120" i="8"/>
  <c r="D120" i="8"/>
  <c r="B120" i="8"/>
  <c r="S119" i="8"/>
  <c r="K119" i="8"/>
  <c r="H119" i="8"/>
  <c r="F119" i="8"/>
  <c r="D119" i="8"/>
  <c r="B119" i="8"/>
  <c r="S118" i="8"/>
  <c r="K118" i="8"/>
  <c r="H118" i="8"/>
  <c r="F118" i="8"/>
  <c r="D118" i="8"/>
  <c r="B118" i="8"/>
  <c r="S117" i="8"/>
  <c r="K117" i="8"/>
  <c r="H117" i="8"/>
  <c r="F117" i="8"/>
  <c r="D117" i="8"/>
  <c r="B117" i="8"/>
  <c r="S116" i="8"/>
  <c r="K116" i="8"/>
  <c r="H116" i="8"/>
  <c r="F116" i="8"/>
  <c r="D116" i="8"/>
  <c r="B116" i="8"/>
  <c r="S115" i="8"/>
  <c r="K115" i="8"/>
  <c r="H115" i="8"/>
  <c r="F115" i="8"/>
  <c r="D115" i="8"/>
  <c r="B115" i="8"/>
  <c r="S114" i="8"/>
  <c r="K114" i="8"/>
  <c r="H114" i="8"/>
  <c r="F114" i="8"/>
  <c r="D114" i="8"/>
  <c r="B114" i="8"/>
  <c r="S113" i="8"/>
  <c r="K113" i="8"/>
  <c r="H113" i="8"/>
  <c r="F113" i="8"/>
  <c r="D113" i="8"/>
  <c r="B113" i="8"/>
  <c r="S112" i="8"/>
  <c r="K112" i="8"/>
  <c r="H112" i="8"/>
  <c r="F112" i="8"/>
  <c r="D112" i="8"/>
  <c r="B112" i="8"/>
  <c r="S111" i="8"/>
  <c r="K111" i="8"/>
  <c r="H111" i="8"/>
  <c r="F111" i="8"/>
  <c r="D111" i="8"/>
  <c r="B111" i="8"/>
  <c r="S110" i="8"/>
  <c r="K110" i="8"/>
  <c r="H110" i="8"/>
  <c r="F110" i="8"/>
  <c r="D110" i="8"/>
  <c r="B110" i="8"/>
  <c r="S109" i="8"/>
  <c r="K109" i="8"/>
  <c r="H109" i="8"/>
  <c r="F109" i="8"/>
  <c r="D109" i="8"/>
  <c r="B109" i="8"/>
  <c r="S108" i="8"/>
  <c r="K108" i="8"/>
  <c r="H108" i="8"/>
  <c r="F108" i="8"/>
  <c r="D108" i="8"/>
  <c r="B108" i="8"/>
  <c r="S107" i="8"/>
  <c r="K107" i="8"/>
  <c r="H107" i="8"/>
  <c r="F107" i="8"/>
  <c r="D107" i="8"/>
  <c r="B107" i="8"/>
  <c r="S106" i="8"/>
  <c r="K106" i="8"/>
  <c r="H106" i="8"/>
  <c r="F106" i="8"/>
  <c r="D106" i="8"/>
  <c r="B106" i="8"/>
  <c r="S105" i="8"/>
  <c r="K105" i="8"/>
  <c r="H105" i="8"/>
  <c r="F105" i="8"/>
  <c r="D105" i="8"/>
  <c r="B105" i="8"/>
  <c r="S104" i="8"/>
  <c r="K104" i="8"/>
  <c r="H104" i="8"/>
  <c r="F104" i="8"/>
  <c r="D104" i="8"/>
  <c r="B104" i="8"/>
  <c r="S103" i="8"/>
  <c r="K103" i="8"/>
  <c r="H103" i="8"/>
  <c r="F103" i="8"/>
  <c r="D103" i="8"/>
  <c r="B103" i="8"/>
  <c r="S102" i="8"/>
  <c r="K102" i="8"/>
  <c r="H102" i="8"/>
  <c r="F102" i="8"/>
  <c r="D102" i="8"/>
  <c r="B102" i="8"/>
  <c r="S101" i="8"/>
  <c r="K101" i="8"/>
  <c r="H101" i="8"/>
  <c r="F101" i="8"/>
  <c r="D101" i="8"/>
  <c r="B101" i="8"/>
  <c r="S100" i="8"/>
  <c r="K100" i="8"/>
  <c r="H100" i="8"/>
  <c r="F100" i="8"/>
  <c r="D100" i="8"/>
  <c r="B100" i="8"/>
  <c r="S99" i="8"/>
  <c r="K99" i="8"/>
  <c r="H99" i="8"/>
  <c r="F99" i="8"/>
  <c r="D99" i="8"/>
  <c r="B99" i="8"/>
  <c r="S98" i="8"/>
  <c r="K98" i="8"/>
  <c r="H98" i="8"/>
  <c r="F98" i="8"/>
  <c r="D98" i="8"/>
  <c r="B98" i="8"/>
  <c r="S97" i="8"/>
  <c r="K97" i="8"/>
  <c r="H97" i="8"/>
  <c r="F97" i="8"/>
  <c r="D97" i="8"/>
  <c r="B97" i="8"/>
  <c r="S96" i="8"/>
  <c r="K96" i="8"/>
  <c r="H96" i="8"/>
  <c r="F96" i="8"/>
  <c r="D96" i="8"/>
  <c r="B96" i="8"/>
  <c r="S95" i="8"/>
  <c r="K95" i="8"/>
  <c r="H95" i="8"/>
  <c r="F95" i="8"/>
  <c r="D95" i="8"/>
  <c r="B95" i="8"/>
  <c r="S94" i="8"/>
  <c r="K94" i="8"/>
  <c r="H94" i="8"/>
  <c r="F94" i="8"/>
  <c r="D94" i="8"/>
  <c r="B94" i="8"/>
  <c r="S93" i="8"/>
  <c r="K93" i="8"/>
  <c r="H93" i="8"/>
  <c r="F93" i="8"/>
  <c r="D93" i="8"/>
  <c r="B93" i="8"/>
  <c r="S92" i="8"/>
  <c r="K92" i="8"/>
  <c r="H92" i="8"/>
  <c r="F92" i="8"/>
  <c r="D92" i="8"/>
  <c r="B92" i="8"/>
  <c r="S91" i="8"/>
  <c r="K91" i="8"/>
  <c r="H91" i="8"/>
  <c r="F91" i="8"/>
  <c r="D91" i="8"/>
  <c r="B91" i="8"/>
  <c r="S90" i="8"/>
  <c r="K90" i="8"/>
  <c r="H90" i="8"/>
  <c r="F90" i="8"/>
  <c r="D90" i="8"/>
  <c r="B90" i="8"/>
  <c r="S89" i="8"/>
  <c r="K89" i="8"/>
  <c r="H89" i="8"/>
  <c r="F89" i="8"/>
  <c r="D89" i="8"/>
  <c r="B89" i="8"/>
  <c r="S88" i="8"/>
  <c r="K88" i="8"/>
  <c r="H88" i="8"/>
  <c r="F88" i="8"/>
  <c r="D88" i="8"/>
  <c r="B88" i="8"/>
  <c r="S87" i="8"/>
  <c r="K87" i="8"/>
  <c r="H87" i="8"/>
  <c r="F87" i="8"/>
  <c r="D87" i="8"/>
  <c r="B87" i="8"/>
  <c r="S86" i="8"/>
  <c r="K86" i="8"/>
  <c r="H86" i="8"/>
  <c r="F86" i="8"/>
  <c r="D86" i="8"/>
  <c r="B86" i="8"/>
  <c r="S85" i="8"/>
  <c r="K85" i="8"/>
  <c r="H85" i="8"/>
  <c r="F85" i="8"/>
  <c r="D85" i="8"/>
  <c r="B85" i="8"/>
  <c r="S84" i="8"/>
  <c r="K84" i="8"/>
  <c r="H84" i="8"/>
  <c r="F84" i="8"/>
  <c r="D84" i="8"/>
  <c r="B84" i="8"/>
  <c r="S83" i="8"/>
  <c r="K83" i="8"/>
  <c r="H83" i="8"/>
  <c r="F83" i="8"/>
  <c r="D83" i="8"/>
  <c r="B83" i="8"/>
  <c r="S82" i="8"/>
  <c r="K82" i="8"/>
  <c r="H82" i="8"/>
  <c r="F82" i="8"/>
  <c r="D82" i="8"/>
  <c r="B82" i="8"/>
  <c r="S81" i="8"/>
  <c r="K81" i="8"/>
  <c r="H81" i="8"/>
  <c r="F81" i="8"/>
  <c r="D81" i="8"/>
  <c r="B81" i="8"/>
  <c r="S80" i="8"/>
  <c r="K80" i="8"/>
  <c r="H80" i="8"/>
  <c r="F80" i="8"/>
  <c r="D80" i="8"/>
  <c r="B80" i="8"/>
  <c r="S79" i="8"/>
  <c r="K79" i="8"/>
  <c r="H79" i="8"/>
  <c r="F79" i="8"/>
  <c r="D79" i="8"/>
  <c r="B79" i="8"/>
  <c r="S78" i="8"/>
  <c r="K78" i="8"/>
  <c r="H78" i="8"/>
  <c r="F78" i="8"/>
  <c r="D78" i="8"/>
  <c r="B78" i="8"/>
  <c r="S77" i="8"/>
  <c r="K77" i="8"/>
  <c r="H77" i="8"/>
  <c r="F77" i="8"/>
  <c r="D77" i="8"/>
  <c r="B77" i="8"/>
  <c r="S76" i="8"/>
  <c r="K76" i="8"/>
  <c r="H76" i="8"/>
  <c r="F76" i="8"/>
  <c r="D76" i="8"/>
  <c r="B76" i="8"/>
  <c r="S75" i="8"/>
  <c r="K75" i="8"/>
  <c r="H75" i="8"/>
  <c r="F75" i="8"/>
  <c r="D75" i="8"/>
  <c r="B75" i="8"/>
  <c r="S74" i="8"/>
  <c r="K74" i="8"/>
  <c r="H74" i="8"/>
  <c r="F74" i="8"/>
  <c r="D74" i="8"/>
  <c r="B74" i="8"/>
  <c r="S73" i="8"/>
  <c r="K73" i="8"/>
  <c r="H73" i="8"/>
  <c r="F73" i="8"/>
  <c r="D73" i="8"/>
  <c r="B73" i="8"/>
  <c r="S72" i="8"/>
  <c r="K72" i="8"/>
  <c r="H72" i="8"/>
  <c r="F72" i="8"/>
  <c r="D72" i="8"/>
  <c r="B72" i="8"/>
  <c r="S71" i="8"/>
  <c r="K71" i="8"/>
  <c r="H71" i="8"/>
  <c r="F71" i="8"/>
  <c r="D71" i="8"/>
  <c r="B71" i="8"/>
  <c r="S70" i="8"/>
  <c r="K70" i="8"/>
  <c r="H70" i="8"/>
  <c r="F70" i="8"/>
  <c r="D70" i="8"/>
  <c r="B70" i="8"/>
  <c r="S69" i="8"/>
  <c r="K69" i="8"/>
  <c r="H69" i="8"/>
  <c r="F69" i="8"/>
  <c r="D69" i="8"/>
  <c r="B69" i="8"/>
  <c r="S68" i="8"/>
  <c r="K68" i="8"/>
  <c r="H68" i="8"/>
  <c r="F68" i="8"/>
  <c r="D68" i="8"/>
  <c r="B68" i="8"/>
  <c r="S67" i="8"/>
  <c r="K67" i="8"/>
  <c r="H67" i="8"/>
  <c r="F67" i="8"/>
  <c r="D67" i="8"/>
  <c r="B67" i="8"/>
  <c r="S66" i="8"/>
  <c r="K66" i="8"/>
  <c r="H66" i="8"/>
  <c r="F66" i="8"/>
  <c r="D66" i="8"/>
  <c r="B66" i="8"/>
  <c r="S65" i="8"/>
  <c r="K65" i="8"/>
  <c r="H65" i="8"/>
  <c r="F65" i="8"/>
  <c r="D65" i="8"/>
  <c r="B65" i="8"/>
  <c r="S64" i="8"/>
  <c r="K64" i="8"/>
  <c r="H64" i="8"/>
  <c r="F64" i="8"/>
  <c r="D64" i="8"/>
  <c r="B64" i="8"/>
  <c r="S63" i="8"/>
  <c r="K63" i="8"/>
  <c r="H63" i="8"/>
  <c r="F63" i="8"/>
  <c r="D63" i="8"/>
  <c r="B63" i="8"/>
  <c r="S62" i="8"/>
  <c r="K62" i="8"/>
  <c r="H62" i="8"/>
  <c r="F62" i="8"/>
  <c r="D62" i="8"/>
  <c r="B62" i="8"/>
  <c r="S61" i="8"/>
  <c r="K61" i="8"/>
  <c r="H61" i="8"/>
  <c r="F61" i="8"/>
  <c r="D61" i="8"/>
  <c r="B61" i="8"/>
  <c r="S60" i="8"/>
  <c r="K60" i="8"/>
  <c r="H60" i="8"/>
  <c r="F60" i="8"/>
  <c r="D60" i="8"/>
  <c r="B60" i="8"/>
  <c r="S59" i="8"/>
  <c r="K59" i="8"/>
  <c r="H59" i="8"/>
  <c r="F59" i="8"/>
  <c r="D59" i="8"/>
  <c r="B59" i="8"/>
  <c r="S58" i="8"/>
  <c r="K58" i="8"/>
  <c r="H58" i="8"/>
  <c r="F58" i="8"/>
  <c r="D58" i="8"/>
  <c r="B58" i="8"/>
  <c r="S57" i="8"/>
  <c r="K57" i="8"/>
  <c r="H57" i="8"/>
  <c r="F57" i="8"/>
  <c r="D57" i="8"/>
  <c r="B57" i="8"/>
  <c r="S56" i="8"/>
  <c r="K56" i="8"/>
  <c r="H56" i="8"/>
  <c r="F56" i="8"/>
  <c r="D56" i="8"/>
  <c r="B56" i="8"/>
  <c r="S55" i="8"/>
  <c r="K55" i="8"/>
  <c r="H55" i="8"/>
  <c r="F55" i="8"/>
  <c r="D55" i="8"/>
  <c r="B55" i="8"/>
  <c r="S54" i="8"/>
  <c r="K54" i="8"/>
  <c r="H54" i="8"/>
  <c r="F54" i="8"/>
  <c r="D54" i="8"/>
  <c r="B54" i="8"/>
  <c r="S53" i="8"/>
  <c r="K53" i="8"/>
  <c r="H53" i="8"/>
  <c r="F53" i="8"/>
  <c r="D53" i="8"/>
  <c r="B53" i="8"/>
  <c r="S52" i="8"/>
  <c r="K52" i="8"/>
  <c r="H52" i="8"/>
  <c r="F52" i="8"/>
  <c r="D52" i="8"/>
  <c r="B52" i="8"/>
  <c r="S51" i="8"/>
  <c r="K51" i="8"/>
  <c r="H51" i="8"/>
  <c r="F51" i="8"/>
  <c r="D51" i="8"/>
  <c r="B51" i="8"/>
  <c r="S50" i="8"/>
  <c r="K50" i="8"/>
  <c r="H50" i="8"/>
  <c r="F50" i="8"/>
  <c r="D50" i="8"/>
  <c r="B50" i="8"/>
  <c r="S49" i="8"/>
  <c r="K49" i="8"/>
  <c r="H49" i="8"/>
  <c r="F49" i="8"/>
  <c r="D49" i="8"/>
  <c r="B49" i="8"/>
  <c r="S48" i="8"/>
  <c r="K48" i="8"/>
  <c r="H48" i="8"/>
  <c r="F48" i="8"/>
  <c r="D48" i="8"/>
  <c r="B48" i="8"/>
  <c r="S47" i="8"/>
  <c r="K47" i="8"/>
  <c r="H47" i="8"/>
  <c r="F47" i="8"/>
  <c r="D47" i="8"/>
  <c r="B47" i="8"/>
  <c r="S46" i="8"/>
  <c r="K46" i="8"/>
  <c r="H46" i="8"/>
  <c r="F46" i="8"/>
  <c r="D46" i="8"/>
  <c r="B46" i="8"/>
  <c r="S45" i="8"/>
  <c r="K45" i="8"/>
  <c r="H45" i="8"/>
  <c r="F45" i="8"/>
  <c r="D45" i="8"/>
  <c r="B45" i="8"/>
  <c r="S44" i="8"/>
  <c r="K44" i="8"/>
  <c r="H44" i="8"/>
  <c r="F44" i="8"/>
  <c r="D44" i="8"/>
  <c r="B44" i="8"/>
  <c r="S43" i="8"/>
  <c r="K43" i="8"/>
  <c r="H43" i="8"/>
  <c r="F43" i="8"/>
  <c r="D43" i="8"/>
  <c r="B43" i="8"/>
  <c r="S42" i="8"/>
  <c r="K42" i="8"/>
  <c r="H42" i="8"/>
  <c r="F42" i="8"/>
  <c r="D42" i="8"/>
  <c r="B42" i="8"/>
  <c r="S41" i="8"/>
  <c r="K41" i="8"/>
  <c r="H41" i="8"/>
  <c r="F41" i="8"/>
  <c r="D41" i="8"/>
  <c r="B41" i="8"/>
  <c r="S40" i="8"/>
  <c r="K40" i="8"/>
  <c r="H40" i="8"/>
  <c r="F40" i="8"/>
  <c r="D40" i="8"/>
  <c r="B40" i="8"/>
  <c r="S39" i="8"/>
  <c r="K39" i="8"/>
  <c r="I39" i="8"/>
  <c r="H39" i="8"/>
  <c r="F39" i="8"/>
  <c r="D39" i="8"/>
  <c r="B39" i="8"/>
  <c r="S38" i="8"/>
  <c r="K38" i="8"/>
  <c r="H38" i="8"/>
  <c r="F38" i="8"/>
  <c r="D38" i="8"/>
  <c r="B38" i="8"/>
  <c r="S37" i="8"/>
  <c r="K37" i="8"/>
  <c r="H37" i="8"/>
  <c r="F37" i="8"/>
  <c r="D37" i="8"/>
  <c r="B37" i="8"/>
  <c r="S36" i="8"/>
  <c r="K36" i="8"/>
  <c r="H36" i="8"/>
  <c r="F36" i="8"/>
  <c r="D36" i="8"/>
  <c r="B36" i="8"/>
  <c r="S35" i="8"/>
  <c r="K35" i="8"/>
  <c r="H35" i="8"/>
  <c r="F35" i="8"/>
  <c r="D35" i="8"/>
  <c r="B35" i="8"/>
  <c r="S34" i="8"/>
  <c r="K34" i="8"/>
  <c r="H34" i="8"/>
  <c r="F34" i="8"/>
  <c r="D34" i="8"/>
  <c r="B34" i="8"/>
  <c r="S33" i="8"/>
  <c r="K33" i="8"/>
  <c r="H33" i="8"/>
  <c r="F33" i="8"/>
  <c r="D33" i="8"/>
  <c r="B33" i="8"/>
  <c r="S32" i="8"/>
  <c r="K32" i="8"/>
  <c r="H32" i="8"/>
  <c r="F32" i="8"/>
  <c r="D32" i="8"/>
  <c r="B32" i="8"/>
  <c r="S31" i="8"/>
  <c r="K31" i="8"/>
  <c r="H31" i="8"/>
  <c r="F31" i="8"/>
  <c r="D31" i="8"/>
  <c r="B31" i="8"/>
  <c r="S30" i="8"/>
  <c r="K30" i="8"/>
  <c r="H30" i="8"/>
  <c r="F30" i="8"/>
  <c r="D30" i="8"/>
  <c r="B30" i="8"/>
  <c r="S29" i="8"/>
  <c r="K29" i="8"/>
  <c r="H29" i="8"/>
  <c r="F29" i="8"/>
  <c r="D29" i="8"/>
  <c r="B29" i="8"/>
  <c r="S28" i="8"/>
  <c r="K28" i="8"/>
  <c r="H28" i="8"/>
  <c r="F28" i="8"/>
  <c r="D28" i="8"/>
  <c r="B28" i="8"/>
  <c r="S27" i="8"/>
  <c r="K27" i="8"/>
  <c r="H27" i="8"/>
  <c r="F27" i="8"/>
  <c r="D27" i="8"/>
  <c r="B27" i="8"/>
  <c r="S26" i="8"/>
  <c r="K26" i="8"/>
  <c r="H26" i="8"/>
  <c r="F26" i="8"/>
  <c r="D26" i="8"/>
  <c r="B26" i="8"/>
  <c r="S25" i="8"/>
  <c r="K25" i="8"/>
  <c r="H25" i="8"/>
  <c r="F25" i="8"/>
  <c r="D25" i="8"/>
  <c r="B25" i="8"/>
  <c r="S24" i="8"/>
  <c r="K24" i="8"/>
  <c r="H24" i="8"/>
  <c r="F24" i="8"/>
  <c r="D24" i="8"/>
  <c r="B24" i="8"/>
  <c r="S23" i="8"/>
  <c r="K23" i="8"/>
  <c r="H23" i="8"/>
  <c r="F23" i="8"/>
  <c r="D23" i="8"/>
  <c r="B23" i="8"/>
  <c r="S22" i="8"/>
  <c r="K22" i="8"/>
  <c r="H22" i="8"/>
  <c r="F22" i="8"/>
  <c r="D22" i="8"/>
  <c r="B22" i="8"/>
  <c r="S21" i="8"/>
  <c r="K21" i="8"/>
  <c r="H21" i="8"/>
  <c r="F21" i="8"/>
  <c r="D21" i="8"/>
  <c r="B21" i="8"/>
  <c r="S20" i="8"/>
  <c r="K20" i="8"/>
  <c r="H20" i="8"/>
  <c r="F20" i="8"/>
  <c r="D20" i="8"/>
  <c r="B20" i="8"/>
  <c r="S19" i="8"/>
  <c r="K19" i="8"/>
  <c r="H19" i="8"/>
  <c r="F19" i="8"/>
  <c r="D19" i="8"/>
  <c r="B19" i="8"/>
  <c r="S18" i="8"/>
  <c r="K18" i="8"/>
  <c r="H18" i="8"/>
  <c r="F18" i="8"/>
  <c r="D18" i="8"/>
  <c r="B18" i="8"/>
  <c r="S17" i="8"/>
  <c r="K17" i="8"/>
  <c r="H17" i="8"/>
  <c r="F17" i="8"/>
  <c r="D17" i="8"/>
  <c r="B17" i="8"/>
  <c r="S16" i="8"/>
  <c r="K16" i="8"/>
  <c r="H16" i="8"/>
  <c r="F16" i="8"/>
  <c r="D16" i="8"/>
  <c r="B16" i="8"/>
  <c r="S15" i="8"/>
  <c r="K15" i="8"/>
  <c r="H15" i="8"/>
  <c r="F15" i="8"/>
  <c r="D15" i="8"/>
  <c r="B15" i="8"/>
  <c r="S14" i="8"/>
  <c r="K14" i="8"/>
  <c r="H14" i="8"/>
  <c r="F14" i="8"/>
  <c r="D14" i="8"/>
  <c r="B14" i="8"/>
  <c r="S13" i="8"/>
  <c r="K13" i="8"/>
  <c r="H13" i="8"/>
  <c r="F13" i="8"/>
  <c r="D13" i="8"/>
  <c r="B13" i="8"/>
  <c r="S12" i="8"/>
  <c r="K12" i="8"/>
  <c r="H12" i="8"/>
  <c r="F12" i="8"/>
  <c r="D12" i="8"/>
  <c r="B12" i="8"/>
  <c r="S11" i="8"/>
  <c r="K11" i="8"/>
  <c r="H11" i="8"/>
  <c r="F11" i="8"/>
  <c r="D11" i="8"/>
  <c r="B11" i="8"/>
  <c r="S10" i="8"/>
  <c r="K10" i="8"/>
  <c r="H10" i="8"/>
  <c r="F10" i="8"/>
  <c r="D10" i="8"/>
  <c r="B10" i="8"/>
  <c r="I21" i="6" l="1"/>
  <c r="I21" i="8" s="1"/>
  <c r="S3" i="8" l="1"/>
  <c r="K9" i="8"/>
  <c r="H9" i="8"/>
  <c r="F9" i="8"/>
  <c r="D9" i="8"/>
  <c r="B9" i="8"/>
  <c r="I206" i="6"/>
  <c r="I206" i="8" s="1"/>
  <c r="I207" i="6"/>
  <c r="I207" i="8" s="1"/>
  <c r="I208" i="6"/>
  <c r="I208" i="8" s="1"/>
  <c r="I209" i="6"/>
  <c r="I209" i="8" s="1"/>
  <c r="I210" i="6"/>
  <c r="I210" i="8" s="1"/>
  <c r="I211" i="6"/>
  <c r="I211" i="8" s="1"/>
  <c r="I212" i="6"/>
  <c r="I212" i="8" s="1"/>
  <c r="I213" i="6"/>
  <c r="I213" i="8" s="1"/>
  <c r="I214" i="6"/>
  <c r="I214" i="8" s="1"/>
  <c r="I215" i="6"/>
  <c r="I215" i="8" s="1"/>
  <c r="I216" i="6"/>
  <c r="I216" i="8" s="1"/>
  <c r="I217" i="6"/>
  <c r="I217" i="8" s="1"/>
  <c r="I218" i="6"/>
  <c r="I218" i="8" s="1"/>
  <c r="I219" i="6"/>
  <c r="I219" i="8" s="1"/>
  <c r="I220" i="6"/>
  <c r="I220" i="8" s="1"/>
  <c r="I221" i="6"/>
  <c r="I221" i="8" s="1"/>
  <c r="I222" i="6"/>
  <c r="I222" i="8" s="1"/>
  <c r="I223" i="6"/>
  <c r="I223" i="8" s="1"/>
  <c r="I224" i="6"/>
  <c r="I224" i="8" s="1"/>
  <c r="I225" i="6"/>
  <c r="I225" i="8" s="1"/>
  <c r="I226" i="6"/>
  <c r="I226" i="8" s="1"/>
  <c r="I227" i="6"/>
  <c r="I227" i="8" s="1"/>
  <c r="I228" i="6"/>
  <c r="I228" i="8" s="1"/>
  <c r="I229" i="6"/>
  <c r="I229" i="8" s="1"/>
  <c r="I230" i="6"/>
  <c r="I230" i="8" s="1"/>
  <c r="I231" i="6"/>
  <c r="I231" i="8" s="1"/>
  <c r="I232" i="6"/>
  <c r="I232" i="8" s="1"/>
  <c r="I233" i="6"/>
  <c r="I233" i="8" s="1"/>
  <c r="I234" i="6"/>
  <c r="I234" i="8" s="1"/>
  <c r="I235" i="6"/>
  <c r="I235" i="8" s="1"/>
  <c r="I236" i="6"/>
  <c r="I236" i="8" s="1"/>
  <c r="I237" i="6"/>
  <c r="I237" i="8" s="1"/>
  <c r="I238" i="6"/>
  <c r="I238" i="8" s="1"/>
  <c r="I239" i="6"/>
  <c r="I239" i="8" s="1"/>
  <c r="I240" i="6"/>
  <c r="I240" i="8" s="1"/>
  <c r="I241" i="6"/>
  <c r="I241" i="8" s="1"/>
  <c r="I242" i="8"/>
  <c r="I243" i="6"/>
  <c r="I243" i="8" s="1"/>
  <c r="I244" i="6"/>
  <c r="I244" i="8" s="1"/>
  <c r="I245" i="6"/>
  <c r="I245" i="8" s="1"/>
  <c r="I246" i="6"/>
  <c r="I246" i="8" s="1"/>
  <c r="I247" i="6"/>
  <c r="I247" i="8" s="1"/>
  <c r="I248" i="6"/>
  <c r="I248" i="8" s="1"/>
  <c r="I249" i="6"/>
  <c r="I249" i="8" s="1"/>
  <c r="I250" i="6"/>
  <c r="I250" i="8" s="1"/>
  <c r="I251" i="6"/>
  <c r="I251" i="8" s="1"/>
  <c r="I252" i="6"/>
  <c r="I252" i="8" s="1"/>
  <c r="I253" i="6"/>
  <c r="I253" i="8" s="1"/>
  <c r="I254" i="6"/>
  <c r="I254" i="8" s="1"/>
  <c r="I255" i="6"/>
  <c r="I255" i="8" s="1"/>
  <c r="I256" i="6"/>
  <c r="I256" i="8" s="1"/>
  <c r="I257" i="6"/>
  <c r="I257" i="8" s="1"/>
  <c r="I258" i="6"/>
  <c r="I258" i="8" s="1"/>
  <c r="I259" i="6"/>
  <c r="I259" i="8" s="1"/>
  <c r="I260" i="6"/>
  <c r="I260" i="8" s="1"/>
  <c r="I261" i="6"/>
  <c r="I261" i="8" s="1"/>
  <c r="I262" i="8"/>
  <c r="I263" i="6"/>
  <c r="I263" i="8" s="1"/>
  <c r="I264" i="6"/>
  <c r="I264" i="8" s="1"/>
  <c r="I265" i="6"/>
  <c r="I265" i="8" s="1"/>
  <c r="I266" i="6"/>
  <c r="I266" i="8" s="1"/>
  <c r="I267" i="6"/>
  <c r="I267" i="8" s="1"/>
  <c r="I268" i="6"/>
  <c r="I268" i="8" s="1"/>
  <c r="I269" i="6"/>
  <c r="I269" i="8" s="1"/>
  <c r="I270" i="6"/>
  <c r="I270" i="8" s="1"/>
  <c r="I271" i="6"/>
  <c r="I271" i="8" s="1"/>
  <c r="I272" i="6"/>
  <c r="I272" i="8" s="1"/>
  <c r="I273" i="6"/>
  <c r="I273" i="8" s="1"/>
  <c r="I274" i="6"/>
  <c r="I274" i="8" s="1"/>
  <c r="I275" i="6"/>
  <c r="I275" i="8" s="1"/>
  <c r="I276" i="6"/>
  <c r="I276" i="8" s="1"/>
  <c r="I277" i="6"/>
  <c r="I277" i="8" s="1"/>
  <c r="I278" i="6"/>
  <c r="I278" i="8" s="1"/>
  <c r="I279" i="6"/>
  <c r="I279" i="8" s="1"/>
  <c r="I280" i="6"/>
  <c r="I280" i="8" s="1"/>
  <c r="I281" i="6"/>
  <c r="I281" i="8" s="1"/>
  <c r="I282" i="6"/>
  <c r="I282" i="8" s="1"/>
  <c r="I283" i="6"/>
  <c r="I283" i="8" s="1"/>
  <c r="I284" i="6"/>
  <c r="I284" i="8" s="1"/>
  <c r="I285" i="6"/>
  <c r="I285" i="8" s="1"/>
  <c r="I286" i="6"/>
  <c r="I286" i="8" s="1"/>
  <c r="I287" i="6"/>
  <c r="I287" i="8" s="1"/>
  <c r="I288" i="6"/>
  <c r="I288" i="8" s="1"/>
  <c r="I289" i="6"/>
  <c r="I289" i="8" s="1"/>
  <c r="I290" i="6"/>
  <c r="I290" i="8" s="1"/>
  <c r="I291" i="6"/>
  <c r="I291" i="8" s="1"/>
  <c r="I292" i="6"/>
  <c r="I292" i="8" s="1"/>
  <c r="I293" i="6"/>
  <c r="I293" i="8" s="1"/>
  <c r="I294" i="6"/>
  <c r="I294" i="8" s="1"/>
  <c r="I295" i="6"/>
  <c r="I295" i="8" s="1"/>
  <c r="I296" i="6"/>
  <c r="I296" i="8" s="1"/>
  <c r="I297" i="6"/>
  <c r="I297" i="8" s="1"/>
  <c r="I298" i="6"/>
  <c r="I298" i="8" s="1"/>
  <c r="I299" i="6"/>
  <c r="I299" i="8" s="1"/>
  <c r="I300" i="6"/>
  <c r="I300" i="8" s="1"/>
  <c r="I301" i="6"/>
  <c r="I301" i="8" s="1"/>
  <c r="I302" i="6"/>
  <c r="I302" i="8" s="1"/>
  <c r="I303" i="6"/>
  <c r="I303" i="8" s="1"/>
  <c r="I304" i="6"/>
  <c r="I304" i="8" s="1"/>
  <c r="I305" i="6"/>
  <c r="I305" i="8" s="1"/>
  <c r="I306" i="6"/>
  <c r="I306" i="8" s="1"/>
  <c r="I307" i="6"/>
  <c r="I307" i="8" s="1"/>
  <c r="I308" i="6"/>
  <c r="I308" i="8" s="1"/>
  <c r="I309" i="6"/>
  <c r="I309" i="8" s="1"/>
  <c r="I310" i="6"/>
  <c r="I310" i="8" s="1"/>
  <c r="I311" i="6"/>
  <c r="I311" i="8" s="1"/>
  <c r="I312" i="6"/>
  <c r="I312" i="8" s="1"/>
  <c r="I313" i="6"/>
  <c r="I313" i="8" s="1"/>
  <c r="I314" i="6"/>
  <c r="I314" i="8" s="1"/>
  <c r="I315" i="6"/>
  <c r="I315" i="8" s="1"/>
  <c r="I316" i="6"/>
  <c r="I316" i="8" s="1"/>
  <c r="I317" i="6"/>
  <c r="I317" i="8" s="1"/>
  <c r="I318" i="6"/>
  <c r="I318" i="8" s="1"/>
  <c r="I319" i="6"/>
  <c r="I319" i="8" s="1"/>
  <c r="I320" i="6"/>
  <c r="I320" i="8" s="1"/>
  <c r="I321" i="6"/>
  <c r="I321" i="8" s="1"/>
  <c r="I322" i="6"/>
  <c r="I322" i="8" s="1"/>
  <c r="I323" i="6"/>
  <c r="I323" i="8" s="1"/>
  <c r="I324" i="6"/>
  <c r="I324" i="8" s="1"/>
  <c r="I325" i="6"/>
  <c r="I325" i="8" s="1"/>
  <c r="I326" i="6"/>
  <c r="I326" i="8" s="1"/>
  <c r="I327" i="6"/>
  <c r="I327" i="8" s="1"/>
  <c r="I328" i="6"/>
  <c r="I328" i="8" s="1"/>
  <c r="I329" i="6"/>
  <c r="I329" i="8" s="1"/>
  <c r="I330" i="6"/>
  <c r="I330" i="8" s="1"/>
  <c r="I331" i="6"/>
  <c r="I331" i="8" s="1"/>
  <c r="I332" i="6"/>
  <c r="I332" i="8" s="1"/>
  <c r="I333" i="6"/>
  <c r="I333" i="8" s="1"/>
  <c r="I334" i="6"/>
  <c r="I334" i="8" s="1"/>
  <c r="I335" i="6"/>
  <c r="I335" i="8" s="1"/>
  <c r="I336" i="6"/>
  <c r="I336" i="8" s="1"/>
  <c r="I337" i="6"/>
  <c r="I337" i="8" s="1"/>
  <c r="I338" i="6"/>
  <c r="I338" i="8" s="1"/>
  <c r="I339" i="6"/>
  <c r="I339" i="8" s="1"/>
  <c r="I340" i="6"/>
  <c r="I340" i="8" s="1"/>
  <c r="I341" i="6"/>
  <c r="I341" i="8" s="1"/>
  <c r="I342" i="6"/>
  <c r="I342" i="8" s="1"/>
  <c r="I343" i="6"/>
  <c r="I343" i="8" s="1"/>
  <c r="I344" i="6"/>
  <c r="I344" i="8" s="1"/>
  <c r="I345" i="6"/>
  <c r="I345" i="8" s="1"/>
  <c r="I346" i="6"/>
  <c r="I346" i="8" s="1"/>
  <c r="I347" i="6"/>
  <c r="I347" i="8" s="1"/>
  <c r="I348" i="6"/>
  <c r="I348" i="8" s="1"/>
  <c r="I349" i="6"/>
  <c r="I349" i="8" s="1"/>
  <c r="I350" i="6"/>
  <c r="I350" i="8" s="1"/>
  <c r="I124" i="6"/>
  <c r="I124" i="8" s="1"/>
  <c r="S9" i="8"/>
  <c r="M350" i="6"/>
  <c r="N350" i="6" s="1"/>
  <c r="N350" i="8" s="1"/>
  <c r="M349" i="6"/>
  <c r="N349" i="6" s="1"/>
  <c r="N349" i="8" s="1"/>
  <c r="M348" i="6"/>
  <c r="N348" i="6" s="1"/>
  <c r="N348" i="8" s="1"/>
  <c r="M347" i="6"/>
  <c r="N347" i="6" s="1"/>
  <c r="N347" i="8" s="1"/>
  <c r="M346" i="6"/>
  <c r="N346" i="6" s="1"/>
  <c r="N346" i="8" s="1"/>
  <c r="M345" i="6"/>
  <c r="N345" i="6" s="1"/>
  <c r="N345" i="8" s="1"/>
  <c r="M344" i="6"/>
  <c r="N344" i="6" s="1"/>
  <c r="N344" i="8" s="1"/>
  <c r="M343" i="6"/>
  <c r="N343" i="6" s="1"/>
  <c r="N343" i="8" s="1"/>
  <c r="M342" i="6"/>
  <c r="N342" i="6" s="1"/>
  <c r="N342" i="8" s="1"/>
  <c r="M341" i="6"/>
  <c r="N341" i="6" s="1"/>
  <c r="N341" i="8" s="1"/>
  <c r="M340" i="6"/>
  <c r="N340" i="6" s="1"/>
  <c r="N340" i="8" s="1"/>
  <c r="M339" i="6"/>
  <c r="N339" i="6" s="1"/>
  <c r="N339" i="8" s="1"/>
  <c r="M338" i="6"/>
  <c r="N338" i="6" s="1"/>
  <c r="N338" i="8" s="1"/>
  <c r="M337" i="6"/>
  <c r="N337" i="6" s="1"/>
  <c r="N337" i="8" s="1"/>
  <c r="M336" i="6"/>
  <c r="N336" i="6" s="1"/>
  <c r="N336" i="8" s="1"/>
  <c r="M335" i="6"/>
  <c r="N335" i="6" s="1"/>
  <c r="N335" i="8" s="1"/>
  <c r="M334" i="6"/>
  <c r="N334" i="6" s="1"/>
  <c r="N334" i="8" s="1"/>
  <c r="M333" i="6"/>
  <c r="N333" i="6" s="1"/>
  <c r="N333" i="8" s="1"/>
  <c r="M332" i="6"/>
  <c r="N332" i="6" s="1"/>
  <c r="N332" i="8" s="1"/>
  <c r="M331" i="6"/>
  <c r="N331" i="6" s="1"/>
  <c r="N331" i="8" s="1"/>
  <c r="M330" i="6"/>
  <c r="N330" i="6" s="1"/>
  <c r="N330" i="8" s="1"/>
  <c r="M329" i="6"/>
  <c r="N329" i="6" s="1"/>
  <c r="N329" i="8" s="1"/>
  <c r="M328" i="6"/>
  <c r="N328" i="6" s="1"/>
  <c r="N328" i="8" s="1"/>
  <c r="M327" i="6"/>
  <c r="N327" i="6" s="1"/>
  <c r="N327" i="8" s="1"/>
  <c r="M326" i="6"/>
  <c r="N326" i="6" s="1"/>
  <c r="N326" i="8" s="1"/>
  <c r="M325" i="6"/>
  <c r="N325" i="6" s="1"/>
  <c r="N325" i="8" s="1"/>
  <c r="M324" i="6"/>
  <c r="N324" i="6" s="1"/>
  <c r="N324" i="8" s="1"/>
  <c r="M323" i="6"/>
  <c r="N323" i="6" s="1"/>
  <c r="N323" i="8" s="1"/>
  <c r="M322" i="6"/>
  <c r="N322" i="6" s="1"/>
  <c r="N322" i="8" s="1"/>
  <c r="M321" i="6"/>
  <c r="N321" i="6" s="1"/>
  <c r="N321" i="8" s="1"/>
  <c r="M320" i="6"/>
  <c r="N320" i="6" s="1"/>
  <c r="N320" i="8" s="1"/>
  <c r="M319" i="6"/>
  <c r="N319" i="6" s="1"/>
  <c r="N319" i="8" s="1"/>
  <c r="M318" i="6"/>
  <c r="N318" i="6" s="1"/>
  <c r="N318" i="8" s="1"/>
  <c r="M317" i="6"/>
  <c r="N317" i="6" s="1"/>
  <c r="N317" i="8" s="1"/>
  <c r="M316" i="6"/>
  <c r="N316" i="6" s="1"/>
  <c r="N316" i="8" s="1"/>
  <c r="M315" i="6"/>
  <c r="N315" i="6" s="1"/>
  <c r="N315" i="8" s="1"/>
  <c r="M314" i="6"/>
  <c r="N314" i="6" s="1"/>
  <c r="N314" i="8" s="1"/>
  <c r="M313" i="6"/>
  <c r="N313" i="6" s="1"/>
  <c r="N313" i="8" s="1"/>
  <c r="M312" i="6"/>
  <c r="N312" i="6" s="1"/>
  <c r="N312" i="8" s="1"/>
  <c r="M311" i="6"/>
  <c r="N311" i="6" s="1"/>
  <c r="N311" i="8" s="1"/>
  <c r="M310" i="6"/>
  <c r="N310" i="6" s="1"/>
  <c r="N310" i="8" s="1"/>
  <c r="M309" i="6"/>
  <c r="N309" i="6" s="1"/>
  <c r="N309" i="8" s="1"/>
  <c r="M308" i="6"/>
  <c r="N308" i="6" s="1"/>
  <c r="N308" i="8" s="1"/>
  <c r="M307" i="6"/>
  <c r="N307" i="6" s="1"/>
  <c r="N307" i="8" s="1"/>
  <c r="M306" i="6"/>
  <c r="N306" i="6" s="1"/>
  <c r="N306" i="8" s="1"/>
  <c r="M305" i="6"/>
  <c r="N305" i="6" s="1"/>
  <c r="N305" i="8" s="1"/>
  <c r="M304" i="6"/>
  <c r="N304" i="6" s="1"/>
  <c r="N304" i="8" s="1"/>
  <c r="M303" i="6"/>
  <c r="N303" i="6" s="1"/>
  <c r="N303" i="8" s="1"/>
  <c r="M302" i="6"/>
  <c r="N302" i="6" s="1"/>
  <c r="N302" i="8" s="1"/>
  <c r="M301" i="6"/>
  <c r="N301" i="6" s="1"/>
  <c r="N301" i="8" s="1"/>
  <c r="M300" i="6"/>
  <c r="N300" i="6" s="1"/>
  <c r="N300" i="8" s="1"/>
  <c r="M299" i="6"/>
  <c r="N299" i="6" s="1"/>
  <c r="N299" i="8" s="1"/>
  <c r="M298" i="6"/>
  <c r="N298" i="6" s="1"/>
  <c r="N298" i="8" s="1"/>
  <c r="M297" i="6"/>
  <c r="N297" i="6" s="1"/>
  <c r="N297" i="8" s="1"/>
  <c r="M296" i="6"/>
  <c r="N296" i="6" s="1"/>
  <c r="N296" i="8" s="1"/>
  <c r="M295" i="6"/>
  <c r="N295" i="6" s="1"/>
  <c r="N295" i="8" s="1"/>
  <c r="M294" i="6"/>
  <c r="N294" i="6" s="1"/>
  <c r="N294" i="8" s="1"/>
  <c r="M293" i="6"/>
  <c r="N293" i="6" s="1"/>
  <c r="N293" i="8" s="1"/>
  <c r="M292" i="6"/>
  <c r="N292" i="6" s="1"/>
  <c r="N292" i="8" s="1"/>
  <c r="M291" i="6"/>
  <c r="N291" i="6" s="1"/>
  <c r="N291" i="8" s="1"/>
  <c r="M290" i="6"/>
  <c r="N290" i="6" s="1"/>
  <c r="N290" i="8" s="1"/>
  <c r="M289" i="6"/>
  <c r="N289" i="6" s="1"/>
  <c r="N289" i="8" s="1"/>
  <c r="M288" i="6"/>
  <c r="N288" i="6" s="1"/>
  <c r="N288" i="8" s="1"/>
  <c r="M287" i="6"/>
  <c r="N287" i="6" s="1"/>
  <c r="N287" i="8" s="1"/>
  <c r="M286" i="6"/>
  <c r="N286" i="6" s="1"/>
  <c r="N286" i="8" s="1"/>
  <c r="M285" i="6"/>
  <c r="N285" i="6" s="1"/>
  <c r="N285" i="8" s="1"/>
  <c r="M284" i="6"/>
  <c r="N284" i="6" s="1"/>
  <c r="N284" i="8" s="1"/>
  <c r="M283" i="6"/>
  <c r="N283" i="6" s="1"/>
  <c r="N283" i="8" s="1"/>
  <c r="M282" i="6"/>
  <c r="N282" i="6" s="1"/>
  <c r="N282" i="8" s="1"/>
  <c r="M281" i="6"/>
  <c r="N281" i="6" s="1"/>
  <c r="N281" i="8" s="1"/>
  <c r="M280" i="6"/>
  <c r="N280" i="6" s="1"/>
  <c r="N280" i="8" s="1"/>
  <c r="M279" i="6"/>
  <c r="N279" i="6" s="1"/>
  <c r="N279" i="8" s="1"/>
  <c r="M278" i="6"/>
  <c r="N278" i="6" s="1"/>
  <c r="N278" i="8" s="1"/>
  <c r="M277" i="6"/>
  <c r="N277" i="6" s="1"/>
  <c r="N277" i="8" s="1"/>
  <c r="M276" i="6"/>
  <c r="N276" i="6" s="1"/>
  <c r="N276" i="8" s="1"/>
  <c r="M275" i="6"/>
  <c r="N275" i="6" s="1"/>
  <c r="N275" i="8" s="1"/>
  <c r="M274" i="6"/>
  <c r="N274" i="6" s="1"/>
  <c r="N274" i="8" s="1"/>
  <c r="M273" i="6"/>
  <c r="N273" i="6" s="1"/>
  <c r="N273" i="8" s="1"/>
  <c r="M272" i="6"/>
  <c r="N272" i="6" s="1"/>
  <c r="N272" i="8" s="1"/>
  <c r="M271" i="6"/>
  <c r="N271" i="6" s="1"/>
  <c r="N271" i="8" s="1"/>
  <c r="M270" i="6"/>
  <c r="N270" i="6" s="1"/>
  <c r="N270" i="8" s="1"/>
  <c r="M269" i="6"/>
  <c r="N269" i="6" s="1"/>
  <c r="N269" i="8" s="1"/>
  <c r="M268" i="6"/>
  <c r="N268" i="6" s="1"/>
  <c r="N268" i="8" s="1"/>
  <c r="M267" i="6"/>
  <c r="N267" i="6" s="1"/>
  <c r="N267" i="8" s="1"/>
  <c r="M266" i="6"/>
  <c r="N266" i="6" s="1"/>
  <c r="N266" i="8" s="1"/>
  <c r="M265" i="6"/>
  <c r="N265" i="6" s="1"/>
  <c r="N265" i="8" s="1"/>
  <c r="M264" i="6"/>
  <c r="N264" i="6" s="1"/>
  <c r="N264" i="8" s="1"/>
  <c r="M263" i="6"/>
  <c r="N263" i="6" s="1"/>
  <c r="N263" i="8" s="1"/>
  <c r="M262" i="6"/>
  <c r="N262" i="6" s="1"/>
  <c r="N262" i="8" s="1"/>
  <c r="M261" i="6"/>
  <c r="N261" i="6" s="1"/>
  <c r="N261" i="8" s="1"/>
  <c r="M260" i="6"/>
  <c r="N260" i="6" s="1"/>
  <c r="N260" i="8" s="1"/>
  <c r="M259" i="6"/>
  <c r="N259" i="6" s="1"/>
  <c r="N259" i="8" s="1"/>
  <c r="M258" i="6"/>
  <c r="N258" i="6" s="1"/>
  <c r="N258" i="8" s="1"/>
  <c r="M257" i="6"/>
  <c r="N257" i="6" s="1"/>
  <c r="N257" i="8" s="1"/>
  <c r="M256" i="6"/>
  <c r="N256" i="6" s="1"/>
  <c r="N256" i="8" s="1"/>
  <c r="M255" i="6"/>
  <c r="N255" i="6" s="1"/>
  <c r="N255" i="8" s="1"/>
  <c r="M254" i="6"/>
  <c r="N254" i="6" s="1"/>
  <c r="N254" i="8" s="1"/>
  <c r="M253" i="6"/>
  <c r="N253" i="6" s="1"/>
  <c r="N253" i="8" s="1"/>
  <c r="M252" i="6"/>
  <c r="N252" i="6" s="1"/>
  <c r="N252" i="8" s="1"/>
  <c r="M251" i="6"/>
  <c r="N251" i="6" s="1"/>
  <c r="N251" i="8" s="1"/>
  <c r="M250" i="6"/>
  <c r="N250" i="6" s="1"/>
  <c r="N250" i="8" s="1"/>
  <c r="M249" i="6"/>
  <c r="N249" i="6" s="1"/>
  <c r="N249" i="8" s="1"/>
  <c r="M248" i="6"/>
  <c r="N248" i="6" s="1"/>
  <c r="N248" i="8" s="1"/>
  <c r="M247" i="6"/>
  <c r="N247" i="6" s="1"/>
  <c r="N247" i="8" s="1"/>
  <c r="M246" i="6"/>
  <c r="N246" i="6" s="1"/>
  <c r="N246" i="8" s="1"/>
  <c r="M245" i="6"/>
  <c r="N245" i="6" s="1"/>
  <c r="N245" i="8" s="1"/>
  <c r="M244" i="6"/>
  <c r="N244" i="6" s="1"/>
  <c r="N244" i="8" s="1"/>
  <c r="M243" i="6"/>
  <c r="N243" i="6" s="1"/>
  <c r="N243" i="8" s="1"/>
  <c r="M242" i="6"/>
  <c r="N242" i="6" s="1"/>
  <c r="N242" i="8" s="1"/>
  <c r="M241" i="6"/>
  <c r="N241" i="6" s="1"/>
  <c r="N241" i="8" s="1"/>
  <c r="M240" i="6"/>
  <c r="N240" i="6" s="1"/>
  <c r="N240" i="8" s="1"/>
  <c r="M239" i="6"/>
  <c r="N239" i="6" s="1"/>
  <c r="N239" i="8" s="1"/>
  <c r="M238" i="6"/>
  <c r="N238" i="6" s="1"/>
  <c r="N238" i="8" s="1"/>
  <c r="M237" i="6"/>
  <c r="N237" i="6" s="1"/>
  <c r="N237" i="8" s="1"/>
  <c r="M236" i="6"/>
  <c r="N236" i="6" s="1"/>
  <c r="N236" i="8" s="1"/>
  <c r="M235" i="6"/>
  <c r="N235" i="6" s="1"/>
  <c r="N235" i="8" s="1"/>
  <c r="M234" i="6"/>
  <c r="N234" i="6" s="1"/>
  <c r="N234" i="8" s="1"/>
  <c r="M233" i="6"/>
  <c r="N233" i="6" s="1"/>
  <c r="N233" i="8" s="1"/>
  <c r="M232" i="6"/>
  <c r="N232" i="6" s="1"/>
  <c r="N232" i="8" s="1"/>
  <c r="M231" i="6"/>
  <c r="N231" i="6" s="1"/>
  <c r="N231" i="8" s="1"/>
  <c r="M230" i="6"/>
  <c r="N230" i="6" s="1"/>
  <c r="N230" i="8" s="1"/>
  <c r="M229" i="6"/>
  <c r="N229" i="6" s="1"/>
  <c r="N229" i="8" s="1"/>
  <c r="M228" i="6"/>
  <c r="N228" i="6" s="1"/>
  <c r="N228" i="8" s="1"/>
  <c r="M227" i="6"/>
  <c r="N227" i="6" s="1"/>
  <c r="N227" i="8" s="1"/>
  <c r="M226" i="6"/>
  <c r="N226" i="6" s="1"/>
  <c r="N226" i="8" s="1"/>
  <c r="M225" i="6"/>
  <c r="N225" i="6" s="1"/>
  <c r="N225" i="8" s="1"/>
  <c r="M224" i="6"/>
  <c r="N224" i="6" s="1"/>
  <c r="N224" i="8" s="1"/>
  <c r="M223" i="6"/>
  <c r="N223" i="6" s="1"/>
  <c r="N223" i="8" s="1"/>
  <c r="M222" i="6"/>
  <c r="N222" i="6" s="1"/>
  <c r="N222" i="8" s="1"/>
  <c r="M221" i="6"/>
  <c r="N221" i="6" s="1"/>
  <c r="N221" i="8" s="1"/>
  <c r="M220" i="6"/>
  <c r="N220" i="6" s="1"/>
  <c r="N220" i="8" s="1"/>
  <c r="M219" i="6"/>
  <c r="N219" i="6" s="1"/>
  <c r="N219" i="8" s="1"/>
  <c r="M218" i="6"/>
  <c r="N218" i="6" s="1"/>
  <c r="N218" i="8" s="1"/>
  <c r="M217" i="6"/>
  <c r="N217" i="6" s="1"/>
  <c r="N217" i="8" s="1"/>
  <c r="M216" i="6"/>
  <c r="N216" i="6" s="1"/>
  <c r="N216" i="8" s="1"/>
  <c r="M215" i="6"/>
  <c r="N215" i="6" s="1"/>
  <c r="N215" i="8" s="1"/>
  <c r="M214" i="6"/>
  <c r="N214" i="6" s="1"/>
  <c r="N214" i="8" s="1"/>
  <c r="M213" i="6"/>
  <c r="N213" i="6" s="1"/>
  <c r="N213" i="8" s="1"/>
  <c r="M212" i="6"/>
  <c r="N212" i="6" s="1"/>
  <c r="N212" i="8" s="1"/>
  <c r="M211" i="6"/>
  <c r="N211" i="6" s="1"/>
  <c r="N211" i="8" s="1"/>
  <c r="M210" i="6"/>
  <c r="N210" i="6" s="1"/>
  <c r="N210" i="8" s="1"/>
  <c r="M209" i="6"/>
  <c r="N209" i="6" s="1"/>
  <c r="N209" i="8" s="1"/>
  <c r="M208" i="6"/>
  <c r="N208" i="6" s="1"/>
  <c r="N208" i="8" s="1"/>
  <c r="M207" i="6"/>
  <c r="N207" i="6" s="1"/>
  <c r="N207" i="8" s="1"/>
  <c r="M206" i="6"/>
  <c r="N206" i="6" s="1"/>
  <c r="N206" i="8" s="1"/>
  <c r="M205" i="6"/>
  <c r="N205" i="6" s="1"/>
  <c r="N205" i="8" s="1"/>
  <c r="I205" i="6"/>
  <c r="I205" i="8" s="1"/>
  <c r="M204" i="6"/>
  <c r="N204" i="6" s="1"/>
  <c r="N204" i="8" s="1"/>
  <c r="I204" i="6"/>
  <c r="I204" i="8" s="1"/>
  <c r="M203" i="6"/>
  <c r="N203" i="6" s="1"/>
  <c r="N203" i="8" s="1"/>
  <c r="I203" i="6"/>
  <c r="I203" i="8" s="1"/>
  <c r="M202" i="6"/>
  <c r="N202" i="6" s="1"/>
  <c r="N202" i="8" s="1"/>
  <c r="I202" i="6"/>
  <c r="I202" i="8" s="1"/>
  <c r="M201" i="6"/>
  <c r="N201" i="6" s="1"/>
  <c r="N201" i="8" s="1"/>
  <c r="I201" i="6"/>
  <c r="I201" i="8" s="1"/>
  <c r="M200" i="6"/>
  <c r="N200" i="6" s="1"/>
  <c r="N200" i="8" s="1"/>
  <c r="I200" i="6"/>
  <c r="I200" i="8" s="1"/>
  <c r="M199" i="6"/>
  <c r="N199" i="6" s="1"/>
  <c r="N199" i="8" s="1"/>
  <c r="I199" i="6"/>
  <c r="I199" i="8" s="1"/>
  <c r="M198" i="6"/>
  <c r="N198" i="6" s="1"/>
  <c r="N198" i="8" s="1"/>
  <c r="I198" i="6"/>
  <c r="I198" i="8" s="1"/>
  <c r="M197" i="6"/>
  <c r="N197" i="6" s="1"/>
  <c r="N197" i="8" s="1"/>
  <c r="I197" i="6"/>
  <c r="I197" i="8" s="1"/>
  <c r="M196" i="6"/>
  <c r="N196" i="6" s="1"/>
  <c r="N196" i="8" s="1"/>
  <c r="I196" i="6"/>
  <c r="I196" i="8" s="1"/>
  <c r="M195" i="6"/>
  <c r="N195" i="6" s="1"/>
  <c r="N195" i="8" s="1"/>
  <c r="I195" i="6"/>
  <c r="I195" i="8" s="1"/>
  <c r="M194" i="6"/>
  <c r="N194" i="6" s="1"/>
  <c r="N194" i="8" s="1"/>
  <c r="I194" i="6"/>
  <c r="I194" i="8" s="1"/>
  <c r="M193" i="6"/>
  <c r="N193" i="6" s="1"/>
  <c r="N193" i="8" s="1"/>
  <c r="I193" i="6"/>
  <c r="I193" i="8" s="1"/>
  <c r="M192" i="6"/>
  <c r="N192" i="6" s="1"/>
  <c r="N192" i="8" s="1"/>
  <c r="I192" i="6"/>
  <c r="I192" i="8" s="1"/>
  <c r="M191" i="6"/>
  <c r="N191" i="6" s="1"/>
  <c r="N191" i="8" s="1"/>
  <c r="I191" i="6"/>
  <c r="I191" i="8" s="1"/>
  <c r="M190" i="6"/>
  <c r="N190" i="6" s="1"/>
  <c r="N190" i="8" s="1"/>
  <c r="I190" i="6"/>
  <c r="I190" i="8" s="1"/>
  <c r="M189" i="6"/>
  <c r="N189" i="6" s="1"/>
  <c r="N189" i="8" s="1"/>
  <c r="I189" i="6"/>
  <c r="I189" i="8" s="1"/>
  <c r="M188" i="6"/>
  <c r="N188" i="6" s="1"/>
  <c r="N188" i="8" s="1"/>
  <c r="I188" i="6"/>
  <c r="I188" i="8" s="1"/>
  <c r="M187" i="6"/>
  <c r="N187" i="6" s="1"/>
  <c r="N187" i="8" s="1"/>
  <c r="I187" i="6"/>
  <c r="I187" i="8" s="1"/>
  <c r="M186" i="6"/>
  <c r="N186" i="6" s="1"/>
  <c r="N186" i="8" s="1"/>
  <c r="I186" i="6"/>
  <c r="I186" i="8" s="1"/>
  <c r="M185" i="6"/>
  <c r="N185" i="6" s="1"/>
  <c r="N185" i="8" s="1"/>
  <c r="I185" i="6"/>
  <c r="I185" i="8" s="1"/>
  <c r="M184" i="6"/>
  <c r="N184" i="6" s="1"/>
  <c r="N184" i="8" s="1"/>
  <c r="I184" i="6"/>
  <c r="I184" i="8" s="1"/>
  <c r="M183" i="6"/>
  <c r="N183" i="6" s="1"/>
  <c r="N183" i="8" s="1"/>
  <c r="I183" i="6"/>
  <c r="I183" i="8" s="1"/>
  <c r="M182" i="6"/>
  <c r="N182" i="6" s="1"/>
  <c r="N182" i="8" s="1"/>
  <c r="I182" i="6"/>
  <c r="I182" i="8" s="1"/>
  <c r="M181" i="6"/>
  <c r="N181" i="6" s="1"/>
  <c r="N181" i="8" s="1"/>
  <c r="I181" i="6"/>
  <c r="I181" i="8" s="1"/>
  <c r="M180" i="6"/>
  <c r="N180" i="6" s="1"/>
  <c r="N180" i="8" s="1"/>
  <c r="I180" i="6"/>
  <c r="I180" i="8" s="1"/>
  <c r="M179" i="6"/>
  <c r="N179" i="6" s="1"/>
  <c r="N179" i="8" s="1"/>
  <c r="I179" i="6"/>
  <c r="I179" i="8" s="1"/>
  <c r="M178" i="6"/>
  <c r="N178" i="6" s="1"/>
  <c r="N178" i="8" s="1"/>
  <c r="I178" i="8"/>
  <c r="M177" i="6"/>
  <c r="N177" i="6" s="1"/>
  <c r="N177" i="8" s="1"/>
  <c r="I177" i="6"/>
  <c r="I177" i="8" s="1"/>
  <c r="M176" i="6"/>
  <c r="N176" i="6" s="1"/>
  <c r="N176" i="8" s="1"/>
  <c r="I176" i="6"/>
  <c r="I176" i="8" s="1"/>
  <c r="M175" i="6"/>
  <c r="N175" i="6" s="1"/>
  <c r="N175" i="8" s="1"/>
  <c r="I175" i="6"/>
  <c r="I175" i="8" s="1"/>
  <c r="M174" i="6"/>
  <c r="N174" i="6" s="1"/>
  <c r="N174" i="8" s="1"/>
  <c r="I174" i="6"/>
  <c r="I174" i="8" s="1"/>
  <c r="M173" i="6"/>
  <c r="N173" i="6" s="1"/>
  <c r="N173" i="8" s="1"/>
  <c r="I173" i="6"/>
  <c r="I173" i="8" s="1"/>
  <c r="M172" i="6"/>
  <c r="N172" i="6" s="1"/>
  <c r="N172" i="8" s="1"/>
  <c r="I172" i="6"/>
  <c r="I172" i="8" s="1"/>
  <c r="M171" i="6"/>
  <c r="N171" i="6" s="1"/>
  <c r="N171" i="8" s="1"/>
  <c r="I171" i="6"/>
  <c r="I171" i="8" s="1"/>
  <c r="M170" i="6"/>
  <c r="N170" i="6" s="1"/>
  <c r="N170" i="8" s="1"/>
  <c r="I170" i="6"/>
  <c r="I170" i="8" s="1"/>
  <c r="M169" i="6"/>
  <c r="N169" i="6" s="1"/>
  <c r="N169" i="8" s="1"/>
  <c r="I169" i="6"/>
  <c r="I169" i="8" s="1"/>
  <c r="M168" i="6"/>
  <c r="N168" i="6" s="1"/>
  <c r="N168" i="8" s="1"/>
  <c r="I168" i="6"/>
  <c r="I168" i="8" s="1"/>
  <c r="M167" i="6"/>
  <c r="N167" i="6" s="1"/>
  <c r="N167" i="8" s="1"/>
  <c r="I167" i="6"/>
  <c r="I167" i="8" s="1"/>
  <c r="M166" i="6"/>
  <c r="N166" i="6" s="1"/>
  <c r="N166" i="8" s="1"/>
  <c r="I166" i="6"/>
  <c r="I166" i="8" s="1"/>
  <c r="M165" i="6"/>
  <c r="N165" i="6" s="1"/>
  <c r="N165" i="8" s="1"/>
  <c r="I165" i="6"/>
  <c r="I165" i="8" s="1"/>
  <c r="M164" i="6"/>
  <c r="N164" i="6" s="1"/>
  <c r="N164" i="8" s="1"/>
  <c r="I164" i="6"/>
  <c r="I164" i="8" s="1"/>
  <c r="M163" i="6"/>
  <c r="N163" i="6" s="1"/>
  <c r="N163" i="8" s="1"/>
  <c r="I163" i="6"/>
  <c r="I163" i="8" s="1"/>
  <c r="M162" i="6"/>
  <c r="N162" i="6" s="1"/>
  <c r="N162" i="8" s="1"/>
  <c r="I162" i="6"/>
  <c r="I162" i="8" s="1"/>
  <c r="M161" i="6"/>
  <c r="N161" i="6" s="1"/>
  <c r="N161" i="8" s="1"/>
  <c r="I161" i="6"/>
  <c r="I161" i="8" s="1"/>
  <c r="M160" i="6"/>
  <c r="N160" i="6" s="1"/>
  <c r="N160" i="8" s="1"/>
  <c r="I160" i="6"/>
  <c r="I160" i="8" s="1"/>
  <c r="M159" i="6"/>
  <c r="N159" i="6" s="1"/>
  <c r="N159" i="8" s="1"/>
  <c r="I159" i="6"/>
  <c r="I159" i="8" s="1"/>
  <c r="M158" i="6"/>
  <c r="N158" i="6" s="1"/>
  <c r="N158" i="8" s="1"/>
  <c r="I158" i="6"/>
  <c r="I158" i="8" s="1"/>
  <c r="M157" i="6"/>
  <c r="N157" i="6" s="1"/>
  <c r="N157" i="8" s="1"/>
  <c r="I157" i="6"/>
  <c r="I157" i="8" s="1"/>
  <c r="M156" i="6"/>
  <c r="N156" i="6" s="1"/>
  <c r="N156" i="8" s="1"/>
  <c r="I156" i="6"/>
  <c r="I156" i="8" s="1"/>
  <c r="M155" i="6"/>
  <c r="N155" i="6" s="1"/>
  <c r="N155" i="8" s="1"/>
  <c r="I155" i="6"/>
  <c r="I155" i="8" s="1"/>
  <c r="M154" i="6"/>
  <c r="N154" i="6" s="1"/>
  <c r="N154" i="8" s="1"/>
  <c r="I154" i="6"/>
  <c r="I154" i="8" s="1"/>
  <c r="M153" i="6"/>
  <c r="N153" i="6" s="1"/>
  <c r="N153" i="8" s="1"/>
  <c r="I153" i="6"/>
  <c r="I153" i="8" s="1"/>
  <c r="M152" i="6"/>
  <c r="N152" i="6" s="1"/>
  <c r="N152" i="8" s="1"/>
  <c r="I152" i="6"/>
  <c r="I152" i="8" s="1"/>
  <c r="M151" i="6"/>
  <c r="N151" i="6" s="1"/>
  <c r="N151" i="8" s="1"/>
  <c r="I151" i="6"/>
  <c r="I151" i="8" s="1"/>
  <c r="N150" i="8"/>
  <c r="I150" i="8"/>
  <c r="M149" i="6"/>
  <c r="N149" i="6" s="1"/>
  <c r="N149" i="8" s="1"/>
  <c r="I149" i="6"/>
  <c r="I149" i="8" s="1"/>
  <c r="M148" i="6"/>
  <c r="N148" i="6" s="1"/>
  <c r="N148" i="8" s="1"/>
  <c r="I148" i="6"/>
  <c r="I148" i="8" s="1"/>
  <c r="M147" i="6"/>
  <c r="N147" i="6" s="1"/>
  <c r="N147" i="8" s="1"/>
  <c r="I147" i="6"/>
  <c r="I147" i="8" s="1"/>
  <c r="M146" i="6"/>
  <c r="N146" i="6" s="1"/>
  <c r="N146" i="8" s="1"/>
  <c r="I146" i="6"/>
  <c r="I146" i="8" s="1"/>
  <c r="M145" i="6"/>
  <c r="N145" i="6" s="1"/>
  <c r="N145" i="8" s="1"/>
  <c r="I145" i="6"/>
  <c r="I145" i="8" s="1"/>
  <c r="M144" i="6"/>
  <c r="N144" i="6" s="1"/>
  <c r="N144" i="8" s="1"/>
  <c r="I144" i="6"/>
  <c r="I144" i="8" s="1"/>
  <c r="M143" i="6"/>
  <c r="N143" i="6" s="1"/>
  <c r="N143" i="8" s="1"/>
  <c r="I143" i="6"/>
  <c r="I143" i="8" s="1"/>
  <c r="M142" i="6"/>
  <c r="N142" i="6" s="1"/>
  <c r="N142" i="8" s="1"/>
  <c r="I142" i="6"/>
  <c r="I142" i="8" s="1"/>
  <c r="M141" i="6"/>
  <c r="N141" i="6" s="1"/>
  <c r="N141" i="8" s="1"/>
  <c r="I141" i="6"/>
  <c r="I141" i="8" s="1"/>
  <c r="M140" i="6"/>
  <c r="N140" i="6" s="1"/>
  <c r="N140" i="8" s="1"/>
  <c r="I140" i="6"/>
  <c r="I140" i="8" s="1"/>
  <c r="M139" i="6"/>
  <c r="N139" i="6" s="1"/>
  <c r="N139" i="8" s="1"/>
  <c r="I139" i="6"/>
  <c r="I139" i="8" s="1"/>
  <c r="M138" i="6"/>
  <c r="N138" i="6" s="1"/>
  <c r="N138" i="8" s="1"/>
  <c r="I138" i="6"/>
  <c r="I138" i="8" s="1"/>
  <c r="M137" i="6"/>
  <c r="N137" i="6" s="1"/>
  <c r="N137" i="8" s="1"/>
  <c r="I137" i="6"/>
  <c r="I137" i="8" s="1"/>
  <c r="M136" i="6"/>
  <c r="N136" i="6" s="1"/>
  <c r="N136" i="8" s="1"/>
  <c r="I136" i="6"/>
  <c r="I136" i="8" s="1"/>
  <c r="M135" i="6"/>
  <c r="N135" i="6" s="1"/>
  <c r="N135" i="8" s="1"/>
  <c r="I135" i="6"/>
  <c r="I135" i="8" s="1"/>
  <c r="M134" i="6"/>
  <c r="N134" i="6" s="1"/>
  <c r="N134" i="8" s="1"/>
  <c r="I134" i="6"/>
  <c r="I134" i="8" s="1"/>
  <c r="M133" i="6"/>
  <c r="N133" i="6" s="1"/>
  <c r="N133" i="8" s="1"/>
  <c r="I133" i="6"/>
  <c r="I133" i="8" s="1"/>
  <c r="M132" i="6"/>
  <c r="N132" i="6" s="1"/>
  <c r="N132" i="8" s="1"/>
  <c r="I132" i="6"/>
  <c r="I132" i="8" s="1"/>
  <c r="M131" i="6"/>
  <c r="N131" i="6" s="1"/>
  <c r="N131" i="8" s="1"/>
  <c r="I131" i="6"/>
  <c r="I131" i="8" s="1"/>
  <c r="M130" i="6"/>
  <c r="N130" i="6" s="1"/>
  <c r="N130" i="8" s="1"/>
  <c r="I130" i="6"/>
  <c r="I130" i="8" s="1"/>
  <c r="M129" i="6"/>
  <c r="N129" i="6" s="1"/>
  <c r="N129" i="8" s="1"/>
  <c r="I129" i="6"/>
  <c r="I129" i="8" s="1"/>
  <c r="M128" i="6"/>
  <c r="N128" i="6" s="1"/>
  <c r="N128" i="8" s="1"/>
  <c r="I128" i="6"/>
  <c r="I128" i="8" s="1"/>
  <c r="M127" i="6"/>
  <c r="N127" i="6" s="1"/>
  <c r="N127" i="8" s="1"/>
  <c r="I127" i="6"/>
  <c r="I127" i="8" s="1"/>
  <c r="M126" i="6"/>
  <c r="N126" i="6" s="1"/>
  <c r="N126" i="8" s="1"/>
  <c r="I126" i="6"/>
  <c r="I126" i="8" s="1"/>
  <c r="M125" i="6"/>
  <c r="N125" i="6" s="1"/>
  <c r="N125" i="8" s="1"/>
  <c r="I125" i="8"/>
  <c r="M124" i="6"/>
  <c r="N124" i="6" s="1"/>
  <c r="N124" i="8" s="1"/>
  <c r="M123" i="6"/>
  <c r="N123" i="6" s="1"/>
  <c r="N123" i="8" s="1"/>
  <c r="I123" i="8"/>
  <c r="M122" i="6"/>
  <c r="N122" i="6" s="1"/>
  <c r="N122" i="8" s="1"/>
  <c r="I122" i="6"/>
  <c r="I122" i="8" s="1"/>
  <c r="M121" i="6"/>
  <c r="N121" i="6" s="1"/>
  <c r="N121" i="8" s="1"/>
  <c r="I121" i="8"/>
  <c r="M120" i="6"/>
  <c r="N120" i="6" s="1"/>
  <c r="N120" i="8" s="1"/>
  <c r="I120" i="6"/>
  <c r="I120" i="8" s="1"/>
  <c r="M119" i="6"/>
  <c r="N119" i="6" s="1"/>
  <c r="N119" i="8" s="1"/>
  <c r="I119" i="6"/>
  <c r="I119" i="8" s="1"/>
  <c r="M118" i="6"/>
  <c r="N118" i="6" s="1"/>
  <c r="N118" i="8" s="1"/>
  <c r="I118" i="6"/>
  <c r="I118" i="8" s="1"/>
  <c r="M117" i="6"/>
  <c r="N117" i="6" s="1"/>
  <c r="N117" i="8" s="1"/>
  <c r="I117" i="6"/>
  <c r="I117" i="8" s="1"/>
  <c r="M116" i="6"/>
  <c r="N116" i="6" s="1"/>
  <c r="N116" i="8" s="1"/>
  <c r="I116" i="6"/>
  <c r="I116" i="8" s="1"/>
  <c r="M115" i="6"/>
  <c r="N115" i="6" s="1"/>
  <c r="N115" i="8" s="1"/>
  <c r="I115" i="6"/>
  <c r="I115" i="8" s="1"/>
  <c r="M114" i="6"/>
  <c r="N114" i="6" s="1"/>
  <c r="N114" i="8" s="1"/>
  <c r="I114" i="6"/>
  <c r="I114" i="8" s="1"/>
  <c r="M113" i="6"/>
  <c r="N113" i="6" s="1"/>
  <c r="N113" i="8" s="1"/>
  <c r="I113" i="6"/>
  <c r="I113" i="8" s="1"/>
  <c r="M112" i="6"/>
  <c r="N112" i="6" s="1"/>
  <c r="N112" i="8" s="1"/>
  <c r="I112" i="6"/>
  <c r="I112" i="8" s="1"/>
  <c r="M111" i="6"/>
  <c r="N111" i="6" s="1"/>
  <c r="N111" i="8" s="1"/>
  <c r="I111" i="6"/>
  <c r="I111" i="8" s="1"/>
  <c r="M110" i="6"/>
  <c r="N110" i="6" s="1"/>
  <c r="N110" i="8" s="1"/>
  <c r="I110" i="6"/>
  <c r="I110" i="8" s="1"/>
  <c r="M109" i="6"/>
  <c r="N109" i="6" s="1"/>
  <c r="N109" i="8" s="1"/>
  <c r="I109" i="6"/>
  <c r="I109" i="8" s="1"/>
  <c r="M108" i="6"/>
  <c r="N108" i="6" s="1"/>
  <c r="N108" i="8" s="1"/>
  <c r="I108" i="6"/>
  <c r="I108" i="8" s="1"/>
  <c r="M107" i="6"/>
  <c r="N107" i="6" s="1"/>
  <c r="N107" i="8" s="1"/>
  <c r="I107" i="6"/>
  <c r="I107" i="8" s="1"/>
  <c r="M106" i="6"/>
  <c r="N106" i="6" s="1"/>
  <c r="N106" i="8" s="1"/>
  <c r="I106" i="6"/>
  <c r="I106" i="8" s="1"/>
  <c r="M105" i="6"/>
  <c r="N105" i="6" s="1"/>
  <c r="N105" i="8" s="1"/>
  <c r="I105" i="6"/>
  <c r="I105" i="8" s="1"/>
  <c r="M104" i="6"/>
  <c r="N104" i="6" s="1"/>
  <c r="N104" i="8" s="1"/>
  <c r="I104" i="6"/>
  <c r="I104" i="8" s="1"/>
  <c r="M103" i="6"/>
  <c r="N103" i="6" s="1"/>
  <c r="N103" i="8" s="1"/>
  <c r="I103" i="6"/>
  <c r="I103" i="8" s="1"/>
  <c r="M102" i="6"/>
  <c r="N102" i="6" s="1"/>
  <c r="N102" i="8" s="1"/>
  <c r="I102" i="6"/>
  <c r="I102" i="8" s="1"/>
  <c r="M101" i="6"/>
  <c r="N101" i="6" s="1"/>
  <c r="N101" i="8" s="1"/>
  <c r="I101" i="6"/>
  <c r="I101" i="8" s="1"/>
  <c r="M100" i="6"/>
  <c r="N100" i="6" s="1"/>
  <c r="N100" i="8" s="1"/>
  <c r="I100" i="6"/>
  <c r="I100" i="8" s="1"/>
  <c r="M99" i="6"/>
  <c r="N99" i="6" s="1"/>
  <c r="N99" i="8" s="1"/>
  <c r="I99" i="6"/>
  <c r="I99" i="8" s="1"/>
  <c r="M98" i="6"/>
  <c r="N98" i="6" s="1"/>
  <c r="N98" i="8" s="1"/>
  <c r="I98" i="6"/>
  <c r="I98" i="8" s="1"/>
  <c r="M97" i="6"/>
  <c r="N97" i="6" s="1"/>
  <c r="N97" i="8" s="1"/>
  <c r="I97" i="6"/>
  <c r="I97" i="8" s="1"/>
  <c r="M96" i="6"/>
  <c r="N96" i="6" s="1"/>
  <c r="N96" i="8" s="1"/>
  <c r="I96" i="6"/>
  <c r="I96" i="8" s="1"/>
  <c r="M95" i="6"/>
  <c r="N95" i="6" s="1"/>
  <c r="N95" i="8" s="1"/>
  <c r="I95" i="6"/>
  <c r="I95" i="8" s="1"/>
  <c r="M94" i="6"/>
  <c r="N94" i="6" s="1"/>
  <c r="N94" i="8" s="1"/>
  <c r="I94" i="6"/>
  <c r="I94" i="8" s="1"/>
  <c r="M93" i="6"/>
  <c r="N93" i="6" s="1"/>
  <c r="N93" i="8" s="1"/>
  <c r="I93" i="6"/>
  <c r="I93" i="8" s="1"/>
  <c r="M92" i="6"/>
  <c r="N92" i="6" s="1"/>
  <c r="N92" i="8" s="1"/>
  <c r="I92" i="6"/>
  <c r="I92" i="8" s="1"/>
  <c r="M91" i="6"/>
  <c r="N91" i="6" s="1"/>
  <c r="N91" i="8" s="1"/>
  <c r="I91" i="6"/>
  <c r="I91" i="8" s="1"/>
  <c r="M90" i="6"/>
  <c r="N90" i="6" s="1"/>
  <c r="N90" i="8" s="1"/>
  <c r="I90" i="6"/>
  <c r="I90" i="8" s="1"/>
  <c r="M89" i="6"/>
  <c r="N89" i="6" s="1"/>
  <c r="N89" i="8" s="1"/>
  <c r="I89" i="6"/>
  <c r="I89" i="8" s="1"/>
  <c r="M88" i="6"/>
  <c r="N88" i="6" s="1"/>
  <c r="N88" i="8" s="1"/>
  <c r="I88" i="6"/>
  <c r="I88" i="8" s="1"/>
  <c r="M87" i="6"/>
  <c r="N87" i="6" s="1"/>
  <c r="N87" i="8" s="1"/>
  <c r="I87" i="6"/>
  <c r="I87" i="8" s="1"/>
  <c r="M86" i="6"/>
  <c r="N86" i="6" s="1"/>
  <c r="N86" i="8" s="1"/>
  <c r="I86" i="6"/>
  <c r="I86" i="8" s="1"/>
  <c r="M85" i="6"/>
  <c r="N85" i="6" s="1"/>
  <c r="N85" i="8" s="1"/>
  <c r="I85" i="6"/>
  <c r="I85" i="8" s="1"/>
  <c r="M84" i="6"/>
  <c r="N84" i="6" s="1"/>
  <c r="N84" i="8" s="1"/>
  <c r="I84" i="6"/>
  <c r="I84" i="8" s="1"/>
  <c r="M83" i="6"/>
  <c r="N83" i="6" s="1"/>
  <c r="N83" i="8" s="1"/>
  <c r="I83" i="6"/>
  <c r="I83" i="8" s="1"/>
  <c r="M82" i="6"/>
  <c r="N82" i="6" s="1"/>
  <c r="N82" i="8" s="1"/>
  <c r="I82" i="6"/>
  <c r="I82" i="8" s="1"/>
  <c r="M81" i="6"/>
  <c r="N81" i="6" s="1"/>
  <c r="N81" i="8" s="1"/>
  <c r="I81" i="6"/>
  <c r="I81" i="8" s="1"/>
  <c r="M80" i="6"/>
  <c r="N80" i="6" s="1"/>
  <c r="N80" i="8" s="1"/>
  <c r="I80" i="6"/>
  <c r="I80" i="8" s="1"/>
  <c r="M79" i="6"/>
  <c r="N79" i="6" s="1"/>
  <c r="N79" i="8" s="1"/>
  <c r="I79" i="6"/>
  <c r="I79" i="8" s="1"/>
  <c r="M78" i="6"/>
  <c r="N78" i="6" s="1"/>
  <c r="N78" i="8" s="1"/>
  <c r="I78" i="6"/>
  <c r="I78" i="8" s="1"/>
  <c r="M77" i="6"/>
  <c r="N77" i="6" s="1"/>
  <c r="N77" i="8" s="1"/>
  <c r="I77" i="6"/>
  <c r="I77" i="8" s="1"/>
  <c r="M76" i="6"/>
  <c r="N76" i="6" s="1"/>
  <c r="N76" i="8" s="1"/>
  <c r="I76" i="6"/>
  <c r="I76" i="8" s="1"/>
  <c r="M75" i="6"/>
  <c r="N75" i="6" s="1"/>
  <c r="N75" i="8" s="1"/>
  <c r="I75" i="6"/>
  <c r="I75" i="8" s="1"/>
  <c r="M74" i="6"/>
  <c r="N74" i="6" s="1"/>
  <c r="N74" i="8" s="1"/>
  <c r="I74" i="6"/>
  <c r="I74" i="8" s="1"/>
  <c r="M73" i="6"/>
  <c r="N73" i="6" s="1"/>
  <c r="N73" i="8" s="1"/>
  <c r="I73" i="6"/>
  <c r="I73" i="8" s="1"/>
  <c r="M72" i="6"/>
  <c r="N72" i="6" s="1"/>
  <c r="N72" i="8" s="1"/>
  <c r="I72" i="6"/>
  <c r="I72" i="8" s="1"/>
  <c r="M71" i="6"/>
  <c r="N71" i="6" s="1"/>
  <c r="N71" i="8" s="1"/>
  <c r="I71" i="6"/>
  <c r="I71" i="8" s="1"/>
  <c r="M70" i="6"/>
  <c r="N70" i="6" s="1"/>
  <c r="N70" i="8" s="1"/>
  <c r="I70" i="6"/>
  <c r="I70" i="8" s="1"/>
  <c r="M69" i="6"/>
  <c r="N69" i="6" s="1"/>
  <c r="N69" i="8" s="1"/>
  <c r="I69" i="6"/>
  <c r="I69" i="8" s="1"/>
  <c r="M68" i="6"/>
  <c r="N68" i="6" s="1"/>
  <c r="N68" i="8" s="1"/>
  <c r="I68" i="6"/>
  <c r="I68" i="8" s="1"/>
  <c r="M67" i="6"/>
  <c r="N67" i="6" s="1"/>
  <c r="N67" i="8" s="1"/>
  <c r="I67" i="6"/>
  <c r="I67" i="8" s="1"/>
  <c r="M66" i="6"/>
  <c r="N66" i="6" s="1"/>
  <c r="N66" i="8" s="1"/>
  <c r="I66" i="6"/>
  <c r="I66" i="8" s="1"/>
  <c r="M65" i="6"/>
  <c r="N65" i="6" s="1"/>
  <c r="N65" i="8" s="1"/>
  <c r="I65" i="6"/>
  <c r="I65" i="8" s="1"/>
  <c r="M64" i="6"/>
  <c r="N64" i="6" s="1"/>
  <c r="N64" i="8" s="1"/>
  <c r="I64" i="6"/>
  <c r="I64" i="8" s="1"/>
  <c r="M63" i="6"/>
  <c r="N63" i="6" s="1"/>
  <c r="N63" i="8" s="1"/>
  <c r="I63" i="6"/>
  <c r="I63" i="8" s="1"/>
  <c r="M62" i="6"/>
  <c r="N62" i="6" s="1"/>
  <c r="N62" i="8" s="1"/>
  <c r="I62" i="6"/>
  <c r="I62" i="8" s="1"/>
  <c r="M61" i="6"/>
  <c r="N61" i="6" s="1"/>
  <c r="N61" i="8" s="1"/>
  <c r="I61" i="6"/>
  <c r="I61" i="8" s="1"/>
  <c r="M60" i="6"/>
  <c r="N60" i="6" s="1"/>
  <c r="N60" i="8" s="1"/>
  <c r="I60" i="6"/>
  <c r="I60" i="8" s="1"/>
  <c r="M59" i="6"/>
  <c r="N59" i="6" s="1"/>
  <c r="N59" i="8" s="1"/>
  <c r="I59" i="6"/>
  <c r="I59" i="8" s="1"/>
  <c r="M58" i="6"/>
  <c r="N58" i="6" s="1"/>
  <c r="N58" i="8" s="1"/>
  <c r="I58" i="6"/>
  <c r="I58" i="8" s="1"/>
  <c r="M57" i="6"/>
  <c r="N57" i="6" s="1"/>
  <c r="N57" i="8" s="1"/>
  <c r="I57" i="6"/>
  <c r="I57" i="8" s="1"/>
  <c r="M56" i="6"/>
  <c r="N56" i="6" s="1"/>
  <c r="N56" i="8" s="1"/>
  <c r="I56" i="6"/>
  <c r="I56" i="8" s="1"/>
  <c r="M55" i="6"/>
  <c r="N55" i="6" s="1"/>
  <c r="N55" i="8" s="1"/>
  <c r="I55" i="6"/>
  <c r="I55" i="8" s="1"/>
  <c r="M54" i="6"/>
  <c r="N54" i="6" s="1"/>
  <c r="N54" i="8" s="1"/>
  <c r="I54" i="6"/>
  <c r="I54" i="8" s="1"/>
  <c r="M53" i="6"/>
  <c r="N53" i="6" s="1"/>
  <c r="N53" i="8" s="1"/>
  <c r="I53" i="6"/>
  <c r="I53" i="8" s="1"/>
  <c r="M52" i="6"/>
  <c r="N52" i="6" s="1"/>
  <c r="N52" i="8" s="1"/>
  <c r="I52" i="6"/>
  <c r="I52" i="8" s="1"/>
  <c r="M51" i="6"/>
  <c r="N51" i="6" s="1"/>
  <c r="N51" i="8" s="1"/>
  <c r="I51" i="6"/>
  <c r="I51" i="8" s="1"/>
  <c r="M50" i="6"/>
  <c r="N50" i="6" s="1"/>
  <c r="N50" i="8" s="1"/>
  <c r="I50" i="6"/>
  <c r="I50" i="8" s="1"/>
  <c r="M49" i="6"/>
  <c r="N49" i="6" s="1"/>
  <c r="N49" i="8" s="1"/>
  <c r="I49" i="6"/>
  <c r="I49" i="8" s="1"/>
  <c r="M48" i="6"/>
  <c r="N48" i="6" s="1"/>
  <c r="N48" i="8" s="1"/>
  <c r="I48" i="6"/>
  <c r="I48" i="8" s="1"/>
  <c r="M47" i="6"/>
  <c r="N47" i="6" s="1"/>
  <c r="N47" i="8" s="1"/>
  <c r="I47" i="6"/>
  <c r="I47" i="8" s="1"/>
  <c r="M46" i="6"/>
  <c r="N46" i="6" s="1"/>
  <c r="N46" i="8" s="1"/>
  <c r="I46" i="6"/>
  <c r="I46" i="8" s="1"/>
  <c r="M45" i="6"/>
  <c r="N45" i="6" s="1"/>
  <c r="N45" i="8" s="1"/>
  <c r="I45" i="6"/>
  <c r="I45" i="8" s="1"/>
  <c r="M44" i="6"/>
  <c r="N44" i="6" s="1"/>
  <c r="N44" i="8" s="1"/>
  <c r="I44" i="6"/>
  <c r="I44" i="8" s="1"/>
  <c r="M43" i="6"/>
  <c r="N43" i="6" s="1"/>
  <c r="N43" i="8" s="1"/>
  <c r="I43" i="6"/>
  <c r="I43" i="8" s="1"/>
  <c r="M42" i="6"/>
  <c r="N42" i="6" s="1"/>
  <c r="N42" i="8" s="1"/>
  <c r="I42" i="6"/>
  <c r="I42" i="8" s="1"/>
  <c r="M41" i="6"/>
  <c r="N41" i="6" s="1"/>
  <c r="N41" i="8" s="1"/>
  <c r="I41" i="6"/>
  <c r="I41" i="8" s="1"/>
  <c r="M40" i="6"/>
  <c r="N40" i="6" s="1"/>
  <c r="N40" i="8" s="1"/>
  <c r="I40" i="6"/>
  <c r="I40" i="8" s="1"/>
  <c r="M39" i="6"/>
  <c r="N39" i="6" s="1"/>
  <c r="N39" i="8" s="1"/>
  <c r="M38" i="6"/>
  <c r="N38" i="6" s="1"/>
  <c r="N38" i="8" s="1"/>
  <c r="I38" i="6"/>
  <c r="I38" i="8" s="1"/>
  <c r="M37" i="6"/>
  <c r="N37" i="6" s="1"/>
  <c r="N37" i="8" s="1"/>
  <c r="I37" i="6"/>
  <c r="I37" i="8" s="1"/>
  <c r="M36" i="6"/>
  <c r="N36" i="6" s="1"/>
  <c r="N36" i="8" s="1"/>
  <c r="I36" i="6"/>
  <c r="I36" i="8" s="1"/>
  <c r="M35" i="6"/>
  <c r="N35" i="6" s="1"/>
  <c r="N35" i="8" s="1"/>
  <c r="I35" i="6"/>
  <c r="I35" i="8" s="1"/>
  <c r="M34" i="6"/>
  <c r="N34" i="6" s="1"/>
  <c r="N34" i="8" s="1"/>
  <c r="I34" i="6"/>
  <c r="I34" i="8" s="1"/>
  <c r="M33" i="6"/>
  <c r="N33" i="6" s="1"/>
  <c r="N33" i="8" s="1"/>
  <c r="I33" i="6"/>
  <c r="I33" i="8" s="1"/>
  <c r="M32" i="6"/>
  <c r="N32" i="6" s="1"/>
  <c r="N32" i="8" s="1"/>
  <c r="I32" i="6"/>
  <c r="I32" i="8" s="1"/>
  <c r="M31" i="6"/>
  <c r="N31" i="6" s="1"/>
  <c r="N31" i="8" s="1"/>
  <c r="I31" i="6"/>
  <c r="I31" i="8" s="1"/>
  <c r="M30" i="6"/>
  <c r="N30" i="6" s="1"/>
  <c r="N30" i="8" s="1"/>
  <c r="I30" i="6"/>
  <c r="I30" i="8" s="1"/>
  <c r="M29" i="6"/>
  <c r="N29" i="6" s="1"/>
  <c r="N29" i="8" s="1"/>
  <c r="I29" i="6"/>
  <c r="I29" i="8" s="1"/>
  <c r="M28" i="6"/>
  <c r="N28" i="6" s="1"/>
  <c r="N28" i="8" s="1"/>
  <c r="I28" i="6"/>
  <c r="I28" i="8" s="1"/>
  <c r="M27" i="6"/>
  <c r="N27" i="6" s="1"/>
  <c r="N27" i="8" s="1"/>
  <c r="I27" i="6"/>
  <c r="I27" i="8" s="1"/>
  <c r="M26" i="6"/>
  <c r="N26" i="6" s="1"/>
  <c r="N26" i="8" s="1"/>
  <c r="I26" i="6"/>
  <c r="I26" i="8" s="1"/>
  <c r="M25" i="6"/>
  <c r="N25" i="6" s="1"/>
  <c r="N25" i="8" s="1"/>
  <c r="I25" i="6"/>
  <c r="I25" i="8" s="1"/>
  <c r="M24" i="6"/>
  <c r="N24" i="6" s="1"/>
  <c r="N24" i="8" s="1"/>
  <c r="I24" i="6"/>
  <c r="I24" i="8" s="1"/>
  <c r="M23" i="6"/>
  <c r="N23" i="6" s="1"/>
  <c r="N23" i="8" s="1"/>
  <c r="I23" i="6"/>
  <c r="I23" i="8" s="1"/>
  <c r="M22" i="6"/>
  <c r="N22" i="6" s="1"/>
  <c r="N22" i="8" s="1"/>
  <c r="I22" i="6"/>
  <c r="I22" i="8" s="1"/>
  <c r="M21" i="6"/>
  <c r="N21" i="6" s="1"/>
  <c r="N21" i="8" s="1"/>
  <c r="M20" i="6"/>
  <c r="N20" i="6" s="1"/>
  <c r="N20" i="8" s="1"/>
  <c r="I20" i="6"/>
  <c r="I20" i="8" s="1"/>
  <c r="M19" i="6"/>
  <c r="N19" i="6" s="1"/>
  <c r="N19" i="8" s="1"/>
  <c r="I19" i="6"/>
  <c r="I19" i="8" s="1"/>
  <c r="M18" i="6"/>
  <c r="N18" i="6" s="1"/>
  <c r="N18" i="8" s="1"/>
  <c r="I18" i="6"/>
  <c r="I18" i="8" s="1"/>
  <c r="M17" i="6"/>
  <c r="N17" i="6" s="1"/>
  <c r="N17" i="8" s="1"/>
  <c r="I17" i="6"/>
  <c r="I17" i="8" s="1"/>
  <c r="M16" i="6"/>
  <c r="N16" i="6" s="1"/>
  <c r="N16" i="8" s="1"/>
  <c r="I16" i="6"/>
  <c r="I16" i="8" s="1"/>
  <c r="M15" i="6"/>
  <c r="N15" i="6" s="1"/>
  <c r="N15" i="8" s="1"/>
  <c r="I15" i="6"/>
  <c r="I15" i="8" s="1"/>
  <c r="M14" i="6"/>
  <c r="N14" i="6" s="1"/>
  <c r="N14" i="8" s="1"/>
  <c r="I14" i="6"/>
  <c r="I14" i="8" s="1"/>
  <c r="M13" i="6"/>
  <c r="N13" i="6" s="1"/>
  <c r="N13" i="8" s="1"/>
  <c r="I13" i="6"/>
  <c r="I13" i="8" s="1"/>
  <c r="M12" i="6"/>
  <c r="N12" i="6" s="1"/>
  <c r="N12" i="8" s="1"/>
  <c r="I12" i="6"/>
  <c r="I12" i="8" s="1"/>
  <c r="M11" i="6"/>
  <c r="N11" i="6" s="1"/>
  <c r="N11" i="8" s="1"/>
  <c r="I11" i="6"/>
  <c r="I11" i="8" s="1"/>
  <c r="M10" i="6"/>
  <c r="N10" i="6" s="1"/>
  <c r="N10" i="8" s="1"/>
  <c r="I10" i="6"/>
  <c r="I10" i="8" s="1"/>
  <c r="M9" i="6"/>
  <c r="N9" i="6" s="1"/>
  <c r="N9" i="8" s="1"/>
  <c r="I9" i="6"/>
  <c r="I9" i="8" s="1"/>
  <c r="B331" i="4" l="1"/>
  <c r="D331" i="4"/>
  <c r="F331" i="4"/>
  <c r="H331" i="4"/>
  <c r="I331" i="4"/>
  <c r="K331" i="4"/>
  <c r="N331" i="4"/>
  <c r="S331" i="4"/>
  <c r="B332" i="4"/>
  <c r="D332" i="4"/>
  <c r="F332" i="4"/>
  <c r="H332" i="4"/>
  <c r="I332" i="4"/>
  <c r="K332" i="4"/>
  <c r="N332" i="4"/>
  <c r="S332" i="4"/>
  <c r="B333" i="4"/>
  <c r="D333" i="4"/>
  <c r="F333" i="4"/>
  <c r="H333" i="4"/>
  <c r="I333" i="4"/>
  <c r="K333" i="4"/>
  <c r="N333" i="4"/>
  <c r="S333" i="4"/>
  <c r="B334" i="4"/>
  <c r="D334" i="4"/>
  <c r="F334" i="4"/>
  <c r="H334" i="4"/>
  <c r="I334" i="4"/>
  <c r="K334" i="4"/>
  <c r="N334" i="4"/>
  <c r="S334" i="4"/>
  <c r="B335" i="4"/>
  <c r="D335" i="4"/>
  <c r="F335" i="4"/>
  <c r="H335" i="4"/>
  <c r="I335" i="4"/>
  <c r="K335" i="4"/>
  <c r="N335" i="4"/>
  <c r="S335" i="4"/>
  <c r="B336" i="4"/>
  <c r="D336" i="4"/>
  <c r="F336" i="4"/>
  <c r="H336" i="4"/>
  <c r="I336" i="4"/>
  <c r="K336" i="4"/>
  <c r="N336" i="4"/>
  <c r="S336" i="4"/>
  <c r="B337" i="4"/>
  <c r="D337" i="4"/>
  <c r="F337" i="4"/>
  <c r="H337" i="4"/>
  <c r="I337" i="4"/>
  <c r="K337" i="4"/>
  <c r="N337" i="4"/>
  <c r="S337" i="4"/>
  <c r="B338" i="4"/>
  <c r="D338" i="4"/>
  <c r="F338" i="4"/>
  <c r="H338" i="4"/>
  <c r="I338" i="4"/>
  <c r="K338" i="4"/>
  <c r="N338" i="4"/>
  <c r="S338" i="4"/>
  <c r="B339" i="4"/>
  <c r="D339" i="4"/>
  <c r="F339" i="4"/>
  <c r="H339" i="4"/>
  <c r="I339" i="4"/>
  <c r="K339" i="4"/>
  <c r="N339" i="4"/>
  <c r="S339" i="4"/>
  <c r="B340" i="4"/>
  <c r="D340" i="4"/>
  <c r="F340" i="4"/>
  <c r="H340" i="4"/>
  <c r="I340" i="4"/>
  <c r="K340" i="4"/>
  <c r="N340" i="4"/>
  <c r="S340" i="4"/>
  <c r="B341" i="4"/>
  <c r="D341" i="4"/>
  <c r="F341" i="4"/>
  <c r="H341" i="4"/>
  <c r="I341" i="4"/>
  <c r="K341" i="4"/>
  <c r="N341" i="4"/>
  <c r="S341" i="4"/>
  <c r="B342" i="4"/>
  <c r="D342" i="4"/>
  <c r="F342" i="4"/>
  <c r="H342" i="4"/>
  <c r="I342" i="4"/>
  <c r="K342" i="4"/>
  <c r="N342" i="4"/>
  <c r="S342" i="4"/>
  <c r="B343" i="4"/>
  <c r="D343" i="4"/>
  <c r="F343" i="4"/>
  <c r="H343" i="4"/>
  <c r="I343" i="4"/>
  <c r="K343" i="4"/>
  <c r="N343" i="4"/>
  <c r="S343" i="4"/>
  <c r="B344" i="4"/>
  <c r="D344" i="4"/>
  <c r="F344" i="4"/>
  <c r="H344" i="4"/>
  <c r="I344" i="4"/>
  <c r="K344" i="4"/>
  <c r="N344" i="4"/>
  <c r="S344" i="4"/>
  <c r="B345" i="4"/>
  <c r="D345" i="4"/>
  <c r="F345" i="4"/>
  <c r="H345" i="4"/>
  <c r="I345" i="4"/>
  <c r="K345" i="4"/>
  <c r="N345" i="4"/>
  <c r="S345" i="4"/>
  <c r="B346" i="4"/>
  <c r="D346" i="4"/>
  <c r="F346" i="4"/>
  <c r="H346" i="4"/>
  <c r="I346" i="4"/>
  <c r="K346" i="4"/>
  <c r="N346" i="4"/>
  <c r="S346" i="4"/>
  <c r="B347" i="4"/>
  <c r="D347" i="4"/>
  <c r="F347" i="4"/>
  <c r="H347" i="4"/>
  <c r="I347" i="4"/>
  <c r="K347" i="4"/>
  <c r="N347" i="4"/>
  <c r="S347" i="4"/>
  <c r="B348" i="4"/>
  <c r="D348" i="4"/>
  <c r="F348" i="4"/>
  <c r="H348" i="4"/>
  <c r="I348" i="4"/>
  <c r="K348" i="4"/>
  <c r="N348" i="4"/>
  <c r="S348" i="4"/>
  <c r="B349" i="4"/>
  <c r="D349" i="4"/>
  <c r="F349" i="4"/>
  <c r="H349" i="4"/>
  <c r="I349" i="4"/>
  <c r="K349" i="4"/>
  <c r="N349" i="4"/>
  <c r="S349" i="4"/>
  <c r="B350" i="4"/>
  <c r="D350" i="4"/>
  <c r="F350" i="4"/>
  <c r="H350" i="4"/>
  <c r="I350" i="4"/>
  <c r="K350" i="4"/>
  <c r="N350" i="4"/>
  <c r="S350" i="4"/>
  <c r="I331" i="3"/>
  <c r="M331" i="3"/>
  <c r="N331" i="3" s="1"/>
  <c r="I332" i="3"/>
  <c r="M332" i="3"/>
  <c r="N332" i="3" s="1"/>
  <c r="I333" i="3"/>
  <c r="M333" i="3"/>
  <c r="N333" i="3"/>
  <c r="I334" i="3"/>
  <c r="M334" i="3"/>
  <c r="N334" i="3"/>
  <c r="I335" i="3"/>
  <c r="M335" i="3"/>
  <c r="N335" i="3" s="1"/>
  <c r="I336" i="3"/>
  <c r="M336" i="3"/>
  <c r="N336" i="3" s="1"/>
  <c r="I337" i="3"/>
  <c r="M337" i="3"/>
  <c r="N337" i="3"/>
  <c r="I338" i="3"/>
  <c r="M338" i="3"/>
  <c r="N338" i="3"/>
  <c r="I339" i="3"/>
  <c r="M339" i="3"/>
  <c r="N339" i="3" s="1"/>
  <c r="I340" i="3"/>
  <c r="M340" i="3"/>
  <c r="N340" i="3" s="1"/>
  <c r="I341" i="3"/>
  <c r="M341" i="3"/>
  <c r="N341" i="3"/>
  <c r="I342" i="3"/>
  <c r="M342" i="3"/>
  <c r="N342" i="3"/>
  <c r="I343" i="3"/>
  <c r="M343" i="3"/>
  <c r="N343" i="3" s="1"/>
  <c r="I344" i="3"/>
  <c r="M344" i="3"/>
  <c r="N344" i="3" s="1"/>
  <c r="I345" i="3"/>
  <c r="M345" i="3"/>
  <c r="N345" i="3"/>
  <c r="I346" i="3"/>
  <c r="M346" i="3"/>
  <c r="N346" i="3"/>
  <c r="I347" i="3"/>
  <c r="M347" i="3"/>
  <c r="N347" i="3" s="1"/>
  <c r="I348" i="3"/>
  <c r="M348" i="3"/>
  <c r="N348" i="3" s="1"/>
  <c r="I349" i="3"/>
  <c r="M349" i="3"/>
  <c r="N349" i="3"/>
  <c r="I350" i="3"/>
  <c r="M350" i="3"/>
  <c r="N350" i="3"/>
  <c r="S330" i="4" l="1"/>
  <c r="N330" i="4"/>
  <c r="K330" i="4"/>
  <c r="I330" i="4"/>
  <c r="H330" i="4"/>
  <c r="F330" i="4"/>
  <c r="D330" i="4"/>
  <c r="B330" i="4"/>
  <c r="S329" i="4"/>
  <c r="N329" i="4"/>
  <c r="K329" i="4"/>
  <c r="I329" i="4"/>
  <c r="H329" i="4"/>
  <c r="F329" i="4"/>
  <c r="D329" i="4"/>
  <c r="B329" i="4"/>
  <c r="S328" i="4"/>
  <c r="N328" i="4"/>
  <c r="K328" i="4"/>
  <c r="I328" i="4"/>
  <c r="H328" i="4"/>
  <c r="F328" i="4"/>
  <c r="D328" i="4"/>
  <c r="B328" i="4"/>
  <c r="S327" i="4"/>
  <c r="N327" i="4"/>
  <c r="K327" i="4"/>
  <c r="I327" i="4"/>
  <c r="H327" i="4"/>
  <c r="F327" i="4"/>
  <c r="D327" i="4"/>
  <c r="B327" i="4"/>
  <c r="S326" i="4"/>
  <c r="N326" i="4"/>
  <c r="K326" i="4"/>
  <c r="I326" i="4"/>
  <c r="H326" i="4"/>
  <c r="F326" i="4"/>
  <c r="D326" i="4"/>
  <c r="B326" i="4"/>
  <c r="S325" i="4"/>
  <c r="N325" i="4"/>
  <c r="K325" i="4"/>
  <c r="I325" i="4"/>
  <c r="H325" i="4"/>
  <c r="F325" i="4"/>
  <c r="D325" i="4"/>
  <c r="B325" i="4"/>
  <c r="S324" i="4"/>
  <c r="N324" i="4"/>
  <c r="K324" i="4"/>
  <c r="I324" i="4"/>
  <c r="H324" i="4"/>
  <c r="F324" i="4"/>
  <c r="D324" i="4"/>
  <c r="B324" i="4"/>
  <c r="S323" i="4"/>
  <c r="N323" i="4"/>
  <c r="K323" i="4"/>
  <c r="I323" i="4"/>
  <c r="H323" i="4"/>
  <c r="F323" i="4"/>
  <c r="D323" i="4"/>
  <c r="B323" i="4"/>
  <c r="S322" i="4"/>
  <c r="N322" i="4"/>
  <c r="K322" i="4"/>
  <c r="I322" i="4"/>
  <c r="H322" i="4"/>
  <c r="F322" i="4"/>
  <c r="D322" i="4"/>
  <c r="B322" i="4"/>
  <c r="S321" i="4"/>
  <c r="N321" i="4"/>
  <c r="K321" i="4"/>
  <c r="I321" i="4"/>
  <c r="H321" i="4"/>
  <c r="F321" i="4"/>
  <c r="D321" i="4"/>
  <c r="B321" i="4"/>
  <c r="S320" i="4"/>
  <c r="N320" i="4"/>
  <c r="K320" i="4"/>
  <c r="I320" i="4"/>
  <c r="H320" i="4"/>
  <c r="F320" i="4"/>
  <c r="D320" i="4"/>
  <c r="B320" i="4"/>
  <c r="S319" i="4"/>
  <c r="N319" i="4"/>
  <c r="K319" i="4"/>
  <c r="I319" i="4"/>
  <c r="H319" i="4"/>
  <c r="F319" i="4"/>
  <c r="D319" i="4"/>
  <c r="B319" i="4"/>
  <c r="S318" i="4"/>
  <c r="N318" i="4"/>
  <c r="K318" i="4"/>
  <c r="I318" i="4"/>
  <c r="H318" i="4"/>
  <c r="F318" i="4"/>
  <c r="D318" i="4"/>
  <c r="B318" i="4"/>
  <c r="S317" i="4"/>
  <c r="N317" i="4"/>
  <c r="K317" i="4"/>
  <c r="I317" i="4"/>
  <c r="H317" i="4"/>
  <c r="F317" i="4"/>
  <c r="D317" i="4"/>
  <c r="B317" i="4"/>
  <c r="S316" i="4"/>
  <c r="N316" i="4"/>
  <c r="K316" i="4"/>
  <c r="I316" i="4"/>
  <c r="H316" i="4"/>
  <c r="F316" i="4"/>
  <c r="D316" i="4"/>
  <c r="B316" i="4"/>
  <c r="S315" i="4"/>
  <c r="N315" i="4"/>
  <c r="K315" i="4"/>
  <c r="I315" i="4"/>
  <c r="H315" i="4"/>
  <c r="F315" i="4"/>
  <c r="D315" i="4"/>
  <c r="B315" i="4"/>
  <c r="S314" i="4"/>
  <c r="N314" i="4"/>
  <c r="K314" i="4"/>
  <c r="I314" i="4"/>
  <c r="H314" i="4"/>
  <c r="F314" i="4"/>
  <c r="D314" i="4"/>
  <c r="B314" i="4"/>
  <c r="S313" i="4"/>
  <c r="K313" i="4"/>
  <c r="H313" i="4"/>
  <c r="F313" i="4"/>
  <c r="D313" i="4"/>
  <c r="B313" i="4"/>
  <c r="S312" i="4"/>
  <c r="K312" i="4"/>
  <c r="H312" i="4"/>
  <c r="F312" i="4"/>
  <c r="D312" i="4"/>
  <c r="B312" i="4"/>
  <c r="S311" i="4"/>
  <c r="K311" i="4"/>
  <c r="H311" i="4"/>
  <c r="F311" i="4"/>
  <c r="D311" i="4"/>
  <c r="B311" i="4"/>
  <c r="S310" i="4"/>
  <c r="K310" i="4"/>
  <c r="H310" i="4"/>
  <c r="F310" i="4"/>
  <c r="D310" i="4"/>
  <c r="B310" i="4"/>
  <c r="S309" i="4"/>
  <c r="K309" i="4"/>
  <c r="H309" i="4"/>
  <c r="F309" i="4"/>
  <c r="D309" i="4"/>
  <c r="B309" i="4"/>
  <c r="S308" i="4"/>
  <c r="K308" i="4"/>
  <c r="H308" i="4"/>
  <c r="F308" i="4"/>
  <c r="D308" i="4"/>
  <c r="B308" i="4"/>
  <c r="S307" i="4"/>
  <c r="K307" i="4"/>
  <c r="H307" i="4"/>
  <c r="F307" i="4"/>
  <c r="D307" i="4"/>
  <c r="B307" i="4"/>
  <c r="S306" i="4"/>
  <c r="K306" i="4"/>
  <c r="H306" i="4"/>
  <c r="F306" i="4"/>
  <c r="D306" i="4"/>
  <c r="B306" i="4"/>
  <c r="S305" i="4"/>
  <c r="K305" i="4"/>
  <c r="H305" i="4"/>
  <c r="F305" i="4"/>
  <c r="D305" i="4"/>
  <c r="B305" i="4"/>
  <c r="S304" i="4"/>
  <c r="K304" i="4"/>
  <c r="H304" i="4"/>
  <c r="F304" i="4"/>
  <c r="D304" i="4"/>
  <c r="B304" i="4"/>
  <c r="S303" i="4"/>
  <c r="K303" i="4"/>
  <c r="H303" i="4"/>
  <c r="F303" i="4"/>
  <c r="D303" i="4"/>
  <c r="B303" i="4"/>
  <c r="S302" i="4"/>
  <c r="K302" i="4"/>
  <c r="H302" i="4"/>
  <c r="F302" i="4"/>
  <c r="D302" i="4"/>
  <c r="B302" i="4"/>
  <c r="S301" i="4"/>
  <c r="K301" i="4"/>
  <c r="H301" i="4"/>
  <c r="F301" i="4"/>
  <c r="D301" i="4"/>
  <c r="B301" i="4"/>
  <c r="M330" i="3"/>
  <c r="N330" i="3" s="1"/>
  <c r="I330" i="3"/>
  <c r="N329" i="3"/>
  <c r="M329" i="3"/>
  <c r="I329" i="3"/>
  <c r="M328" i="3"/>
  <c r="N328" i="3" s="1"/>
  <c r="I328" i="3"/>
  <c r="M327" i="3"/>
  <c r="N327" i="3" s="1"/>
  <c r="I327" i="3"/>
  <c r="M326" i="3"/>
  <c r="N326" i="3" s="1"/>
  <c r="I326" i="3"/>
  <c r="N325" i="3"/>
  <c r="M325" i="3"/>
  <c r="I325" i="3"/>
  <c r="M324" i="3"/>
  <c r="N324" i="3" s="1"/>
  <c r="I324" i="3"/>
  <c r="M323" i="3"/>
  <c r="N323" i="3" s="1"/>
  <c r="I323" i="3"/>
  <c r="M322" i="3"/>
  <c r="N322" i="3" s="1"/>
  <c r="I322" i="3"/>
  <c r="N321" i="3"/>
  <c r="M321" i="3"/>
  <c r="I321" i="3"/>
  <c r="M320" i="3"/>
  <c r="N320" i="3" s="1"/>
  <c r="I320" i="3"/>
  <c r="M319" i="3"/>
  <c r="N319" i="3" s="1"/>
  <c r="I319" i="3"/>
  <c r="M318" i="3"/>
  <c r="N318" i="3" s="1"/>
  <c r="I318" i="3"/>
  <c r="N317" i="3"/>
  <c r="M317" i="3"/>
  <c r="I317" i="3"/>
  <c r="M316" i="3"/>
  <c r="N316" i="3" s="1"/>
  <c r="I316" i="3"/>
  <c r="M315" i="3"/>
  <c r="N315" i="3" s="1"/>
  <c r="I315" i="3"/>
  <c r="M314" i="3"/>
  <c r="N314" i="3" s="1"/>
  <c r="I314" i="3"/>
  <c r="M313" i="3"/>
  <c r="N313" i="3" s="1"/>
  <c r="N313" i="4" s="1"/>
  <c r="I313" i="3"/>
  <c r="I313" i="4" s="1"/>
  <c r="M312" i="3"/>
  <c r="N312" i="3" s="1"/>
  <c r="N312" i="4" s="1"/>
  <c r="I312" i="3"/>
  <c r="I312" i="4" s="1"/>
  <c r="M311" i="3"/>
  <c r="N311" i="3" s="1"/>
  <c r="N311" i="4" s="1"/>
  <c r="I311" i="3"/>
  <c r="I311" i="4" s="1"/>
  <c r="M310" i="3"/>
  <c r="N310" i="3" s="1"/>
  <c r="N310" i="4" s="1"/>
  <c r="I310" i="3"/>
  <c r="I310" i="4" s="1"/>
  <c r="M309" i="3"/>
  <c r="N309" i="3" s="1"/>
  <c r="N309" i="4" s="1"/>
  <c r="I309" i="3"/>
  <c r="I309" i="4" s="1"/>
  <c r="M308" i="3"/>
  <c r="N308" i="3" s="1"/>
  <c r="N308" i="4" s="1"/>
  <c r="I308" i="3"/>
  <c r="I308" i="4" s="1"/>
  <c r="M307" i="3"/>
  <c r="N307" i="3" s="1"/>
  <c r="N307" i="4" s="1"/>
  <c r="I307" i="3"/>
  <c r="I307" i="4" s="1"/>
  <c r="M306" i="3"/>
  <c r="N306" i="3" s="1"/>
  <c r="N306" i="4" s="1"/>
  <c r="I306" i="3"/>
  <c r="I306" i="4" s="1"/>
  <c r="M305" i="3"/>
  <c r="N305" i="3" s="1"/>
  <c r="N305" i="4" s="1"/>
  <c r="I305" i="3"/>
  <c r="I305" i="4" s="1"/>
  <c r="M304" i="3"/>
  <c r="N304" i="3" s="1"/>
  <c r="N304" i="4" s="1"/>
  <c r="I304" i="3"/>
  <c r="I304" i="4" s="1"/>
  <c r="M303" i="3"/>
  <c r="N303" i="3" s="1"/>
  <c r="N303" i="4" s="1"/>
  <c r="I303" i="3"/>
  <c r="I303" i="4" s="1"/>
  <c r="M302" i="3"/>
  <c r="N302" i="3" s="1"/>
  <c r="N302" i="4" s="1"/>
  <c r="I302" i="3"/>
  <c r="I302" i="4" s="1"/>
  <c r="M301" i="3"/>
  <c r="N301" i="3" s="1"/>
  <c r="N301" i="4" s="1"/>
  <c r="I301" i="3"/>
  <c r="I301" i="4" s="1"/>
  <c r="B251" i="4" l="1"/>
  <c r="D251" i="4"/>
  <c r="F251" i="4"/>
  <c r="H251" i="4"/>
  <c r="K251" i="4"/>
  <c r="S251" i="4"/>
  <c r="B252" i="4"/>
  <c r="D252" i="4"/>
  <c r="F252" i="4"/>
  <c r="H252" i="4"/>
  <c r="K252" i="4"/>
  <c r="S252" i="4"/>
  <c r="B253" i="4"/>
  <c r="D253" i="4"/>
  <c r="F253" i="4"/>
  <c r="H253" i="4"/>
  <c r="K253" i="4"/>
  <c r="S253" i="4"/>
  <c r="B254" i="4"/>
  <c r="D254" i="4"/>
  <c r="F254" i="4"/>
  <c r="H254" i="4"/>
  <c r="K254" i="4"/>
  <c r="S254" i="4"/>
  <c r="B255" i="4"/>
  <c r="D255" i="4"/>
  <c r="F255" i="4"/>
  <c r="H255" i="4"/>
  <c r="K255" i="4"/>
  <c r="S255" i="4"/>
  <c r="B256" i="4"/>
  <c r="D256" i="4"/>
  <c r="F256" i="4"/>
  <c r="H256" i="4"/>
  <c r="K256" i="4"/>
  <c r="S256" i="4"/>
  <c r="B257" i="4"/>
  <c r="D257" i="4"/>
  <c r="F257" i="4"/>
  <c r="H257" i="4"/>
  <c r="K257" i="4"/>
  <c r="S257" i="4"/>
  <c r="B258" i="4"/>
  <c r="D258" i="4"/>
  <c r="F258" i="4"/>
  <c r="H258" i="4"/>
  <c r="K258" i="4"/>
  <c r="S258" i="4"/>
  <c r="B259" i="4"/>
  <c r="D259" i="4"/>
  <c r="F259" i="4"/>
  <c r="H259" i="4"/>
  <c r="K259" i="4"/>
  <c r="S259" i="4"/>
  <c r="B260" i="4"/>
  <c r="D260" i="4"/>
  <c r="F260" i="4"/>
  <c r="H260" i="4"/>
  <c r="K260" i="4"/>
  <c r="S260" i="4"/>
  <c r="B261" i="4"/>
  <c r="D261" i="4"/>
  <c r="F261" i="4"/>
  <c r="H261" i="4"/>
  <c r="K261" i="4"/>
  <c r="S261" i="4"/>
  <c r="B262" i="4"/>
  <c r="D262" i="4"/>
  <c r="F262" i="4"/>
  <c r="H262" i="4"/>
  <c r="K262" i="4"/>
  <c r="S262" i="4"/>
  <c r="B263" i="4"/>
  <c r="D263" i="4"/>
  <c r="F263" i="4"/>
  <c r="H263" i="4"/>
  <c r="K263" i="4"/>
  <c r="S263" i="4"/>
  <c r="B264" i="4"/>
  <c r="D264" i="4"/>
  <c r="F264" i="4"/>
  <c r="H264" i="4"/>
  <c r="K264" i="4"/>
  <c r="S264" i="4"/>
  <c r="B265" i="4"/>
  <c r="D265" i="4"/>
  <c r="F265" i="4"/>
  <c r="H265" i="4"/>
  <c r="K265" i="4"/>
  <c r="S265" i="4"/>
  <c r="B266" i="4"/>
  <c r="D266" i="4"/>
  <c r="F266" i="4"/>
  <c r="H266" i="4"/>
  <c r="K266" i="4"/>
  <c r="S266" i="4"/>
  <c r="B267" i="4"/>
  <c r="D267" i="4"/>
  <c r="F267" i="4"/>
  <c r="H267" i="4"/>
  <c r="K267" i="4"/>
  <c r="S267" i="4"/>
  <c r="B268" i="4"/>
  <c r="D268" i="4"/>
  <c r="F268" i="4"/>
  <c r="H268" i="4"/>
  <c r="K268" i="4"/>
  <c r="S268" i="4"/>
  <c r="B269" i="4"/>
  <c r="D269" i="4"/>
  <c r="F269" i="4"/>
  <c r="H269" i="4"/>
  <c r="K269" i="4"/>
  <c r="S269" i="4"/>
  <c r="B270" i="4"/>
  <c r="D270" i="4"/>
  <c r="F270" i="4"/>
  <c r="H270" i="4"/>
  <c r="K270" i="4"/>
  <c r="S270" i="4"/>
  <c r="B271" i="4"/>
  <c r="D271" i="4"/>
  <c r="F271" i="4"/>
  <c r="H271" i="4"/>
  <c r="K271" i="4"/>
  <c r="S271" i="4"/>
  <c r="B272" i="4"/>
  <c r="D272" i="4"/>
  <c r="F272" i="4"/>
  <c r="H272" i="4"/>
  <c r="K272" i="4"/>
  <c r="S272" i="4"/>
  <c r="B273" i="4"/>
  <c r="D273" i="4"/>
  <c r="F273" i="4"/>
  <c r="H273" i="4"/>
  <c r="K273" i="4"/>
  <c r="S273" i="4"/>
  <c r="B274" i="4"/>
  <c r="D274" i="4"/>
  <c r="F274" i="4"/>
  <c r="H274" i="4"/>
  <c r="K274" i="4"/>
  <c r="S274" i="4"/>
  <c r="B275" i="4"/>
  <c r="D275" i="4"/>
  <c r="F275" i="4"/>
  <c r="H275" i="4"/>
  <c r="K275" i="4"/>
  <c r="S275" i="4"/>
  <c r="B276" i="4"/>
  <c r="D276" i="4"/>
  <c r="F276" i="4"/>
  <c r="H276" i="4"/>
  <c r="K276" i="4"/>
  <c r="S276" i="4"/>
  <c r="B277" i="4"/>
  <c r="D277" i="4"/>
  <c r="F277" i="4"/>
  <c r="H277" i="4"/>
  <c r="K277" i="4"/>
  <c r="S277" i="4"/>
  <c r="B278" i="4"/>
  <c r="D278" i="4"/>
  <c r="F278" i="4"/>
  <c r="H278" i="4"/>
  <c r="K278" i="4"/>
  <c r="S278" i="4"/>
  <c r="B279" i="4"/>
  <c r="D279" i="4"/>
  <c r="F279" i="4"/>
  <c r="H279" i="4"/>
  <c r="K279" i="4"/>
  <c r="S279" i="4"/>
  <c r="B280" i="4"/>
  <c r="D280" i="4"/>
  <c r="F280" i="4"/>
  <c r="H280" i="4"/>
  <c r="K280" i="4"/>
  <c r="S280" i="4"/>
  <c r="B281" i="4"/>
  <c r="D281" i="4"/>
  <c r="F281" i="4"/>
  <c r="H281" i="4"/>
  <c r="K281" i="4"/>
  <c r="S281" i="4"/>
  <c r="B282" i="4"/>
  <c r="D282" i="4"/>
  <c r="F282" i="4"/>
  <c r="H282" i="4"/>
  <c r="K282" i="4"/>
  <c r="S282" i="4"/>
  <c r="B283" i="4"/>
  <c r="D283" i="4"/>
  <c r="F283" i="4"/>
  <c r="H283" i="4"/>
  <c r="K283" i="4"/>
  <c r="S283" i="4"/>
  <c r="B284" i="4"/>
  <c r="D284" i="4"/>
  <c r="F284" i="4"/>
  <c r="H284" i="4"/>
  <c r="K284" i="4"/>
  <c r="S284" i="4"/>
  <c r="B285" i="4"/>
  <c r="D285" i="4"/>
  <c r="F285" i="4"/>
  <c r="H285" i="4"/>
  <c r="K285" i="4"/>
  <c r="S285" i="4"/>
  <c r="B286" i="4"/>
  <c r="D286" i="4"/>
  <c r="F286" i="4"/>
  <c r="H286" i="4"/>
  <c r="K286" i="4"/>
  <c r="S286" i="4"/>
  <c r="B287" i="4"/>
  <c r="D287" i="4"/>
  <c r="F287" i="4"/>
  <c r="H287" i="4"/>
  <c r="K287" i="4"/>
  <c r="S287" i="4"/>
  <c r="B288" i="4"/>
  <c r="D288" i="4"/>
  <c r="F288" i="4"/>
  <c r="H288" i="4"/>
  <c r="K288" i="4"/>
  <c r="S288" i="4"/>
  <c r="B289" i="4"/>
  <c r="D289" i="4"/>
  <c r="F289" i="4"/>
  <c r="H289" i="4"/>
  <c r="K289" i="4"/>
  <c r="S289" i="4"/>
  <c r="B290" i="4"/>
  <c r="D290" i="4"/>
  <c r="F290" i="4"/>
  <c r="H290" i="4"/>
  <c r="K290" i="4"/>
  <c r="S290" i="4"/>
  <c r="B291" i="4"/>
  <c r="D291" i="4"/>
  <c r="F291" i="4"/>
  <c r="H291" i="4"/>
  <c r="K291" i="4"/>
  <c r="S291" i="4"/>
  <c r="B292" i="4"/>
  <c r="D292" i="4"/>
  <c r="F292" i="4"/>
  <c r="H292" i="4"/>
  <c r="K292" i="4"/>
  <c r="S292" i="4"/>
  <c r="B293" i="4"/>
  <c r="D293" i="4"/>
  <c r="F293" i="4"/>
  <c r="H293" i="4"/>
  <c r="K293" i="4"/>
  <c r="S293" i="4"/>
  <c r="B294" i="4"/>
  <c r="D294" i="4"/>
  <c r="F294" i="4"/>
  <c r="H294" i="4"/>
  <c r="K294" i="4"/>
  <c r="S294" i="4"/>
  <c r="B295" i="4"/>
  <c r="D295" i="4"/>
  <c r="F295" i="4"/>
  <c r="H295" i="4"/>
  <c r="K295" i="4"/>
  <c r="S295" i="4"/>
  <c r="B296" i="4"/>
  <c r="D296" i="4"/>
  <c r="F296" i="4"/>
  <c r="H296" i="4"/>
  <c r="K296" i="4"/>
  <c r="S296" i="4"/>
  <c r="B297" i="4"/>
  <c r="D297" i="4"/>
  <c r="F297" i="4"/>
  <c r="H297" i="4"/>
  <c r="K297" i="4"/>
  <c r="S297" i="4"/>
  <c r="B298" i="4"/>
  <c r="D298" i="4"/>
  <c r="F298" i="4"/>
  <c r="H298" i="4"/>
  <c r="K298" i="4"/>
  <c r="S298" i="4"/>
  <c r="B299" i="4"/>
  <c r="D299" i="4"/>
  <c r="F299" i="4"/>
  <c r="H299" i="4"/>
  <c r="K299" i="4"/>
  <c r="S299" i="4"/>
  <c r="B300" i="4"/>
  <c r="D300" i="4"/>
  <c r="F300" i="4"/>
  <c r="H300" i="4"/>
  <c r="K300" i="4"/>
  <c r="S300" i="4"/>
  <c r="M300" i="3"/>
  <c r="N300" i="3" s="1"/>
  <c r="N300" i="4" s="1"/>
  <c r="I300" i="3"/>
  <c r="I300" i="4" s="1"/>
  <c r="M299" i="3"/>
  <c r="N299" i="3" s="1"/>
  <c r="N299" i="4" s="1"/>
  <c r="I299" i="3"/>
  <c r="I299" i="4" s="1"/>
  <c r="M298" i="3"/>
  <c r="N298" i="3" s="1"/>
  <c r="N298" i="4" s="1"/>
  <c r="I298" i="3"/>
  <c r="I298" i="4" s="1"/>
  <c r="M297" i="3"/>
  <c r="N297" i="3" s="1"/>
  <c r="N297" i="4" s="1"/>
  <c r="I297" i="3"/>
  <c r="I297" i="4" s="1"/>
  <c r="M296" i="3"/>
  <c r="N296" i="3" s="1"/>
  <c r="N296" i="4" s="1"/>
  <c r="I296" i="3"/>
  <c r="I296" i="4" s="1"/>
  <c r="M295" i="3"/>
  <c r="N295" i="3" s="1"/>
  <c r="N295" i="4" s="1"/>
  <c r="I295" i="3"/>
  <c r="I295" i="4" s="1"/>
  <c r="M294" i="3"/>
  <c r="N294" i="3" s="1"/>
  <c r="N294" i="4" s="1"/>
  <c r="I294" i="3"/>
  <c r="I294" i="4" s="1"/>
  <c r="M293" i="3"/>
  <c r="N293" i="3" s="1"/>
  <c r="N293" i="4" s="1"/>
  <c r="I293" i="3"/>
  <c r="I293" i="4" s="1"/>
  <c r="M292" i="3"/>
  <c r="N292" i="3" s="1"/>
  <c r="N292" i="4" s="1"/>
  <c r="I292" i="3"/>
  <c r="I292" i="4" s="1"/>
  <c r="M291" i="3"/>
  <c r="N291" i="3" s="1"/>
  <c r="N291" i="4" s="1"/>
  <c r="I291" i="3"/>
  <c r="I291" i="4" s="1"/>
  <c r="M290" i="3"/>
  <c r="N290" i="3" s="1"/>
  <c r="N290" i="4" s="1"/>
  <c r="I290" i="3"/>
  <c r="I290" i="4" s="1"/>
  <c r="M289" i="3"/>
  <c r="N289" i="3" s="1"/>
  <c r="N289" i="4" s="1"/>
  <c r="I289" i="3"/>
  <c r="I289" i="4" s="1"/>
  <c r="M288" i="3"/>
  <c r="N288" i="3" s="1"/>
  <c r="N288" i="4" s="1"/>
  <c r="I288" i="3"/>
  <c r="I288" i="4" s="1"/>
  <c r="M287" i="3"/>
  <c r="N287" i="3" s="1"/>
  <c r="N287" i="4" s="1"/>
  <c r="I287" i="3"/>
  <c r="I287" i="4" s="1"/>
  <c r="M286" i="3"/>
  <c r="N286" i="3" s="1"/>
  <c r="N286" i="4" s="1"/>
  <c r="I286" i="3"/>
  <c r="I286" i="4" s="1"/>
  <c r="M285" i="3"/>
  <c r="N285" i="3" s="1"/>
  <c r="N285" i="4" s="1"/>
  <c r="I285" i="3"/>
  <c r="I285" i="4" s="1"/>
  <c r="M284" i="3"/>
  <c r="N284" i="3" s="1"/>
  <c r="N284" i="4" s="1"/>
  <c r="I284" i="3"/>
  <c r="I284" i="4" s="1"/>
  <c r="M283" i="3"/>
  <c r="N283" i="3" s="1"/>
  <c r="N283" i="4" s="1"/>
  <c r="I283" i="3"/>
  <c r="I283" i="4" s="1"/>
  <c r="M282" i="3"/>
  <c r="N282" i="3" s="1"/>
  <c r="N282" i="4" s="1"/>
  <c r="I282" i="3"/>
  <c r="I282" i="4" s="1"/>
  <c r="M281" i="3"/>
  <c r="N281" i="3" s="1"/>
  <c r="N281" i="4" s="1"/>
  <c r="I281" i="3"/>
  <c r="I281" i="4" s="1"/>
  <c r="M280" i="3"/>
  <c r="N280" i="3" s="1"/>
  <c r="N280" i="4" s="1"/>
  <c r="I280" i="3"/>
  <c r="I280" i="4" s="1"/>
  <c r="M279" i="3"/>
  <c r="N279" i="3" s="1"/>
  <c r="N279" i="4" s="1"/>
  <c r="I279" i="3"/>
  <c r="I279" i="4" s="1"/>
  <c r="M278" i="3"/>
  <c r="N278" i="3" s="1"/>
  <c r="N278" i="4" s="1"/>
  <c r="I278" i="3"/>
  <c r="I278" i="4" s="1"/>
  <c r="M277" i="3"/>
  <c r="N277" i="3" s="1"/>
  <c r="N277" i="4" s="1"/>
  <c r="I277" i="3"/>
  <c r="I277" i="4" s="1"/>
  <c r="M276" i="3"/>
  <c r="N276" i="3" s="1"/>
  <c r="N276" i="4" s="1"/>
  <c r="I276" i="3"/>
  <c r="I276" i="4" s="1"/>
  <c r="M275" i="3"/>
  <c r="N275" i="3" s="1"/>
  <c r="N275" i="4" s="1"/>
  <c r="I275" i="3"/>
  <c r="I275" i="4" s="1"/>
  <c r="M274" i="3"/>
  <c r="N274" i="3" s="1"/>
  <c r="N274" i="4" s="1"/>
  <c r="I274" i="3"/>
  <c r="I274" i="4" s="1"/>
  <c r="M273" i="3"/>
  <c r="N273" i="3" s="1"/>
  <c r="N273" i="4" s="1"/>
  <c r="I273" i="3"/>
  <c r="I273" i="4" s="1"/>
  <c r="M272" i="3"/>
  <c r="N272" i="3" s="1"/>
  <c r="N272" i="4" s="1"/>
  <c r="I272" i="3"/>
  <c r="I272" i="4" s="1"/>
  <c r="M271" i="3"/>
  <c r="N271" i="3" s="1"/>
  <c r="N271" i="4" s="1"/>
  <c r="I271" i="3"/>
  <c r="I271" i="4" s="1"/>
  <c r="M270" i="3"/>
  <c r="N270" i="3" s="1"/>
  <c r="N270" i="4" s="1"/>
  <c r="I270" i="3"/>
  <c r="I270" i="4" s="1"/>
  <c r="M269" i="3"/>
  <c r="N269" i="3" s="1"/>
  <c r="N269" i="4" s="1"/>
  <c r="I269" i="3"/>
  <c r="I269" i="4" s="1"/>
  <c r="M268" i="3"/>
  <c r="N268" i="3" s="1"/>
  <c r="N268" i="4" s="1"/>
  <c r="I268" i="3"/>
  <c r="I268" i="4" s="1"/>
  <c r="M267" i="3"/>
  <c r="N267" i="3" s="1"/>
  <c r="N267" i="4" s="1"/>
  <c r="I267" i="3"/>
  <c r="I267" i="4" s="1"/>
  <c r="M266" i="3"/>
  <c r="N266" i="3" s="1"/>
  <c r="N266" i="4" s="1"/>
  <c r="I266" i="3"/>
  <c r="I266" i="4" s="1"/>
  <c r="M265" i="3"/>
  <c r="N265" i="3" s="1"/>
  <c r="N265" i="4" s="1"/>
  <c r="I265" i="3"/>
  <c r="I265" i="4" s="1"/>
  <c r="M264" i="3"/>
  <c r="N264" i="3" s="1"/>
  <c r="N264" i="4" s="1"/>
  <c r="I264" i="3"/>
  <c r="I264" i="4" s="1"/>
  <c r="M263" i="3"/>
  <c r="N263" i="3" s="1"/>
  <c r="N263" i="4" s="1"/>
  <c r="I263" i="3"/>
  <c r="I263" i="4" s="1"/>
  <c r="M262" i="3"/>
  <c r="N262" i="3" s="1"/>
  <c r="N262" i="4" s="1"/>
  <c r="I262" i="3"/>
  <c r="I262" i="4" s="1"/>
  <c r="M261" i="3"/>
  <c r="N261" i="3" s="1"/>
  <c r="N261" i="4" s="1"/>
  <c r="I261" i="3"/>
  <c r="I261" i="4" s="1"/>
  <c r="M260" i="3"/>
  <c r="N260" i="3" s="1"/>
  <c r="N260" i="4" s="1"/>
  <c r="I260" i="3"/>
  <c r="I260" i="4" s="1"/>
  <c r="M259" i="3"/>
  <c r="N259" i="3" s="1"/>
  <c r="N259" i="4" s="1"/>
  <c r="I259" i="3"/>
  <c r="I259" i="4" s="1"/>
  <c r="M258" i="3"/>
  <c r="N258" i="3" s="1"/>
  <c r="N258" i="4" s="1"/>
  <c r="I258" i="3"/>
  <c r="I258" i="4" s="1"/>
  <c r="M257" i="3"/>
  <c r="N257" i="3" s="1"/>
  <c r="N257" i="4" s="1"/>
  <c r="I257" i="3"/>
  <c r="I257" i="4" s="1"/>
  <c r="M256" i="3"/>
  <c r="N256" i="3" s="1"/>
  <c r="N256" i="4" s="1"/>
  <c r="I256" i="3"/>
  <c r="I256" i="4" s="1"/>
  <c r="M255" i="3"/>
  <c r="N255" i="3" s="1"/>
  <c r="N255" i="4" s="1"/>
  <c r="I255" i="3"/>
  <c r="I255" i="4" s="1"/>
  <c r="M254" i="3"/>
  <c r="N254" i="3" s="1"/>
  <c r="N254" i="4" s="1"/>
  <c r="I254" i="3"/>
  <c r="I254" i="4" s="1"/>
  <c r="M253" i="3"/>
  <c r="N253" i="3" s="1"/>
  <c r="N253" i="4" s="1"/>
  <c r="I253" i="3"/>
  <c r="I253" i="4" s="1"/>
  <c r="M252" i="3"/>
  <c r="N252" i="3" s="1"/>
  <c r="N252" i="4" s="1"/>
  <c r="I252" i="3"/>
  <c r="I252" i="4" s="1"/>
  <c r="M251" i="3"/>
  <c r="N251" i="3" s="1"/>
  <c r="N251" i="4" s="1"/>
  <c r="I251" i="3"/>
  <c r="I251" i="4" s="1"/>
  <c r="M226" i="3" l="1"/>
  <c r="N226" i="3" s="1"/>
  <c r="I226" i="3"/>
  <c r="M222" i="3" l="1"/>
  <c r="N222" i="3" s="1"/>
  <c r="I222" i="3"/>
  <c r="B221" i="4" l="1"/>
  <c r="D221" i="4"/>
  <c r="F221" i="4"/>
  <c r="H221" i="4"/>
  <c r="K221" i="4"/>
  <c r="S221" i="4"/>
  <c r="B222" i="4"/>
  <c r="D222" i="4"/>
  <c r="F222" i="4"/>
  <c r="H222" i="4"/>
  <c r="K222" i="4"/>
  <c r="S222" i="4"/>
  <c r="B223" i="4"/>
  <c r="D223" i="4"/>
  <c r="F223" i="4"/>
  <c r="H223" i="4"/>
  <c r="K223" i="4"/>
  <c r="S223" i="4"/>
  <c r="B224" i="4"/>
  <c r="D224" i="4"/>
  <c r="F224" i="4"/>
  <c r="H224" i="4"/>
  <c r="K224" i="4"/>
  <c r="S224" i="4"/>
  <c r="B225" i="4"/>
  <c r="D225" i="4"/>
  <c r="F225" i="4"/>
  <c r="H225" i="4"/>
  <c r="K225" i="4"/>
  <c r="S225" i="4"/>
  <c r="B226" i="4"/>
  <c r="D226" i="4"/>
  <c r="F226" i="4"/>
  <c r="H226" i="4"/>
  <c r="K226" i="4"/>
  <c r="S226" i="4"/>
  <c r="B227" i="4"/>
  <c r="D227" i="4"/>
  <c r="F227" i="4"/>
  <c r="H227" i="4"/>
  <c r="K227" i="4"/>
  <c r="S227" i="4"/>
  <c r="B228" i="4"/>
  <c r="D228" i="4"/>
  <c r="F228" i="4"/>
  <c r="H228" i="4"/>
  <c r="K228" i="4"/>
  <c r="S228" i="4"/>
  <c r="B229" i="4"/>
  <c r="D229" i="4"/>
  <c r="F229" i="4"/>
  <c r="H229" i="4"/>
  <c r="K229" i="4"/>
  <c r="S229" i="4"/>
  <c r="B230" i="4"/>
  <c r="D230" i="4"/>
  <c r="F230" i="4"/>
  <c r="H230" i="4"/>
  <c r="K230" i="4"/>
  <c r="S230" i="4"/>
  <c r="B231" i="4"/>
  <c r="D231" i="4"/>
  <c r="F231" i="4"/>
  <c r="H231" i="4"/>
  <c r="K231" i="4"/>
  <c r="S231" i="4"/>
  <c r="B232" i="4"/>
  <c r="D232" i="4"/>
  <c r="F232" i="4"/>
  <c r="H232" i="4"/>
  <c r="K232" i="4"/>
  <c r="S232" i="4"/>
  <c r="B233" i="4"/>
  <c r="D233" i="4"/>
  <c r="F233" i="4"/>
  <c r="H233" i="4"/>
  <c r="K233" i="4"/>
  <c r="S233" i="4"/>
  <c r="B234" i="4"/>
  <c r="D234" i="4"/>
  <c r="F234" i="4"/>
  <c r="H234" i="4"/>
  <c r="K234" i="4"/>
  <c r="S234" i="4"/>
  <c r="B235" i="4"/>
  <c r="D235" i="4"/>
  <c r="F235" i="4"/>
  <c r="H235" i="4"/>
  <c r="K235" i="4"/>
  <c r="S235" i="4"/>
  <c r="B236" i="4"/>
  <c r="D236" i="4"/>
  <c r="F236" i="4"/>
  <c r="H236" i="4"/>
  <c r="K236" i="4"/>
  <c r="S236" i="4"/>
  <c r="B237" i="4"/>
  <c r="D237" i="4"/>
  <c r="F237" i="4"/>
  <c r="H237" i="4"/>
  <c r="K237" i="4"/>
  <c r="S237" i="4"/>
  <c r="B238" i="4"/>
  <c r="D238" i="4"/>
  <c r="F238" i="4"/>
  <c r="H238" i="4"/>
  <c r="K238" i="4"/>
  <c r="S238" i="4"/>
  <c r="B239" i="4"/>
  <c r="D239" i="4"/>
  <c r="F239" i="4"/>
  <c r="H239" i="4"/>
  <c r="K239" i="4"/>
  <c r="S239" i="4"/>
  <c r="B240" i="4"/>
  <c r="D240" i="4"/>
  <c r="F240" i="4"/>
  <c r="H240" i="4"/>
  <c r="K240" i="4"/>
  <c r="S240" i="4"/>
  <c r="B241" i="4"/>
  <c r="D241" i="4"/>
  <c r="F241" i="4"/>
  <c r="H241" i="4"/>
  <c r="K241" i="4"/>
  <c r="S241" i="4"/>
  <c r="B242" i="4"/>
  <c r="D242" i="4"/>
  <c r="F242" i="4"/>
  <c r="H242" i="4"/>
  <c r="K242" i="4"/>
  <c r="S242" i="4"/>
  <c r="B243" i="4"/>
  <c r="D243" i="4"/>
  <c r="F243" i="4"/>
  <c r="H243" i="4"/>
  <c r="K243" i="4"/>
  <c r="S243" i="4"/>
  <c r="B244" i="4"/>
  <c r="D244" i="4"/>
  <c r="F244" i="4"/>
  <c r="H244" i="4"/>
  <c r="K244" i="4"/>
  <c r="S244" i="4"/>
  <c r="B245" i="4"/>
  <c r="D245" i="4"/>
  <c r="F245" i="4"/>
  <c r="H245" i="4"/>
  <c r="K245" i="4"/>
  <c r="S245" i="4"/>
  <c r="B246" i="4"/>
  <c r="D246" i="4"/>
  <c r="F246" i="4"/>
  <c r="H246" i="4"/>
  <c r="K246" i="4"/>
  <c r="S246" i="4"/>
  <c r="B247" i="4"/>
  <c r="D247" i="4"/>
  <c r="F247" i="4"/>
  <c r="H247" i="4"/>
  <c r="K247" i="4"/>
  <c r="S247" i="4"/>
  <c r="B248" i="4"/>
  <c r="D248" i="4"/>
  <c r="F248" i="4"/>
  <c r="H248" i="4"/>
  <c r="K248" i="4"/>
  <c r="S248" i="4"/>
  <c r="B249" i="4"/>
  <c r="D249" i="4"/>
  <c r="F249" i="4"/>
  <c r="H249" i="4"/>
  <c r="K249" i="4"/>
  <c r="S249" i="4"/>
  <c r="B250" i="4"/>
  <c r="D250" i="4"/>
  <c r="F250" i="4"/>
  <c r="H250" i="4"/>
  <c r="K250" i="4"/>
  <c r="S250" i="4"/>
  <c r="I221" i="3"/>
  <c r="I221" i="4" s="1"/>
  <c r="M221" i="3"/>
  <c r="N221" i="3" s="1"/>
  <c r="N221" i="4" s="1"/>
  <c r="I222" i="4"/>
  <c r="N222" i="4"/>
  <c r="I223" i="3"/>
  <c r="I223" i="4" s="1"/>
  <c r="M223" i="3"/>
  <c r="N223" i="3" s="1"/>
  <c r="N223" i="4" s="1"/>
  <c r="I224" i="3"/>
  <c r="I224" i="4" s="1"/>
  <c r="M224" i="3"/>
  <c r="N224" i="3" s="1"/>
  <c r="N224" i="4" s="1"/>
  <c r="I225" i="3"/>
  <c r="I225" i="4" s="1"/>
  <c r="M225" i="3"/>
  <c r="N225" i="3" s="1"/>
  <c r="N225" i="4" s="1"/>
  <c r="I226" i="4"/>
  <c r="N226" i="4"/>
  <c r="I227" i="3"/>
  <c r="I227" i="4" s="1"/>
  <c r="M227" i="3"/>
  <c r="N227" i="3" s="1"/>
  <c r="N227" i="4" s="1"/>
  <c r="I228" i="3"/>
  <c r="I228" i="4" s="1"/>
  <c r="M228" i="3"/>
  <c r="N228" i="3" s="1"/>
  <c r="N228" i="4" s="1"/>
  <c r="I229" i="3"/>
  <c r="I229" i="4" s="1"/>
  <c r="M229" i="3"/>
  <c r="N229" i="3" s="1"/>
  <c r="N229" i="4" s="1"/>
  <c r="I230" i="3"/>
  <c r="I230" i="4" s="1"/>
  <c r="M230" i="3"/>
  <c r="N230" i="3" s="1"/>
  <c r="N230" i="4" s="1"/>
  <c r="I231" i="3"/>
  <c r="I231" i="4" s="1"/>
  <c r="M231" i="3"/>
  <c r="N231" i="3" s="1"/>
  <c r="N231" i="4" s="1"/>
  <c r="I232" i="3"/>
  <c r="I232" i="4" s="1"/>
  <c r="M232" i="3"/>
  <c r="N232" i="3" s="1"/>
  <c r="N232" i="4" s="1"/>
  <c r="I233" i="3"/>
  <c r="I233" i="4" s="1"/>
  <c r="M233" i="3"/>
  <c r="N233" i="3" s="1"/>
  <c r="N233" i="4" s="1"/>
  <c r="I234" i="3"/>
  <c r="I234" i="4" s="1"/>
  <c r="M234" i="3"/>
  <c r="N234" i="3" s="1"/>
  <c r="N234" i="4" s="1"/>
  <c r="I235" i="3"/>
  <c r="I235" i="4" s="1"/>
  <c r="M235" i="3"/>
  <c r="N235" i="3" s="1"/>
  <c r="N235" i="4" s="1"/>
  <c r="I236" i="3"/>
  <c r="I236" i="4" s="1"/>
  <c r="M236" i="3"/>
  <c r="N236" i="3" s="1"/>
  <c r="N236" i="4" s="1"/>
  <c r="I237" i="3"/>
  <c r="I237" i="4" s="1"/>
  <c r="M237" i="3"/>
  <c r="N237" i="3" s="1"/>
  <c r="N237" i="4" s="1"/>
  <c r="I238" i="3"/>
  <c r="I238" i="4" s="1"/>
  <c r="M238" i="3"/>
  <c r="N238" i="3" s="1"/>
  <c r="N238" i="4" s="1"/>
  <c r="I239" i="3"/>
  <c r="I239" i="4" s="1"/>
  <c r="M239" i="3"/>
  <c r="N239" i="3" s="1"/>
  <c r="N239" i="4" s="1"/>
  <c r="I240" i="3"/>
  <c r="I240" i="4" s="1"/>
  <c r="M240" i="3"/>
  <c r="N240" i="3" s="1"/>
  <c r="N240" i="4" s="1"/>
  <c r="I241" i="3"/>
  <c r="I241" i="4" s="1"/>
  <c r="M241" i="3"/>
  <c r="N241" i="3" s="1"/>
  <c r="N241" i="4" s="1"/>
  <c r="I242" i="3"/>
  <c r="I242" i="4" s="1"/>
  <c r="M242" i="3"/>
  <c r="N242" i="3" s="1"/>
  <c r="N242" i="4" s="1"/>
  <c r="I243" i="3"/>
  <c r="I243" i="4" s="1"/>
  <c r="M243" i="3"/>
  <c r="N243" i="3" s="1"/>
  <c r="N243" i="4" s="1"/>
  <c r="I244" i="3"/>
  <c r="I244" i="4" s="1"/>
  <c r="M244" i="3"/>
  <c r="N244" i="3" s="1"/>
  <c r="N244" i="4" s="1"/>
  <c r="I245" i="3"/>
  <c r="I245" i="4" s="1"/>
  <c r="M245" i="3"/>
  <c r="N245" i="3" s="1"/>
  <c r="N245" i="4" s="1"/>
  <c r="I246" i="3"/>
  <c r="I246" i="4" s="1"/>
  <c r="M246" i="3"/>
  <c r="N246" i="3" s="1"/>
  <c r="N246" i="4" s="1"/>
  <c r="I247" i="3"/>
  <c r="I247" i="4" s="1"/>
  <c r="M247" i="3"/>
  <c r="N247" i="3" s="1"/>
  <c r="N247" i="4" s="1"/>
  <c r="I248" i="3"/>
  <c r="I248" i="4" s="1"/>
  <c r="M248" i="3"/>
  <c r="N248" i="3" s="1"/>
  <c r="N248" i="4" s="1"/>
  <c r="I249" i="3"/>
  <c r="I249" i="4" s="1"/>
  <c r="M249" i="3"/>
  <c r="N249" i="3" s="1"/>
  <c r="N249" i="4" s="1"/>
  <c r="I250" i="3"/>
  <c r="I250" i="4" s="1"/>
  <c r="M250" i="3"/>
  <c r="N250" i="3" s="1"/>
  <c r="N250" i="4" s="1"/>
  <c r="M120" i="3" l="1"/>
  <c r="I120" i="3"/>
  <c r="I120" i="4" s="1"/>
  <c r="M119" i="3"/>
  <c r="N119" i="3" s="1"/>
  <c r="N119" i="4" s="1"/>
  <c r="I119" i="3"/>
  <c r="I119" i="4" s="1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K9" i="4"/>
  <c r="H9" i="4"/>
  <c r="F9" i="4"/>
  <c r="D9" i="4"/>
  <c r="B9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M220" i="3"/>
  <c r="N220" i="3" s="1"/>
  <c r="N220" i="4" s="1"/>
  <c r="I220" i="3"/>
  <c r="I220" i="4" s="1"/>
  <c r="M219" i="3"/>
  <c r="N219" i="3" s="1"/>
  <c r="N219" i="4" s="1"/>
  <c r="I219" i="3"/>
  <c r="I219" i="4" s="1"/>
  <c r="M218" i="3"/>
  <c r="N218" i="3" s="1"/>
  <c r="N218" i="4" s="1"/>
  <c r="I218" i="3"/>
  <c r="I218" i="4" s="1"/>
  <c r="M217" i="3"/>
  <c r="N217" i="3" s="1"/>
  <c r="N217" i="4" s="1"/>
  <c r="I217" i="3"/>
  <c r="I217" i="4" s="1"/>
  <c r="M216" i="3"/>
  <c r="N216" i="3" s="1"/>
  <c r="N216" i="4" s="1"/>
  <c r="I216" i="3"/>
  <c r="I216" i="4" s="1"/>
  <c r="M215" i="3"/>
  <c r="N215" i="3" s="1"/>
  <c r="N215" i="4" s="1"/>
  <c r="I215" i="3"/>
  <c r="I215" i="4" s="1"/>
  <c r="M214" i="3"/>
  <c r="N214" i="3" s="1"/>
  <c r="N214" i="4" s="1"/>
  <c r="I214" i="3"/>
  <c r="I214" i="4" s="1"/>
  <c r="M213" i="3"/>
  <c r="N213" i="3" s="1"/>
  <c r="N213" i="4" s="1"/>
  <c r="I213" i="3"/>
  <c r="I213" i="4" s="1"/>
  <c r="M212" i="3"/>
  <c r="N212" i="3" s="1"/>
  <c r="N212" i="4" s="1"/>
  <c r="I212" i="3"/>
  <c r="I212" i="4" s="1"/>
  <c r="M211" i="3"/>
  <c r="N211" i="3" s="1"/>
  <c r="N211" i="4" s="1"/>
  <c r="I211" i="4"/>
  <c r="M210" i="3"/>
  <c r="N210" i="3" s="1"/>
  <c r="N210" i="4" s="1"/>
  <c r="I210" i="3"/>
  <c r="I210" i="4" s="1"/>
  <c r="M209" i="3"/>
  <c r="N209" i="3" s="1"/>
  <c r="N209" i="4" s="1"/>
  <c r="I209" i="3"/>
  <c r="I209" i="4" s="1"/>
  <c r="M208" i="3"/>
  <c r="N208" i="3" s="1"/>
  <c r="N208" i="4" s="1"/>
  <c r="I208" i="3"/>
  <c r="I208" i="4" s="1"/>
  <c r="M207" i="3"/>
  <c r="N207" i="3" s="1"/>
  <c r="N207" i="4" s="1"/>
  <c r="I207" i="3"/>
  <c r="I207" i="4" s="1"/>
  <c r="M206" i="3"/>
  <c r="N206" i="3" s="1"/>
  <c r="N206" i="4" s="1"/>
  <c r="I206" i="3"/>
  <c r="I206" i="4" s="1"/>
  <c r="M205" i="3"/>
  <c r="N205" i="3" s="1"/>
  <c r="N205" i="4" s="1"/>
  <c r="I205" i="3"/>
  <c r="I205" i="4" s="1"/>
  <c r="M204" i="3"/>
  <c r="N204" i="3" s="1"/>
  <c r="N204" i="4" s="1"/>
  <c r="I204" i="3"/>
  <c r="I204" i="4" s="1"/>
  <c r="M203" i="3"/>
  <c r="N203" i="3" s="1"/>
  <c r="N203" i="4" s="1"/>
  <c r="I203" i="3"/>
  <c r="I203" i="4" s="1"/>
  <c r="M202" i="3"/>
  <c r="N202" i="3" s="1"/>
  <c r="N202" i="4" s="1"/>
  <c r="I202" i="3"/>
  <c r="I202" i="4" s="1"/>
  <c r="M201" i="3"/>
  <c r="N201" i="3" s="1"/>
  <c r="N201" i="4" s="1"/>
  <c r="I201" i="3"/>
  <c r="I201" i="4" s="1"/>
  <c r="M200" i="3"/>
  <c r="N200" i="3" s="1"/>
  <c r="N200" i="4" s="1"/>
  <c r="I200" i="3"/>
  <c r="I200" i="4" s="1"/>
  <c r="M199" i="3"/>
  <c r="N199" i="3" s="1"/>
  <c r="N199" i="4" s="1"/>
  <c r="I199" i="3"/>
  <c r="I199" i="4" s="1"/>
  <c r="M198" i="3"/>
  <c r="N198" i="3" s="1"/>
  <c r="N198" i="4" s="1"/>
  <c r="I198" i="3"/>
  <c r="I198" i="4" s="1"/>
  <c r="M197" i="3"/>
  <c r="N197" i="3" s="1"/>
  <c r="N197" i="4" s="1"/>
  <c r="I197" i="3"/>
  <c r="I197" i="4" s="1"/>
  <c r="M196" i="3"/>
  <c r="N196" i="3" s="1"/>
  <c r="N196" i="4" s="1"/>
  <c r="I196" i="3"/>
  <c r="I196" i="4" s="1"/>
  <c r="M195" i="3"/>
  <c r="N195" i="3" s="1"/>
  <c r="N195" i="4" s="1"/>
  <c r="I195" i="3"/>
  <c r="I195" i="4" s="1"/>
  <c r="M194" i="3"/>
  <c r="N194" i="3" s="1"/>
  <c r="N194" i="4" s="1"/>
  <c r="I194" i="3"/>
  <c r="I194" i="4" s="1"/>
  <c r="M193" i="3"/>
  <c r="N193" i="3" s="1"/>
  <c r="N193" i="4" s="1"/>
  <c r="I193" i="3"/>
  <c r="I193" i="4" s="1"/>
  <c r="M192" i="3"/>
  <c r="N192" i="3" s="1"/>
  <c r="N192" i="4" s="1"/>
  <c r="I192" i="3"/>
  <c r="I192" i="4" s="1"/>
  <c r="M191" i="3"/>
  <c r="N191" i="3" s="1"/>
  <c r="N191" i="4" s="1"/>
  <c r="I191" i="3"/>
  <c r="I191" i="4" s="1"/>
  <c r="M190" i="3"/>
  <c r="N190" i="3" s="1"/>
  <c r="N190" i="4" s="1"/>
  <c r="I190" i="3"/>
  <c r="I190" i="4" s="1"/>
  <c r="M189" i="3"/>
  <c r="N189" i="3" s="1"/>
  <c r="N189" i="4" s="1"/>
  <c r="I189" i="3"/>
  <c r="I189" i="4" s="1"/>
  <c r="M188" i="3"/>
  <c r="N188" i="3" s="1"/>
  <c r="N188" i="4" s="1"/>
  <c r="I188" i="3"/>
  <c r="I188" i="4" s="1"/>
  <c r="M187" i="3"/>
  <c r="N187" i="3" s="1"/>
  <c r="N187" i="4" s="1"/>
  <c r="I187" i="3"/>
  <c r="I187" i="4" s="1"/>
  <c r="M186" i="3"/>
  <c r="N186" i="3" s="1"/>
  <c r="N186" i="4" s="1"/>
  <c r="I186" i="3"/>
  <c r="I186" i="4" s="1"/>
  <c r="M185" i="3"/>
  <c r="N185" i="3" s="1"/>
  <c r="N185" i="4" s="1"/>
  <c r="I185" i="3"/>
  <c r="I185" i="4" s="1"/>
  <c r="M184" i="3"/>
  <c r="N184" i="3" s="1"/>
  <c r="N184" i="4" s="1"/>
  <c r="I184" i="3"/>
  <c r="I184" i="4" s="1"/>
  <c r="M183" i="3"/>
  <c r="N183" i="3" s="1"/>
  <c r="N183" i="4" s="1"/>
  <c r="I183" i="3"/>
  <c r="I183" i="4" s="1"/>
  <c r="M182" i="3"/>
  <c r="N182" i="3" s="1"/>
  <c r="N182" i="4" s="1"/>
  <c r="I182" i="3"/>
  <c r="I182" i="4" s="1"/>
  <c r="M181" i="3"/>
  <c r="N181" i="3" s="1"/>
  <c r="N181" i="4" s="1"/>
  <c r="I181" i="3"/>
  <c r="I181" i="4" s="1"/>
  <c r="M180" i="3"/>
  <c r="N180" i="3" s="1"/>
  <c r="N180" i="4" s="1"/>
  <c r="I180" i="3"/>
  <c r="I180" i="4" s="1"/>
  <c r="M179" i="3"/>
  <c r="N179" i="3" s="1"/>
  <c r="N179" i="4" s="1"/>
  <c r="I179" i="3"/>
  <c r="I179" i="4" s="1"/>
  <c r="M178" i="3"/>
  <c r="N178" i="3" s="1"/>
  <c r="N178" i="4" s="1"/>
  <c r="I178" i="3"/>
  <c r="I178" i="4" s="1"/>
  <c r="M177" i="3"/>
  <c r="N177" i="3" s="1"/>
  <c r="N177" i="4" s="1"/>
  <c r="I177" i="3"/>
  <c r="I177" i="4" s="1"/>
  <c r="M176" i="3"/>
  <c r="N176" i="3" s="1"/>
  <c r="N176" i="4" s="1"/>
  <c r="I176" i="3"/>
  <c r="I176" i="4" s="1"/>
  <c r="M175" i="3"/>
  <c r="N175" i="3" s="1"/>
  <c r="N175" i="4" s="1"/>
  <c r="I175" i="3"/>
  <c r="I175" i="4" s="1"/>
  <c r="M174" i="3"/>
  <c r="N174" i="3" s="1"/>
  <c r="N174" i="4" s="1"/>
  <c r="I174" i="3"/>
  <c r="I174" i="4" s="1"/>
  <c r="M173" i="3"/>
  <c r="N173" i="3" s="1"/>
  <c r="N173" i="4" s="1"/>
  <c r="I173" i="3"/>
  <c r="I173" i="4" s="1"/>
  <c r="M172" i="3"/>
  <c r="N172" i="3" s="1"/>
  <c r="N172" i="4" s="1"/>
  <c r="I172" i="3"/>
  <c r="I172" i="4" s="1"/>
  <c r="M171" i="3"/>
  <c r="N171" i="3" s="1"/>
  <c r="N171" i="4" s="1"/>
  <c r="I171" i="3"/>
  <c r="I171" i="4" s="1"/>
  <c r="M170" i="3"/>
  <c r="N170" i="3" s="1"/>
  <c r="N170" i="4" s="1"/>
  <c r="I170" i="3"/>
  <c r="I170" i="4" s="1"/>
  <c r="M169" i="3"/>
  <c r="N169" i="3" s="1"/>
  <c r="N169" i="4" s="1"/>
  <c r="I169" i="3"/>
  <c r="I169" i="4" s="1"/>
  <c r="M168" i="3"/>
  <c r="N168" i="3" s="1"/>
  <c r="N168" i="4" s="1"/>
  <c r="I168" i="3"/>
  <c r="I168" i="4" s="1"/>
  <c r="M167" i="3"/>
  <c r="N167" i="3" s="1"/>
  <c r="N167" i="4" s="1"/>
  <c r="I167" i="3"/>
  <c r="I167" i="4" s="1"/>
  <c r="M166" i="3"/>
  <c r="N166" i="3" s="1"/>
  <c r="N166" i="4" s="1"/>
  <c r="I166" i="3"/>
  <c r="I166" i="4" s="1"/>
  <c r="M165" i="3"/>
  <c r="N165" i="3" s="1"/>
  <c r="N165" i="4" s="1"/>
  <c r="I165" i="3"/>
  <c r="I165" i="4" s="1"/>
  <c r="M164" i="3"/>
  <c r="N164" i="3" s="1"/>
  <c r="N164" i="4" s="1"/>
  <c r="I164" i="3"/>
  <c r="I164" i="4" s="1"/>
  <c r="M163" i="3"/>
  <c r="N163" i="3" s="1"/>
  <c r="N163" i="4" s="1"/>
  <c r="I163" i="3"/>
  <c r="I163" i="4" s="1"/>
  <c r="M162" i="3"/>
  <c r="N162" i="3" s="1"/>
  <c r="N162" i="4" s="1"/>
  <c r="I162" i="3"/>
  <c r="I162" i="4" s="1"/>
  <c r="M161" i="3"/>
  <c r="N161" i="3" s="1"/>
  <c r="N161" i="4" s="1"/>
  <c r="I161" i="3"/>
  <c r="I161" i="4" s="1"/>
  <c r="M160" i="3"/>
  <c r="N160" i="3" s="1"/>
  <c r="N160" i="4" s="1"/>
  <c r="I160" i="3"/>
  <c r="I160" i="4" s="1"/>
  <c r="M159" i="3"/>
  <c r="N159" i="3" s="1"/>
  <c r="N159" i="4" s="1"/>
  <c r="I159" i="3"/>
  <c r="I159" i="4" s="1"/>
  <c r="M158" i="3"/>
  <c r="N158" i="3" s="1"/>
  <c r="N158" i="4" s="1"/>
  <c r="I158" i="3"/>
  <c r="I158" i="4" s="1"/>
  <c r="M157" i="3"/>
  <c r="N157" i="3" s="1"/>
  <c r="N157" i="4" s="1"/>
  <c r="I157" i="3"/>
  <c r="I157" i="4" s="1"/>
  <c r="M156" i="3"/>
  <c r="N156" i="3" s="1"/>
  <c r="N156" i="4" s="1"/>
  <c r="I156" i="3"/>
  <c r="I156" i="4" s="1"/>
  <c r="M155" i="3"/>
  <c r="N155" i="3" s="1"/>
  <c r="N155" i="4" s="1"/>
  <c r="I155" i="3"/>
  <c r="I155" i="4" s="1"/>
  <c r="M154" i="3"/>
  <c r="N154" i="3" s="1"/>
  <c r="N154" i="4" s="1"/>
  <c r="I154" i="3"/>
  <c r="I154" i="4" s="1"/>
  <c r="M153" i="3"/>
  <c r="N153" i="3" s="1"/>
  <c r="N153" i="4" s="1"/>
  <c r="I153" i="3"/>
  <c r="I153" i="4" s="1"/>
  <c r="M152" i="3"/>
  <c r="N152" i="3" s="1"/>
  <c r="N152" i="4" s="1"/>
  <c r="I152" i="3"/>
  <c r="I152" i="4" s="1"/>
  <c r="M151" i="3"/>
  <c r="N151" i="3" s="1"/>
  <c r="N151" i="4" s="1"/>
  <c r="I151" i="3"/>
  <c r="I151" i="4" s="1"/>
  <c r="M150" i="3"/>
  <c r="N150" i="3" s="1"/>
  <c r="N150" i="4" s="1"/>
  <c r="I150" i="3"/>
  <c r="I150" i="4" s="1"/>
  <c r="M149" i="3"/>
  <c r="N149" i="3" s="1"/>
  <c r="N149" i="4" s="1"/>
  <c r="I149" i="3"/>
  <c r="I149" i="4" s="1"/>
  <c r="M148" i="3"/>
  <c r="N148" i="3" s="1"/>
  <c r="N148" i="4" s="1"/>
  <c r="I148" i="3"/>
  <c r="I148" i="4" s="1"/>
  <c r="M147" i="3"/>
  <c r="N147" i="3" s="1"/>
  <c r="N147" i="4" s="1"/>
  <c r="I147" i="3"/>
  <c r="I147" i="4" s="1"/>
  <c r="M146" i="3"/>
  <c r="N146" i="3" s="1"/>
  <c r="N146" i="4" s="1"/>
  <c r="I146" i="3"/>
  <c r="I146" i="4" s="1"/>
  <c r="M145" i="3"/>
  <c r="N145" i="3" s="1"/>
  <c r="N145" i="4" s="1"/>
  <c r="I145" i="3"/>
  <c r="I145" i="4" s="1"/>
  <c r="M144" i="3"/>
  <c r="N144" i="3" s="1"/>
  <c r="N144" i="4" s="1"/>
  <c r="I144" i="3"/>
  <c r="I144" i="4" s="1"/>
  <c r="M143" i="3"/>
  <c r="N143" i="3" s="1"/>
  <c r="N143" i="4" s="1"/>
  <c r="I143" i="3"/>
  <c r="I143" i="4" s="1"/>
  <c r="M142" i="3"/>
  <c r="N142" i="3" s="1"/>
  <c r="N142" i="4" s="1"/>
  <c r="I142" i="3"/>
  <c r="I142" i="4" s="1"/>
  <c r="M141" i="3"/>
  <c r="N141" i="3" s="1"/>
  <c r="N141" i="4" s="1"/>
  <c r="I141" i="3"/>
  <c r="I141" i="4" s="1"/>
  <c r="M140" i="3"/>
  <c r="N140" i="3" s="1"/>
  <c r="N140" i="4" s="1"/>
  <c r="I140" i="3"/>
  <c r="I140" i="4" s="1"/>
  <c r="M139" i="3"/>
  <c r="N139" i="3" s="1"/>
  <c r="N139" i="4" s="1"/>
  <c r="I139" i="3"/>
  <c r="I139" i="4" s="1"/>
  <c r="M138" i="3"/>
  <c r="N138" i="3" s="1"/>
  <c r="N138" i="4" s="1"/>
  <c r="I138" i="3"/>
  <c r="I138" i="4" s="1"/>
  <c r="M137" i="3"/>
  <c r="N137" i="3" s="1"/>
  <c r="N137" i="4" s="1"/>
  <c r="I137" i="3"/>
  <c r="I137" i="4" s="1"/>
  <c r="M136" i="3"/>
  <c r="N136" i="3" s="1"/>
  <c r="N136" i="4" s="1"/>
  <c r="I136" i="3"/>
  <c r="I136" i="4" s="1"/>
  <c r="M135" i="3"/>
  <c r="N135" i="3" s="1"/>
  <c r="N135" i="4" s="1"/>
  <c r="I135" i="3"/>
  <c r="I135" i="4" s="1"/>
  <c r="M134" i="3"/>
  <c r="N134" i="3" s="1"/>
  <c r="N134" i="4" s="1"/>
  <c r="I134" i="3"/>
  <c r="I134" i="4" s="1"/>
  <c r="M133" i="3"/>
  <c r="N133" i="3" s="1"/>
  <c r="N133" i="4" s="1"/>
  <c r="I133" i="3"/>
  <c r="I133" i="4" s="1"/>
  <c r="M132" i="3"/>
  <c r="N132" i="3" s="1"/>
  <c r="N132" i="4" s="1"/>
  <c r="I132" i="3"/>
  <c r="I132" i="4" s="1"/>
  <c r="M131" i="3"/>
  <c r="N131" i="3" s="1"/>
  <c r="N131" i="4" s="1"/>
  <c r="I131" i="3"/>
  <c r="I131" i="4" s="1"/>
  <c r="M130" i="3"/>
  <c r="N130" i="3" s="1"/>
  <c r="N130" i="4" s="1"/>
  <c r="I130" i="3"/>
  <c r="I130" i="4" s="1"/>
  <c r="M129" i="3"/>
  <c r="N129" i="3" s="1"/>
  <c r="N129" i="4" s="1"/>
  <c r="I129" i="3"/>
  <c r="I129" i="4" s="1"/>
  <c r="M128" i="3"/>
  <c r="N128" i="3" s="1"/>
  <c r="N128" i="4" s="1"/>
  <c r="I128" i="3"/>
  <c r="I128" i="4" s="1"/>
  <c r="M127" i="3"/>
  <c r="N127" i="3" s="1"/>
  <c r="N127" i="4" s="1"/>
  <c r="I127" i="3"/>
  <c r="I127" i="4" s="1"/>
  <c r="M126" i="3"/>
  <c r="N126" i="3" s="1"/>
  <c r="N126" i="4" s="1"/>
  <c r="I126" i="3"/>
  <c r="I126" i="4" s="1"/>
  <c r="M125" i="3"/>
  <c r="N125" i="3" s="1"/>
  <c r="N125" i="4" s="1"/>
  <c r="I125" i="3"/>
  <c r="I125" i="4" s="1"/>
  <c r="M124" i="3"/>
  <c r="N124" i="3" s="1"/>
  <c r="N124" i="4" s="1"/>
  <c r="I124" i="4"/>
  <c r="M123" i="3"/>
  <c r="N123" i="3" s="1"/>
  <c r="N123" i="4" s="1"/>
  <c r="I123" i="3"/>
  <c r="I123" i="4" s="1"/>
  <c r="M122" i="3"/>
  <c r="N122" i="3" s="1"/>
  <c r="N122" i="4" s="1"/>
  <c r="I122" i="3"/>
  <c r="I122" i="4" s="1"/>
  <c r="M121" i="3"/>
  <c r="N121" i="3" s="1"/>
  <c r="N121" i="4" s="1"/>
  <c r="I121" i="3"/>
  <c r="I121" i="4" s="1"/>
  <c r="N120" i="3"/>
  <c r="N120" i="4" s="1"/>
  <c r="M118" i="3"/>
  <c r="N118" i="3" s="1"/>
  <c r="N118" i="4" s="1"/>
  <c r="I118" i="3"/>
  <c r="I118" i="4" s="1"/>
  <c r="M117" i="3"/>
  <c r="N117" i="3" s="1"/>
  <c r="N117" i="4" s="1"/>
  <c r="I117" i="3"/>
  <c r="I117" i="4" s="1"/>
  <c r="M116" i="3"/>
  <c r="N116" i="3" s="1"/>
  <c r="N116" i="4" s="1"/>
  <c r="I116" i="3"/>
  <c r="I116" i="4" s="1"/>
  <c r="M115" i="3"/>
  <c r="N115" i="3" s="1"/>
  <c r="N115" i="4" s="1"/>
  <c r="I115" i="3"/>
  <c r="I115" i="4" s="1"/>
  <c r="M114" i="3"/>
  <c r="N114" i="3" s="1"/>
  <c r="N114" i="4" s="1"/>
  <c r="I114" i="3"/>
  <c r="I114" i="4" s="1"/>
  <c r="M113" i="3"/>
  <c r="N113" i="3" s="1"/>
  <c r="N113" i="4" s="1"/>
  <c r="I113" i="3"/>
  <c r="I113" i="4" s="1"/>
  <c r="M112" i="3"/>
  <c r="N112" i="3" s="1"/>
  <c r="N112" i="4" s="1"/>
  <c r="I112" i="3"/>
  <c r="I112" i="4" s="1"/>
  <c r="M111" i="3"/>
  <c r="N111" i="3" s="1"/>
  <c r="N111" i="4" s="1"/>
  <c r="I111" i="3"/>
  <c r="I111" i="4" s="1"/>
  <c r="M110" i="3"/>
  <c r="N110" i="3" s="1"/>
  <c r="N110" i="4" s="1"/>
  <c r="I110" i="3"/>
  <c r="I110" i="4" s="1"/>
  <c r="M109" i="3"/>
  <c r="N109" i="3" s="1"/>
  <c r="N109" i="4" s="1"/>
  <c r="I109" i="3"/>
  <c r="I109" i="4" s="1"/>
  <c r="M108" i="3"/>
  <c r="N108" i="3" s="1"/>
  <c r="N108" i="4" s="1"/>
  <c r="I108" i="3"/>
  <c r="I108" i="4" s="1"/>
  <c r="M107" i="3"/>
  <c r="N107" i="3" s="1"/>
  <c r="N107" i="4" s="1"/>
  <c r="I107" i="3"/>
  <c r="I107" i="4" s="1"/>
  <c r="M106" i="3"/>
  <c r="N106" i="3" s="1"/>
  <c r="N106" i="4" s="1"/>
  <c r="I106" i="3"/>
  <c r="I106" i="4" s="1"/>
  <c r="M105" i="3"/>
  <c r="N105" i="3" s="1"/>
  <c r="N105" i="4" s="1"/>
  <c r="I105" i="3"/>
  <c r="I105" i="4" s="1"/>
  <c r="M104" i="3"/>
  <c r="N104" i="3" s="1"/>
  <c r="N104" i="4" s="1"/>
  <c r="I104" i="3"/>
  <c r="I104" i="4" s="1"/>
  <c r="M103" i="3"/>
  <c r="N103" i="3" s="1"/>
  <c r="N103" i="4" s="1"/>
  <c r="I103" i="3"/>
  <c r="I103" i="4" s="1"/>
  <c r="M102" i="3"/>
  <c r="N102" i="3" s="1"/>
  <c r="N102" i="4" s="1"/>
  <c r="I102" i="3"/>
  <c r="I102" i="4" s="1"/>
  <c r="M101" i="3"/>
  <c r="N101" i="3" s="1"/>
  <c r="N101" i="4" s="1"/>
  <c r="I101" i="3"/>
  <c r="I101" i="4" s="1"/>
  <c r="M100" i="3"/>
  <c r="N100" i="3" s="1"/>
  <c r="N100" i="4" s="1"/>
  <c r="I100" i="3"/>
  <c r="I100" i="4" s="1"/>
  <c r="M99" i="3"/>
  <c r="N99" i="3" s="1"/>
  <c r="N99" i="4" s="1"/>
  <c r="I99" i="3"/>
  <c r="I99" i="4" s="1"/>
  <c r="M98" i="3"/>
  <c r="N98" i="3" s="1"/>
  <c r="N98" i="4" s="1"/>
  <c r="I98" i="3"/>
  <c r="I98" i="4" s="1"/>
  <c r="M97" i="3"/>
  <c r="N97" i="3" s="1"/>
  <c r="N97" i="4" s="1"/>
  <c r="I97" i="3"/>
  <c r="I97" i="4" s="1"/>
  <c r="M96" i="3"/>
  <c r="N96" i="3" s="1"/>
  <c r="N96" i="4" s="1"/>
  <c r="I96" i="3"/>
  <c r="I96" i="4" s="1"/>
  <c r="M95" i="3"/>
  <c r="N95" i="3" s="1"/>
  <c r="N95" i="4" s="1"/>
  <c r="I95" i="3"/>
  <c r="I95" i="4" s="1"/>
  <c r="M94" i="3"/>
  <c r="N94" i="3" s="1"/>
  <c r="N94" i="4" s="1"/>
  <c r="I94" i="3"/>
  <c r="I94" i="4" s="1"/>
  <c r="M93" i="3"/>
  <c r="N93" i="3" s="1"/>
  <c r="N93" i="4" s="1"/>
  <c r="I93" i="3"/>
  <c r="I93" i="4" s="1"/>
  <c r="M92" i="3"/>
  <c r="N92" i="3" s="1"/>
  <c r="N92" i="4" s="1"/>
  <c r="I92" i="3"/>
  <c r="I92" i="4" s="1"/>
  <c r="M91" i="3"/>
  <c r="N91" i="3" s="1"/>
  <c r="N91" i="4" s="1"/>
  <c r="I91" i="3"/>
  <c r="I91" i="4" s="1"/>
  <c r="M90" i="3"/>
  <c r="N90" i="3" s="1"/>
  <c r="N90" i="4" s="1"/>
  <c r="I90" i="3"/>
  <c r="I90" i="4" s="1"/>
  <c r="M89" i="3"/>
  <c r="N89" i="3" s="1"/>
  <c r="N89" i="4" s="1"/>
  <c r="I89" i="3"/>
  <c r="I89" i="4" s="1"/>
  <c r="M88" i="3"/>
  <c r="N88" i="3" s="1"/>
  <c r="N88" i="4" s="1"/>
  <c r="I88" i="3"/>
  <c r="I88" i="4" s="1"/>
  <c r="M87" i="3"/>
  <c r="N87" i="3" s="1"/>
  <c r="N87" i="4" s="1"/>
  <c r="I87" i="3"/>
  <c r="I87" i="4" s="1"/>
  <c r="M86" i="3"/>
  <c r="N86" i="3" s="1"/>
  <c r="N86" i="4" s="1"/>
  <c r="I86" i="3"/>
  <c r="I86" i="4" s="1"/>
  <c r="M85" i="3"/>
  <c r="N85" i="3" s="1"/>
  <c r="N85" i="4" s="1"/>
  <c r="I85" i="3"/>
  <c r="I85" i="4" s="1"/>
  <c r="M84" i="3"/>
  <c r="N84" i="3" s="1"/>
  <c r="N84" i="4" s="1"/>
  <c r="I84" i="3"/>
  <c r="I84" i="4" s="1"/>
  <c r="M83" i="3"/>
  <c r="N83" i="3" s="1"/>
  <c r="N83" i="4" s="1"/>
  <c r="I83" i="3"/>
  <c r="I83" i="4" s="1"/>
  <c r="M82" i="3"/>
  <c r="N82" i="3" s="1"/>
  <c r="N82" i="4" s="1"/>
  <c r="I82" i="3"/>
  <c r="I82" i="4" s="1"/>
  <c r="M81" i="3"/>
  <c r="N81" i="3" s="1"/>
  <c r="N81" i="4" s="1"/>
  <c r="I81" i="3"/>
  <c r="I81" i="4" s="1"/>
  <c r="M80" i="3"/>
  <c r="N80" i="3" s="1"/>
  <c r="N80" i="4" s="1"/>
  <c r="I80" i="3"/>
  <c r="I80" i="4" s="1"/>
  <c r="M79" i="3"/>
  <c r="N79" i="3" s="1"/>
  <c r="N79" i="4" s="1"/>
  <c r="I79" i="3"/>
  <c r="I79" i="4" s="1"/>
  <c r="M78" i="3"/>
  <c r="N78" i="3" s="1"/>
  <c r="N78" i="4" s="1"/>
  <c r="I78" i="3"/>
  <c r="I78" i="4" s="1"/>
  <c r="M77" i="3"/>
  <c r="N77" i="3" s="1"/>
  <c r="N77" i="4" s="1"/>
  <c r="I77" i="3"/>
  <c r="I77" i="4" s="1"/>
  <c r="M76" i="3"/>
  <c r="N76" i="3" s="1"/>
  <c r="N76" i="4" s="1"/>
  <c r="I76" i="3"/>
  <c r="I76" i="4" s="1"/>
  <c r="M75" i="3"/>
  <c r="N75" i="3" s="1"/>
  <c r="N75" i="4" s="1"/>
  <c r="I75" i="3"/>
  <c r="I75" i="4" s="1"/>
  <c r="M74" i="3"/>
  <c r="N74" i="3" s="1"/>
  <c r="N74" i="4" s="1"/>
  <c r="I74" i="3"/>
  <c r="I74" i="4" s="1"/>
  <c r="M73" i="3"/>
  <c r="N73" i="3" s="1"/>
  <c r="N73" i="4" s="1"/>
  <c r="I73" i="3"/>
  <c r="I73" i="4" s="1"/>
  <c r="M72" i="3"/>
  <c r="N72" i="3" s="1"/>
  <c r="N72" i="4" s="1"/>
  <c r="I72" i="3"/>
  <c r="I72" i="4" s="1"/>
  <c r="M71" i="3"/>
  <c r="N71" i="3" s="1"/>
  <c r="N71" i="4" s="1"/>
  <c r="I71" i="3"/>
  <c r="I71" i="4" s="1"/>
  <c r="M70" i="3"/>
  <c r="N70" i="3" s="1"/>
  <c r="N70" i="4" s="1"/>
  <c r="I70" i="3"/>
  <c r="I70" i="4" s="1"/>
  <c r="M69" i="3"/>
  <c r="N69" i="3" s="1"/>
  <c r="N69" i="4" s="1"/>
  <c r="I69" i="3"/>
  <c r="I69" i="4" s="1"/>
  <c r="M68" i="3"/>
  <c r="N68" i="3" s="1"/>
  <c r="N68" i="4" s="1"/>
  <c r="I68" i="3"/>
  <c r="I68" i="4" s="1"/>
  <c r="M67" i="3"/>
  <c r="N67" i="3" s="1"/>
  <c r="N67" i="4" s="1"/>
  <c r="I67" i="3"/>
  <c r="I67" i="4" s="1"/>
  <c r="M66" i="3"/>
  <c r="N66" i="3" s="1"/>
  <c r="N66" i="4" s="1"/>
  <c r="I66" i="3"/>
  <c r="I66" i="4" s="1"/>
  <c r="M65" i="3"/>
  <c r="N65" i="3" s="1"/>
  <c r="N65" i="4" s="1"/>
  <c r="I65" i="3"/>
  <c r="I65" i="4" s="1"/>
  <c r="M64" i="3"/>
  <c r="N64" i="3" s="1"/>
  <c r="N64" i="4" s="1"/>
  <c r="I64" i="3"/>
  <c r="I64" i="4" s="1"/>
  <c r="M63" i="3"/>
  <c r="N63" i="3" s="1"/>
  <c r="N63" i="4" s="1"/>
  <c r="I63" i="3"/>
  <c r="I63" i="4" s="1"/>
  <c r="M62" i="3"/>
  <c r="N62" i="3" s="1"/>
  <c r="N62" i="4" s="1"/>
  <c r="I62" i="3"/>
  <c r="I62" i="4" s="1"/>
  <c r="M61" i="3"/>
  <c r="N61" i="3" s="1"/>
  <c r="N61" i="4" s="1"/>
  <c r="I61" i="3"/>
  <c r="I61" i="4" s="1"/>
  <c r="M60" i="3"/>
  <c r="N60" i="3" s="1"/>
  <c r="N60" i="4" s="1"/>
  <c r="I60" i="3"/>
  <c r="I60" i="4" s="1"/>
  <c r="M59" i="3"/>
  <c r="N59" i="3" s="1"/>
  <c r="N59" i="4" s="1"/>
  <c r="I59" i="3"/>
  <c r="I59" i="4" s="1"/>
  <c r="M58" i="3"/>
  <c r="N58" i="3" s="1"/>
  <c r="N58" i="4" s="1"/>
  <c r="I58" i="3"/>
  <c r="I58" i="4" s="1"/>
  <c r="M57" i="3"/>
  <c r="N57" i="3" s="1"/>
  <c r="N57" i="4" s="1"/>
  <c r="I57" i="3"/>
  <c r="I57" i="4" s="1"/>
  <c r="M56" i="3"/>
  <c r="N56" i="3" s="1"/>
  <c r="N56" i="4" s="1"/>
  <c r="I56" i="3"/>
  <c r="I56" i="4" s="1"/>
  <c r="M55" i="3"/>
  <c r="N55" i="3" s="1"/>
  <c r="N55" i="4" s="1"/>
  <c r="I55" i="3"/>
  <c r="I55" i="4" s="1"/>
  <c r="M54" i="3"/>
  <c r="N54" i="3" s="1"/>
  <c r="N54" i="4" s="1"/>
  <c r="I54" i="3"/>
  <c r="I54" i="4" s="1"/>
  <c r="M53" i="3"/>
  <c r="N53" i="3" s="1"/>
  <c r="N53" i="4" s="1"/>
  <c r="I53" i="3"/>
  <c r="I53" i="4" s="1"/>
  <c r="M52" i="3"/>
  <c r="N52" i="3" s="1"/>
  <c r="N52" i="4" s="1"/>
  <c r="I52" i="3"/>
  <c r="I52" i="4" s="1"/>
  <c r="M51" i="3"/>
  <c r="N51" i="3" s="1"/>
  <c r="N51" i="4" s="1"/>
  <c r="I51" i="3"/>
  <c r="I51" i="4" s="1"/>
  <c r="M50" i="3"/>
  <c r="N50" i="3" s="1"/>
  <c r="N50" i="4" s="1"/>
  <c r="I50" i="3"/>
  <c r="I50" i="4" s="1"/>
  <c r="M49" i="3"/>
  <c r="N49" i="3" s="1"/>
  <c r="N49" i="4" s="1"/>
  <c r="I49" i="3"/>
  <c r="I49" i="4" s="1"/>
  <c r="M48" i="3"/>
  <c r="N48" i="3" s="1"/>
  <c r="N48" i="4" s="1"/>
  <c r="I48" i="3"/>
  <c r="I48" i="4" s="1"/>
  <c r="M47" i="3"/>
  <c r="N47" i="3" s="1"/>
  <c r="N47" i="4" s="1"/>
  <c r="I47" i="3"/>
  <c r="I47" i="4" s="1"/>
  <c r="M46" i="3"/>
  <c r="N46" i="3" s="1"/>
  <c r="N46" i="4" s="1"/>
  <c r="I46" i="3"/>
  <c r="I46" i="4" s="1"/>
  <c r="M45" i="3"/>
  <c r="N45" i="3" s="1"/>
  <c r="N45" i="4" s="1"/>
  <c r="I45" i="3"/>
  <c r="I45" i="4" s="1"/>
  <c r="M44" i="3"/>
  <c r="N44" i="3" s="1"/>
  <c r="N44" i="4" s="1"/>
  <c r="I44" i="3"/>
  <c r="I44" i="4" s="1"/>
  <c r="M43" i="3"/>
  <c r="N43" i="3" s="1"/>
  <c r="N43" i="4" s="1"/>
  <c r="I43" i="3"/>
  <c r="I43" i="4" s="1"/>
  <c r="M42" i="3"/>
  <c r="N42" i="3" s="1"/>
  <c r="N42" i="4" s="1"/>
  <c r="I42" i="3"/>
  <c r="I42" i="4" s="1"/>
  <c r="M41" i="3"/>
  <c r="N41" i="3" s="1"/>
  <c r="N41" i="4" s="1"/>
  <c r="I41" i="3"/>
  <c r="I41" i="4" s="1"/>
  <c r="M40" i="3"/>
  <c r="N40" i="3" s="1"/>
  <c r="N40" i="4" s="1"/>
  <c r="I40" i="3"/>
  <c r="I40" i="4" s="1"/>
  <c r="M39" i="3"/>
  <c r="N39" i="3" s="1"/>
  <c r="N39" i="4" s="1"/>
  <c r="I39" i="3"/>
  <c r="I39" i="4" s="1"/>
  <c r="M38" i="3"/>
  <c r="N38" i="3" s="1"/>
  <c r="N38" i="4" s="1"/>
  <c r="I38" i="3"/>
  <c r="I38" i="4" s="1"/>
  <c r="M37" i="3"/>
  <c r="N37" i="3" s="1"/>
  <c r="N37" i="4" s="1"/>
  <c r="I37" i="3"/>
  <c r="I37" i="4" s="1"/>
  <c r="M36" i="3"/>
  <c r="N36" i="3" s="1"/>
  <c r="N36" i="4" s="1"/>
  <c r="I36" i="3"/>
  <c r="I36" i="4" s="1"/>
  <c r="M35" i="3"/>
  <c r="N35" i="3" s="1"/>
  <c r="N35" i="4" s="1"/>
  <c r="I35" i="3"/>
  <c r="I35" i="4" s="1"/>
  <c r="M34" i="3"/>
  <c r="N34" i="3" s="1"/>
  <c r="N34" i="4" s="1"/>
  <c r="I34" i="3"/>
  <c r="I34" i="4" s="1"/>
  <c r="M33" i="3"/>
  <c r="N33" i="3" s="1"/>
  <c r="N33" i="4" s="1"/>
  <c r="I33" i="3"/>
  <c r="I33" i="4" s="1"/>
  <c r="M32" i="3"/>
  <c r="N32" i="3" s="1"/>
  <c r="N32" i="4" s="1"/>
  <c r="I32" i="3"/>
  <c r="I32" i="4" s="1"/>
  <c r="M31" i="3"/>
  <c r="N31" i="3" s="1"/>
  <c r="N31" i="4" s="1"/>
  <c r="I31" i="3"/>
  <c r="I31" i="4" s="1"/>
  <c r="M30" i="3"/>
  <c r="N30" i="3" s="1"/>
  <c r="N30" i="4" s="1"/>
  <c r="I30" i="3"/>
  <c r="I30" i="4" s="1"/>
  <c r="M29" i="3"/>
  <c r="N29" i="3" s="1"/>
  <c r="N29" i="4" s="1"/>
  <c r="I29" i="3"/>
  <c r="I29" i="4" s="1"/>
  <c r="M28" i="3"/>
  <c r="N28" i="3" s="1"/>
  <c r="N28" i="4" s="1"/>
  <c r="I28" i="3"/>
  <c r="I28" i="4" s="1"/>
  <c r="M27" i="3"/>
  <c r="N27" i="3" s="1"/>
  <c r="N27" i="4" s="1"/>
  <c r="I27" i="3"/>
  <c r="I27" i="4" s="1"/>
  <c r="M26" i="3"/>
  <c r="N26" i="3" s="1"/>
  <c r="N26" i="4" s="1"/>
  <c r="I26" i="3"/>
  <c r="I26" i="4" s="1"/>
  <c r="M25" i="3"/>
  <c r="N25" i="3" s="1"/>
  <c r="N25" i="4" s="1"/>
  <c r="I25" i="3"/>
  <c r="I25" i="4" s="1"/>
  <c r="M24" i="3"/>
  <c r="N24" i="3" s="1"/>
  <c r="N24" i="4" s="1"/>
  <c r="I24" i="3"/>
  <c r="I24" i="4" s="1"/>
  <c r="M23" i="3"/>
  <c r="N23" i="3" s="1"/>
  <c r="N23" i="4" s="1"/>
  <c r="I23" i="3"/>
  <c r="I23" i="4" s="1"/>
  <c r="M22" i="3"/>
  <c r="N22" i="3" s="1"/>
  <c r="N22" i="4" s="1"/>
  <c r="I22" i="3"/>
  <c r="I22" i="4" s="1"/>
  <c r="M21" i="3"/>
  <c r="N21" i="3" s="1"/>
  <c r="N21" i="4" s="1"/>
  <c r="I21" i="3"/>
  <c r="I21" i="4" s="1"/>
  <c r="M20" i="3"/>
  <c r="N20" i="3" s="1"/>
  <c r="N20" i="4" s="1"/>
  <c r="I20" i="3"/>
  <c r="I20" i="4" s="1"/>
  <c r="M19" i="3"/>
  <c r="N19" i="3" s="1"/>
  <c r="N19" i="4" s="1"/>
  <c r="I19" i="3"/>
  <c r="I19" i="4" s="1"/>
  <c r="M18" i="3"/>
  <c r="N18" i="3" s="1"/>
  <c r="N18" i="4" s="1"/>
  <c r="I18" i="3"/>
  <c r="I18" i="4" s="1"/>
  <c r="M17" i="3"/>
  <c r="N17" i="3" s="1"/>
  <c r="N17" i="4" s="1"/>
  <c r="I17" i="3"/>
  <c r="I17" i="4" s="1"/>
  <c r="M16" i="3"/>
  <c r="N16" i="3" s="1"/>
  <c r="N16" i="4" s="1"/>
  <c r="I16" i="3"/>
  <c r="I16" i="4" s="1"/>
  <c r="M15" i="3"/>
  <c r="N15" i="3" s="1"/>
  <c r="N15" i="4" s="1"/>
  <c r="I15" i="3"/>
  <c r="I15" i="4" s="1"/>
  <c r="M14" i="3"/>
  <c r="N14" i="3" s="1"/>
  <c r="N14" i="4" s="1"/>
  <c r="I14" i="3"/>
  <c r="I14" i="4" s="1"/>
  <c r="M13" i="3"/>
  <c r="N13" i="3" s="1"/>
  <c r="N13" i="4" s="1"/>
  <c r="I13" i="3"/>
  <c r="I13" i="4" s="1"/>
  <c r="M12" i="3"/>
  <c r="N12" i="3" s="1"/>
  <c r="N12" i="4" s="1"/>
  <c r="I12" i="3"/>
  <c r="I12" i="4" s="1"/>
  <c r="M11" i="3"/>
  <c r="N11" i="3" s="1"/>
  <c r="N11" i="4" s="1"/>
  <c r="I11" i="3"/>
  <c r="I11" i="4" s="1"/>
  <c r="M10" i="3"/>
  <c r="N10" i="3" s="1"/>
  <c r="N10" i="4" s="1"/>
  <c r="I10" i="3"/>
  <c r="I10" i="4" s="1"/>
  <c r="M9" i="3"/>
  <c r="N9" i="3" s="1"/>
  <c r="N9" i="4" s="1"/>
  <c r="I9" i="3"/>
  <c r="I9" i="4" s="1"/>
  <c r="B201" i="2"/>
  <c r="D201" i="2"/>
  <c r="F201" i="2"/>
  <c r="H201" i="2"/>
  <c r="K201" i="2"/>
  <c r="S201" i="2"/>
  <c r="B202" i="2"/>
  <c r="D202" i="2"/>
  <c r="F202" i="2"/>
  <c r="H202" i="2"/>
  <c r="K202" i="2"/>
  <c r="S202" i="2"/>
  <c r="B203" i="2"/>
  <c r="D203" i="2"/>
  <c r="F203" i="2"/>
  <c r="H203" i="2"/>
  <c r="K203" i="2"/>
  <c r="S203" i="2"/>
  <c r="B204" i="2"/>
  <c r="D204" i="2"/>
  <c r="F204" i="2"/>
  <c r="H204" i="2"/>
  <c r="K204" i="2"/>
  <c r="S204" i="2"/>
  <c r="B205" i="2"/>
  <c r="D205" i="2"/>
  <c r="F205" i="2"/>
  <c r="H205" i="2"/>
  <c r="K205" i="2"/>
  <c r="S205" i="2"/>
  <c r="B206" i="2"/>
  <c r="D206" i="2"/>
  <c r="F206" i="2"/>
  <c r="H206" i="2"/>
  <c r="K206" i="2"/>
  <c r="S206" i="2"/>
  <c r="B207" i="2"/>
  <c r="D207" i="2"/>
  <c r="F207" i="2"/>
  <c r="H207" i="2"/>
  <c r="K207" i="2"/>
  <c r="S207" i="2"/>
  <c r="B208" i="2"/>
  <c r="D208" i="2"/>
  <c r="F208" i="2"/>
  <c r="H208" i="2"/>
  <c r="K208" i="2"/>
  <c r="S208" i="2"/>
  <c r="B209" i="2"/>
  <c r="D209" i="2"/>
  <c r="F209" i="2"/>
  <c r="H209" i="2"/>
  <c r="K209" i="2"/>
  <c r="S209" i="2"/>
  <c r="B210" i="2"/>
  <c r="D210" i="2"/>
  <c r="F210" i="2"/>
  <c r="H210" i="2"/>
  <c r="K210" i="2"/>
  <c r="S210" i="2"/>
  <c r="B211" i="2"/>
  <c r="D211" i="2"/>
  <c r="F211" i="2"/>
  <c r="H211" i="2"/>
  <c r="K211" i="2"/>
  <c r="S211" i="2"/>
  <c r="B212" i="2"/>
  <c r="D212" i="2"/>
  <c r="F212" i="2"/>
  <c r="H212" i="2"/>
  <c r="K212" i="2"/>
  <c r="S212" i="2"/>
  <c r="B213" i="2"/>
  <c r="D213" i="2"/>
  <c r="F213" i="2"/>
  <c r="H213" i="2"/>
  <c r="K213" i="2"/>
  <c r="S213" i="2"/>
  <c r="B214" i="2"/>
  <c r="D214" i="2"/>
  <c r="F214" i="2"/>
  <c r="H214" i="2"/>
  <c r="K214" i="2"/>
  <c r="S214" i="2"/>
  <c r="B215" i="2"/>
  <c r="D215" i="2"/>
  <c r="F215" i="2"/>
  <c r="H215" i="2"/>
  <c r="K215" i="2"/>
  <c r="S215" i="2"/>
  <c r="B216" i="2"/>
  <c r="D216" i="2"/>
  <c r="F216" i="2"/>
  <c r="H216" i="2"/>
  <c r="K216" i="2"/>
  <c r="S216" i="2"/>
  <c r="B217" i="2"/>
  <c r="D217" i="2"/>
  <c r="F217" i="2"/>
  <c r="H217" i="2"/>
  <c r="K217" i="2"/>
  <c r="S217" i="2"/>
  <c r="B218" i="2"/>
  <c r="D218" i="2"/>
  <c r="F218" i="2"/>
  <c r="H218" i="2"/>
  <c r="K218" i="2"/>
  <c r="S218" i="2"/>
  <c r="B219" i="2"/>
  <c r="D219" i="2"/>
  <c r="F219" i="2"/>
  <c r="H219" i="2"/>
  <c r="K219" i="2"/>
  <c r="S219" i="2"/>
  <c r="B220" i="2"/>
  <c r="D220" i="2"/>
  <c r="F220" i="2"/>
  <c r="H220" i="2"/>
  <c r="K220" i="2"/>
  <c r="S220" i="2"/>
  <c r="I201" i="1"/>
  <c r="I201" i="2" s="1"/>
  <c r="M201" i="1"/>
  <c r="N201" i="1" s="1"/>
  <c r="N201" i="2" s="1"/>
  <c r="I202" i="1"/>
  <c r="I202" i="2" s="1"/>
  <c r="M202" i="1"/>
  <c r="N202" i="1" s="1"/>
  <c r="N202" i="2" s="1"/>
  <c r="I203" i="1"/>
  <c r="I203" i="2" s="1"/>
  <c r="M203" i="1"/>
  <c r="N203" i="1" s="1"/>
  <c r="N203" i="2" s="1"/>
  <c r="I204" i="1"/>
  <c r="I204" i="2" s="1"/>
  <c r="M204" i="1"/>
  <c r="N204" i="1" s="1"/>
  <c r="N204" i="2" s="1"/>
  <c r="I205" i="1"/>
  <c r="I205" i="2" s="1"/>
  <c r="M205" i="1"/>
  <c r="N205" i="1" s="1"/>
  <c r="N205" i="2" s="1"/>
  <c r="I206" i="1"/>
  <c r="I206" i="2" s="1"/>
  <c r="M206" i="1"/>
  <c r="N206" i="1" s="1"/>
  <c r="N206" i="2" s="1"/>
  <c r="I207" i="1"/>
  <c r="I207" i="2" s="1"/>
  <c r="M207" i="1"/>
  <c r="N207" i="1" s="1"/>
  <c r="N207" i="2" s="1"/>
  <c r="I208" i="1"/>
  <c r="I208" i="2" s="1"/>
  <c r="M208" i="1"/>
  <c r="N208" i="1" s="1"/>
  <c r="N208" i="2" s="1"/>
  <c r="I209" i="1"/>
  <c r="I209" i="2" s="1"/>
  <c r="M209" i="1"/>
  <c r="N209" i="1" s="1"/>
  <c r="N209" i="2" s="1"/>
  <c r="I210" i="1"/>
  <c r="I210" i="2" s="1"/>
  <c r="M210" i="1"/>
  <c r="N210" i="1" s="1"/>
  <c r="N210" i="2" s="1"/>
  <c r="I211" i="1"/>
  <c r="I211" i="2" s="1"/>
  <c r="M211" i="1"/>
  <c r="N211" i="1" s="1"/>
  <c r="N211" i="2" s="1"/>
  <c r="I212" i="1"/>
  <c r="I212" i="2" s="1"/>
  <c r="M212" i="1"/>
  <c r="N212" i="1" s="1"/>
  <c r="N212" i="2" s="1"/>
  <c r="I213" i="1"/>
  <c r="I213" i="2" s="1"/>
  <c r="M213" i="1"/>
  <c r="N213" i="1" s="1"/>
  <c r="N213" i="2" s="1"/>
  <c r="I214" i="1"/>
  <c r="I214" i="2" s="1"/>
  <c r="M214" i="1"/>
  <c r="N214" i="1" s="1"/>
  <c r="N214" i="2" s="1"/>
  <c r="I215" i="1"/>
  <c r="I215" i="2" s="1"/>
  <c r="M215" i="1"/>
  <c r="N215" i="1" s="1"/>
  <c r="N215" i="2" s="1"/>
  <c r="I216" i="1"/>
  <c r="I216" i="2" s="1"/>
  <c r="M216" i="1"/>
  <c r="N216" i="1" s="1"/>
  <c r="N216" i="2" s="1"/>
  <c r="I217" i="1"/>
  <c r="I217" i="2" s="1"/>
  <c r="M217" i="1"/>
  <c r="N217" i="1" s="1"/>
  <c r="N217" i="2" s="1"/>
  <c r="I218" i="1"/>
  <c r="I218" i="2" s="1"/>
  <c r="M218" i="1"/>
  <c r="N218" i="1" s="1"/>
  <c r="N218" i="2" s="1"/>
  <c r="I219" i="1"/>
  <c r="I219" i="2" s="1"/>
  <c r="M219" i="1"/>
  <c r="N219" i="1" s="1"/>
  <c r="N219" i="2" s="1"/>
  <c r="I220" i="1"/>
  <c r="I220" i="2" s="1"/>
  <c r="M220" i="1"/>
  <c r="N220" i="1" s="1"/>
  <c r="N220" i="2" s="1"/>
  <c r="B191" i="2" l="1"/>
  <c r="D191" i="2"/>
  <c r="F191" i="2"/>
  <c r="H191" i="2"/>
  <c r="K191" i="2"/>
  <c r="S191" i="2"/>
  <c r="B192" i="2"/>
  <c r="D192" i="2"/>
  <c r="F192" i="2"/>
  <c r="H192" i="2"/>
  <c r="K192" i="2"/>
  <c r="S192" i="2"/>
  <c r="B193" i="2"/>
  <c r="D193" i="2"/>
  <c r="F193" i="2"/>
  <c r="H193" i="2"/>
  <c r="K193" i="2"/>
  <c r="S193" i="2"/>
  <c r="B194" i="2"/>
  <c r="D194" i="2"/>
  <c r="F194" i="2"/>
  <c r="H194" i="2"/>
  <c r="K194" i="2"/>
  <c r="S194" i="2"/>
  <c r="B195" i="2"/>
  <c r="D195" i="2"/>
  <c r="F195" i="2"/>
  <c r="H195" i="2"/>
  <c r="K195" i="2"/>
  <c r="S195" i="2"/>
  <c r="B196" i="2"/>
  <c r="D196" i="2"/>
  <c r="F196" i="2"/>
  <c r="H196" i="2"/>
  <c r="K196" i="2"/>
  <c r="S196" i="2"/>
  <c r="B197" i="2"/>
  <c r="D197" i="2"/>
  <c r="F197" i="2"/>
  <c r="H197" i="2"/>
  <c r="K197" i="2"/>
  <c r="S197" i="2"/>
  <c r="B198" i="2"/>
  <c r="D198" i="2"/>
  <c r="F198" i="2"/>
  <c r="H198" i="2"/>
  <c r="K198" i="2"/>
  <c r="S198" i="2"/>
  <c r="B199" i="2"/>
  <c r="D199" i="2"/>
  <c r="F199" i="2"/>
  <c r="H199" i="2"/>
  <c r="K199" i="2"/>
  <c r="S199" i="2"/>
  <c r="B200" i="2"/>
  <c r="D200" i="2"/>
  <c r="F200" i="2"/>
  <c r="H200" i="2"/>
  <c r="K200" i="2"/>
  <c r="S200" i="2"/>
  <c r="I191" i="1"/>
  <c r="I191" i="2" s="1"/>
  <c r="M191" i="1"/>
  <c r="N191" i="1" s="1"/>
  <c r="N191" i="2" s="1"/>
  <c r="I192" i="1"/>
  <c r="I192" i="2" s="1"/>
  <c r="M192" i="1"/>
  <c r="N192" i="1" s="1"/>
  <c r="N192" i="2" s="1"/>
  <c r="I193" i="1"/>
  <c r="I193" i="2" s="1"/>
  <c r="M193" i="1"/>
  <c r="N193" i="1" s="1"/>
  <c r="N193" i="2" s="1"/>
  <c r="I194" i="1"/>
  <c r="I194" i="2" s="1"/>
  <c r="M194" i="1"/>
  <c r="N194" i="1" s="1"/>
  <c r="N194" i="2" s="1"/>
  <c r="I195" i="1"/>
  <c r="I195" i="2" s="1"/>
  <c r="M195" i="1"/>
  <c r="N195" i="1" s="1"/>
  <c r="N195" i="2" s="1"/>
  <c r="I196" i="1"/>
  <c r="I196" i="2" s="1"/>
  <c r="M196" i="1"/>
  <c r="N196" i="1" s="1"/>
  <c r="N196" i="2" s="1"/>
  <c r="I197" i="1"/>
  <c r="I197" i="2" s="1"/>
  <c r="M197" i="1"/>
  <c r="N197" i="1" s="1"/>
  <c r="N197" i="2" s="1"/>
  <c r="I198" i="1"/>
  <c r="I198" i="2" s="1"/>
  <c r="M198" i="1"/>
  <c r="N198" i="1" s="1"/>
  <c r="N198" i="2" s="1"/>
  <c r="I199" i="1"/>
  <c r="I199" i="2" s="1"/>
  <c r="M199" i="1"/>
  <c r="N199" i="1" s="1"/>
  <c r="N199" i="2" s="1"/>
  <c r="I200" i="1"/>
  <c r="I200" i="2" s="1"/>
  <c r="M200" i="1"/>
  <c r="N200" i="1" s="1"/>
  <c r="N200" i="2" s="1"/>
  <c r="B181" i="2" l="1"/>
  <c r="D181" i="2"/>
  <c r="F181" i="2"/>
  <c r="H181" i="2"/>
  <c r="K181" i="2"/>
  <c r="S181" i="2"/>
  <c r="B182" i="2"/>
  <c r="D182" i="2"/>
  <c r="F182" i="2"/>
  <c r="H182" i="2"/>
  <c r="K182" i="2"/>
  <c r="S182" i="2"/>
  <c r="B183" i="2"/>
  <c r="D183" i="2"/>
  <c r="F183" i="2"/>
  <c r="H183" i="2"/>
  <c r="K183" i="2"/>
  <c r="S183" i="2"/>
  <c r="B184" i="2"/>
  <c r="D184" i="2"/>
  <c r="F184" i="2"/>
  <c r="H184" i="2"/>
  <c r="K184" i="2"/>
  <c r="S184" i="2"/>
  <c r="B185" i="2"/>
  <c r="D185" i="2"/>
  <c r="F185" i="2"/>
  <c r="H185" i="2"/>
  <c r="K185" i="2"/>
  <c r="S185" i="2"/>
  <c r="B186" i="2"/>
  <c r="D186" i="2"/>
  <c r="F186" i="2"/>
  <c r="H186" i="2"/>
  <c r="K186" i="2"/>
  <c r="S186" i="2"/>
  <c r="B187" i="2"/>
  <c r="D187" i="2"/>
  <c r="F187" i="2"/>
  <c r="H187" i="2"/>
  <c r="K187" i="2"/>
  <c r="S187" i="2"/>
  <c r="B188" i="2"/>
  <c r="D188" i="2"/>
  <c r="F188" i="2"/>
  <c r="H188" i="2"/>
  <c r="K188" i="2"/>
  <c r="S188" i="2"/>
  <c r="B189" i="2"/>
  <c r="D189" i="2"/>
  <c r="F189" i="2"/>
  <c r="H189" i="2"/>
  <c r="K189" i="2"/>
  <c r="S189" i="2"/>
  <c r="B190" i="2"/>
  <c r="D190" i="2"/>
  <c r="F190" i="2"/>
  <c r="H190" i="2"/>
  <c r="K190" i="2"/>
  <c r="S190" i="2"/>
  <c r="I181" i="1"/>
  <c r="I181" i="2" s="1"/>
  <c r="M181" i="1"/>
  <c r="N181" i="1" s="1"/>
  <c r="N181" i="2" s="1"/>
  <c r="I182" i="1"/>
  <c r="I182" i="2" s="1"/>
  <c r="M182" i="1"/>
  <c r="N182" i="1" s="1"/>
  <c r="N182" i="2" s="1"/>
  <c r="I183" i="1"/>
  <c r="I183" i="2" s="1"/>
  <c r="M183" i="1"/>
  <c r="N183" i="1" s="1"/>
  <c r="N183" i="2" s="1"/>
  <c r="I184" i="1"/>
  <c r="I184" i="2" s="1"/>
  <c r="M184" i="1"/>
  <c r="N184" i="1" s="1"/>
  <c r="N184" i="2" s="1"/>
  <c r="I185" i="1"/>
  <c r="I185" i="2" s="1"/>
  <c r="M185" i="1"/>
  <c r="N185" i="1" s="1"/>
  <c r="N185" i="2" s="1"/>
  <c r="I186" i="1"/>
  <c r="I186" i="2" s="1"/>
  <c r="M186" i="1"/>
  <c r="N186" i="1" s="1"/>
  <c r="N186" i="2" s="1"/>
  <c r="I187" i="1"/>
  <c r="I187" i="2" s="1"/>
  <c r="M187" i="1"/>
  <c r="N187" i="1" s="1"/>
  <c r="N187" i="2" s="1"/>
  <c r="I188" i="1"/>
  <c r="I188" i="2" s="1"/>
  <c r="M188" i="1"/>
  <c r="N188" i="1" s="1"/>
  <c r="N188" i="2" s="1"/>
  <c r="I189" i="1"/>
  <c r="I189" i="2" s="1"/>
  <c r="M189" i="1"/>
  <c r="N189" i="1" s="1"/>
  <c r="N189" i="2" s="1"/>
  <c r="I190" i="1"/>
  <c r="I190" i="2" s="1"/>
  <c r="M190" i="1"/>
  <c r="N190" i="1" s="1"/>
  <c r="N190" i="2" s="1"/>
  <c r="B169" i="2"/>
  <c r="D169" i="2"/>
  <c r="F169" i="2"/>
  <c r="H169" i="2"/>
  <c r="K169" i="2"/>
  <c r="S169" i="2"/>
  <c r="B170" i="2"/>
  <c r="D170" i="2"/>
  <c r="F170" i="2"/>
  <c r="H170" i="2"/>
  <c r="K170" i="2"/>
  <c r="S170" i="2"/>
  <c r="B171" i="2"/>
  <c r="D171" i="2"/>
  <c r="F171" i="2"/>
  <c r="H171" i="2"/>
  <c r="K171" i="2"/>
  <c r="S171" i="2"/>
  <c r="B172" i="2"/>
  <c r="D172" i="2"/>
  <c r="F172" i="2"/>
  <c r="H172" i="2"/>
  <c r="K172" i="2"/>
  <c r="S172" i="2"/>
  <c r="B173" i="2"/>
  <c r="D173" i="2"/>
  <c r="F173" i="2"/>
  <c r="H173" i="2"/>
  <c r="K173" i="2"/>
  <c r="S173" i="2"/>
  <c r="B174" i="2"/>
  <c r="D174" i="2"/>
  <c r="F174" i="2"/>
  <c r="H174" i="2"/>
  <c r="K174" i="2"/>
  <c r="S174" i="2"/>
  <c r="B175" i="2"/>
  <c r="D175" i="2"/>
  <c r="F175" i="2"/>
  <c r="H175" i="2"/>
  <c r="K175" i="2"/>
  <c r="S175" i="2"/>
  <c r="B176" i="2"/>
  <c r="D176" i="2"/>
  <c r="F176" i="2"/>
  <c r="H176" i="2"/>
  <c r="K176" i="2"/>
  <c r="S176" i="2"/>
  <c r="B177" i="2"/>
  <c r="D177" i="2"/>
  <c r="F177" i="2"/>
  <c r="H177" i="2"/>
  <c r="K177" i="2"/>
  <c r="S177" i="2"/>
  <c r="B178" i="2"/>
  <c r="D178" i="2"/>
  <c r="F178" i="2"/>
  <c r="H178" i="2"/>
  <c r="K178" i="2"/>
  <c r="S178" i="2"/>
  <c r="B179" i="2"/>
  <c r="D179" i="2"/>
  <c r="F179" i="2"/>
  <c r="H179" i="2"/>
  <c r="K179" i="2"/>
  <c r="S179" i="2"/>
  <c r="B180" i="2"/>
  <c r="D180" i="2"/>
  <c r="F180" i="2"/>
  <c r="H180" i="2"/>
  <c r="K180" i="2"/>
  <c r="S180" i="2"/>
  <c r="M180" i="1"/>
  <c r="N180" i="1" s="1"/>
  <c r="N180" i="2" s="1"/>
  <c r="I180" i="1"/>
  <c r="I180" i="2" s="1"/>
  <c r="M179" i="1"/>
  <c r="N179" i="1" s="1"/>
  <c r="N179" i="2" s="1"/>
  <c r="I179" i="1"/>
  <c r="I179" i="2" s="1"/>
  <c r="M178" i="1"/>
  <c r="N178" i="1" s="1"/>
  <c r="N178" i="2" s="1"/>
  <c r="I178" i="1"/>
  <c r="I178" i="2" s="1"/>
  <c r="M177" i="1"/>
  <c r="N177" i="1" s="1"/>
  <c r="N177" i="2" s="1"/>
  <c r="I177" i="1"/>
  <c r="I177" i="2" s="1"/>
  <c r="M176" i="1"/>
  <c r="N176" i="1" s="1"/>
  <c r="N176" i="2" s="1"/>
  <c r="I176" i="1"/>
  <c r="I176" i="2" s="1"/>
  <c r="M175" i="1"/>
  <c r="N175" i="1" s="1"/>
  <c r="N175" i="2" s="1"/>
  <c r="I175" i="1"/>
  <c r="I175" i="2" s="1"/>
  <c r="M174" i="1"/>
  <c r="N174" i="1" s="1"/>
  <c r="N174" i="2" s="1"/>
  <c r="I174" i="1"/>
  <c r="I174" i="2" s="1"/>
  <c r="M173" i="1"/>
  <c r="N173" i="1" s="1"/>
  <c r="N173" i="2" s="1"/>
  <c r="I173" i="1"/>
  <c r="I173" i="2" s="1"/>
  <c r="M172" i="1"/>
  <c r="N172" i="1" s="1"/>
  <c r="N172" i="2" s="1"/>
  <c r="I172" i="1"/>
  <c r="I172" i="2" s="1"/>
  <c r="M171" i="1"/>
  <c r="N171" i="1" s="1"/>
  <c r="N171" i="2" s="1"/>
  <c r="I171" i="1"/>
  <c r="I171" i="2" s="1"/>
  <c r="M170" i="1"/>
  <c r="N170" i="1" s="1"/>
  <c r="N170" i="2" s="1"/>
  <c r="I170" i="1"/>
  <c r="I170" i="2" s="1"/>
  <c r="M169" i="1"/>
  <c r="N169" i="1" s="1"/>
  <c r="N169" i="2" s="1"/>
  <c r="I169" i="1"/>
  <c r="I169" i="2" s="1"/>
  <c r="B156" i="2" l="1"/>
  <c r="D156" i="2"/>
  <c r="F156" i="2"/>
  <c r="H156" i="2"/>
  <c r="K156" i="2"/>
  <c r="S156" i="2"/>
  <c r="B157" i="2"/>
  <c r="D157" i="2"/>
  <c r="F157" i="2"/>
  <c r="H157" i="2"/>
  <c r="K157" i="2"/>
  <c r="S157" i="2"/>
  <c r="B158" i="2"/>
  <c r="D158" i="2"/>
  <c r="F158" i="2"/>
  <c r="H158" i="2"/>
  <c r="K158" i="2"/>
  <c r="S158" i="2"/>
  <c r="B159" i="2"/>
  <c r="D159" i="2"/>
  <c r="F159" i="2"/>
  <c r="H159" i="2"/>
  <c r="K159" i="2"/>
  <c r="S159" i="2"/>
  <c r="B160" i="2"/>
  <c r="D160" i="2"/>
  <c r="F160" i="2"/>
  <c r="H160" i="2"/>
  <c r="K160" i="2"/>
  <c r="S160" i="2"/>
  <c r="B161" i="2"/>
  <c r="D161" i="2"/>
  <c r="F161" i="2"/>
  <c r="H161" i="2"/>
  <c r="K161" i="2"/>
  <c r="S161" i="2"/>
  <c r="B162" i="2"/>
  <c r="D162" i="2"/>
  <c r="F162" i="2"/>
  <c r="H162" i="2"/>
  <c r="K162" i="2"/>
  <c r="S162" i="2"/>
  <c r="B163" i="2"/>
  <c r="D163" i="2"/>
  <c r="F163" i="2"/>
  <c r="H163" i="2"/>
  <c r="K163" i="2"/>
  <c r="S163" i="2"/>
  <c r="B164" i="2"/>
  <c r="D164" i="2"/>
  <c r="F164" i="2"/>
  <c r="H164" i="2"/>
  <c r="K164" i="2"/>
  <c r="S164" i="2"/>
  <c r="B165" i="2"/>
  <c r="D165" i="2"/>
  <c r="F165" i="2"/>
  <c r="H165" i="2"/>
  <c r="K165" i="2"/>
  <c r="S165" i="2"/>
  <c r="B166" i="2"/>
  <c r="D166" i="2"/>
  <c r="F166" i="2"/>
  <c r="H166" i="2"/>
  <c r="K166" i="2"/>
  <c r="S166" i="2"/>
  <c r="B167" i="2"/>
  <c r="D167" i="2"/>
  <c r="F167" i="2"/>
  <c r="H167" i="2"/>
  <c r="K167" i="2"/>
  <c r="S167" i="2"/>
  <c r="B168" i="2"/>
  <c r="D168" i="2"/>
  <c r="F168" i="2"/>
  <c r="H168" i="2"/>
  <c r="K168" i="2"/>
  <c r="S168" i="2"/>
  <c r="I166" i="1"/>
  <c r="I166" i="2" s="1"/>
  <c r="M166" i="1"/>
  <c r="N166" i="1" s="1"/>
  <c r="N166" i="2" s="1"/>
  <c r="I167" i="1"/>
  <c r="I167" i="2" s="1"/>
  <c r="M167" i="1"/>
  <c r="N167" i="1" s="1"/>
  <c r="N167" i="2" s="1"/>
  <c r="I168" i="1"/>
  <c r="I168" i="2" s="1"/>
  <c r="M168" i="1"/>
  <c r="N168" i="1" s="1"/>
  <c r="N168" i="2" s="1"/>
  <c r="I156" i="1" l="1"/>
  <c r="I156" i="2" s="1"/>
  <c r="M156" i="1"/>
  <c r="N156" i="1" s="1"/>
  <c r="N156" i="2" s="1"/>
  <c r="I157" i="1"/>
  <c r="I157" i="2" s="1"/>
  <c r="M157" i="1"/>
  <c r="N157" i="1" s="1"/>
  <c r="N157" i="2" s="1"/>
  <c r="I158" i="1"/>
  <c r="I158" i="2" s="1"/>
  <c r="M158" i="1"/>
  <c r="N158" i="1" s="1"/>
  <c r="N158" i="2" s="1"/>
  <c r="I159" i="1"/>
  <c r="I159" i="2" s="1"/>
  <c r="M159" i="1"/>
  <c r="N159" i="1" s="1"/>
  <c r="N159" i="2" s="1"/>
  <c r="I160" i="1"/>
  <c r="I160" i="2" s="1"/>
  <c r="M160" i="1"/>
  <c r="N160" i="1" s="1"/>
  <c r="N160" i="2" s="1"/>
  <c r="I161" i="1"/>
  <c r="I161" i="2" s="1"/>
  <c r="M161" i="1"/>
  <c r="N161" i="1" s="1"/>
  <c r="N161" i="2" s="1"/>
  <c r="I162" i="1"/>
  <c r="I162" i="2" s="1"/>
  <c r="M162" i="1"/>
  <c r="N162" i="1" s="1"/>
  <c r="N162" i="2" s="1"/>
  <c r="I163" i="1"/>
  <c r="I163" i="2" s="1"/>
  <c r="M163" i="1"/>
  <c r="N163" i="1" s="1"/>
  <c r="N163" i="2" s="1"/>
  <c r="I164" i="1"/>
  <c r="I164" i="2" s="1"/>
  <c r="M164" i="1"/>
  <c r="N164" i="1" s="1"/>
  <c r="N164" i="2" s="1"/>
  <c r="I165" i="1"/>
  <c r="I165" i="2" s="1"/>
  <c r="M165" i="1"/>
  <c r="N165" i="1" s="1"/>
  <c r="N165" i="2" s="1"/>
  <c r="B142" i="2" l="1"/>
  <c r="D142" i="2"/>
  <c r="F142" i="2"/>
  <c r="H142" i="2"/>
  <c r="K142" i="2"/>
  <c r="S142" i="2"/>
  <c r="B143" i="2"/>
  <c r="D143" i="2"/>
  <c r="F143" i="2"/>
  <c r="H143" i="2"/>
  <c r="K143" i="2"/>
  <c r="S143" i="2"/>
  <c r="B144" i="2"/>
  <c r="D144" i="2"/>
  <c r="F144" i="2"/>
  <c r="H144" i="2"/>
  <c r="K144" i="2"/>
  <c r="S144" i="2"/>
  <c r="B145" i="2"/>
  <c r="D145" i="2"/>
  <c r="F145" i="2"/>
  <c r="H145" i="2"/>
  <c r="K145" i="2"/>
  <c r="S145" i="2"/>
  <c r="B146" i="2"/>
  <c r="D146" i="2"/>
  <c r="F146" i="2"/>
  <c r="H146" i="2"/>
  <c r="K146" i="2"/>
  <c r="S146" i="2"/>
  <c r="B147" i="2"/>
  <c r="D147" i="2"/>
  <c r="F147" i="2"/>
  <c r="H147" i="2"/>
  <c r="K147" i="2"/>
  <c r="S147" i="2"/>
  <c r="B148" i="2"/>
  <c r="D148" i="2"/>
  <c r="F148" i="2"/>
  <c r="H148" i="2"/>
  <c r="K148" i="2"/>
  <c r="S148" i="2"/>
  <c r="B149" i="2"/>
  <c r="D149" i="2"/>
  <c r="F149" i="2"/>
  <c r="H149" i="2"/>
  <c r="K149" i="2"/>
  <c r="S149" i="2"/>
  <c r="B150" i="2"/>
  <c r="D150" i="2"/>
  <c r="F150" i="2"/>
  <c r="H150" i="2"/>
  <c r="K150" i="2"/>
  <c r="S150" i="2"/>
  <c r="B151" i="2"/>
  <c r="D151" i="2"/>
  <c r="F151" i="2"/>
  <c r="H151" i="2"/>
  <c r="K151" i="2"/>
  <c r="S151" i="2"/>
  <c r="B152" i="2"/>
  <c r="D152" i="2"/>
  <c r="F152" i="2"/>
  <c r="H152" i="2"/>
  <c r="K152" i="2"/>
  <c r="S152" i="2"/>
  <c r="B153" i="2"/>
  <c r="D153" i="2"/>
  <c r="F153" i="2"/>
  <c r="H153" i="2"/>
  <c r="K153" i="2"/>
  <c r="S153" i="2"/>
  <c r="B154" i="2"/>
  <c r="D154" i="2"/>
  <c r="F154" i="2"/>
  <c r="H154" i="2"/>
  <c r="K154" i="2"/>
  <c r="S154" i="2"/>
  <c r="B155" i="2"/>
  <c r="D155" i="2"/>
  <c r="F155" i="2"/>
  <c r="H155" i="2"/>
  <c r="K155" i="2"/>
  <c r="S155" i="2"/>
  <c r="I143" i="1"/>
  <c r="I143" i="2" s="1"/>
  <c r="M143" i="1"/>
  <c r="N143" i="1" s="1"/>
  <c r="N143" i="2" s="1"/>
  <c r="I144" i="1"/>
  <c r="I144" i="2" s="1"/>
  <c r="M144" i="1"/>
  <c r="N144" i="1" s="1"/>
  <c r="N144" i="2" s="1"/>
  <c r="I145" i="1"/>
  <c r="I145" i="2" s="1"/>
  <c r="M145" i="1"/>
  <c r="N145" i="1" s="1"/>
  <c r="N145" i="2" s="1"/>
  <c r="I146" i="1"/>
  <c r="I146" i="2" s="1"/>
  <c r="M146" i="1"/>
  <c r="N146" i="1" s="1"/>
  <c r="N146" i="2" s="1"/>
  <c r="I147" i="1"/>
  <c r="I147" i="2" s="1"/>
  <c r="M147" i="1"/>
  <c r="N147" i="1" s="1"/>
  <c r="N147" i="2" s="1"/>
  <c r="I148" i="1"/>
  <c r="I148" i="2" s="1"/>
  <c r="M148" i="1"/>
  <c r="N148" i="1" s="1"/>
  <c r="N148" i="2" s="1"/>
  <c r="I149" i="1"/>
  <c r="I149" i="2" s="1"/>
  <c r="M149" i="1"/>
  <c r="N149" i="1" s="1"/>
  <c r="N149" i="2" s="1"/>
  <c r="I150" i="1"/>
  <c r="I150" i="2" s="1"/>
  <c r="M150" i="1"/>
  <c r="N150" i="1" s="1"/>
  <c r="N150" i="2" s="1"/>
  <c r="I151" i="1"/>
  <c r="I151" i="2" s="1"/>
  <c r="M151" i="1"/>
  <c r="N151" i="1" s="1"/>
  <c r="N151" i="2" s="1"/>
  <c r="I152" i="1"/>
  <c r="I152" i="2" s="1"/>
  <c r="M152" i="1"/>
  <c r="N152" i="1" s="1"/>
  <c r="N152" i="2" s="1"/>
  <c r="I153" i="1"/>
  <c r="I153" i="2" s="1"/>
  <c r="M153" i="1"/>
  <c r="N153" i="1" s="1"/>
  <c r="N153" i="2" s="1"/>
  <c r="I154" i="1"/>
  <c r="I154" i="2" s="1"/>
  <c r="M154" i="1"/>
  <c r="N154" i="1" s="1"/>
  <c r="N154" i="2" s="1"/>
  <c r="I155" i="1"/>
  <c r="I155" i="2" s="1"/>
  <c r="M155" i="1"/>
  <c r="N155" i="1" s="1"/>
  <c r="N155" i="2" s="1"/>
  <c r="M142" i="1"/>
  <c r="N142" i="1" s="1"/>
  <c r="N142" i="2" s="1"/>
  <c r="I142" i="1"/>
  <c r="I142" i="2" s="1"/>
  <c r="M141" i="1"/>
  <c r="N141" i="1" s="1"/>
  <c r="N141" i="2" s="1"/>
  <c r="I141" i="1"/>
  <c r="I141" i="2" s="1"/>
  <c r="B121" i="2"/>
  <c r="D121" i="2"/>
  <c r="F121" i="2"/>
  <c r="H121" i="2"/>
  <c r="K121" i="2"/>
  <c r="S121" i="2"/>
  <c r="B122" i="2"/>
  <c r="D122" i="2"/>
  <c r="F122" i="2"/>
  <c r="H122" i="2"/>
  <c r="K122" i="2"/>
  <c r="S122" i="2"/>
  <c r="B123" i="2"/>
  <c r="D123" i="2"/>
  <c r="F123" i="2"/>
  <c r="H123" i="2"/>
  <c r="K123" i="2"/>
  <c r="S123" i="2"/>
  <c r="B124" i="2"/>
  <c r="D124" i="2"/>
  <c r="F124" i="2"/>
  <c r="H124" i="2"/>
  <c r="K124" i="2"/>
  <c r="S124" i="2"/>
  <c r="B125" i="2"/>
  <c r="D125" i="2"/>
  <c r="F125" i="2"/>
  <c r="H125" i="2"/>
  <c r="K125" i="2"/>
  <c r="S125" i="2"/>
  <c r="B126" i="2"/>
  <c r="D126" i="2"/>
  <c r="F126" i="2"/>
  <c r="H126" i="2"/>
  <c r="K126" i="2"/>
  <c r="S126" i="2"/>
  <c r="B127" i="2"/>
  <c r="D127" i="2"/>
  <c r="F127" i="2"/>
  <c r="H127" i="2"/>
  <c r="K127" i="2"/>
  <c r="S127" i="2"/>
  <c r="B128" i="2"/>
  <c r="D128" i="2"/>
  <c r="F128" i="2"/>
  <c r="H128" i="2"/>
  <c r="K128" i="2"/>
  <c r="S128" i="2"/>
  <c r="B129" i="2"/>
  <c r="D129" i="2"/>
  <c r="F129" i="2"/>
  <c r="H129" i="2"/>
  <c r="K129" i="2"/>
  <c r="S129" i="2"/>
  <c r="B130" i="2"/>
  <c r="D130" i="2"/>
  <c r="F130" i="2"/>
  <c r="H130" i="2"/>
  <c r="K130" i="2"/>
  <c r="S130" i="2"/>
  <c r="B131" i="2"/>
  <c r="D131" i="2"/>
  <c r="F131" i="2"/>
  <c r="H131" i="2"/>
  <c r="K131" i="2"/>
  <c r="S131" i="2"/>
  <c r="B132" i="2"/>
  <c r="D132" i="2"/>
  <c r="F132" i="2"/>
  <c r="H132" i="2"/>
  <c r="K132" i="2"/>
  <c r="S132" i="2"/>
  <c r="B133" i="2"/>
  <c r="D133" i="2"/>
  <c r="F133" i="2"/>
  <c r="H133" i="2"/>
  <c r="K133" i="2"/>
  <c r="S133" i="2"/>
  <c r="B134" i="2"/>
  <c r="D134" i="2"/>
  <c r="F134" i="2"/>
  <c r="H134" i="2"/>
  <c r="K134" i="2"/>
  <c r="S134" i="2"/>
  <c r="B135" i="2"/>
  <c r="D135" i="2"/>
  <c r="F135" i="2"/>
  <c r="H135" i="2"/>
  <c r="K135" i="2"/>
  <c r="S135" i="2"/>
  <c r="B136" i="2"/>
  <c r="D136" i="2"/>
  <c r="F136" i="2"/>
  <c r="H136" i="2"/>
  <c r="K136" i="2"/>
  <c r="S136" i="2"/>
  <c r="B137" i="2"/>
  <c r="D137" i="2"/>
  <c r="F137" i="2"/>
  <c r="H137" i="2"/>
  <c r="K137" i="2"/>
  <c r="S137" i="2"/>
  <c r="B138" i="2"/>
  <c r="D138" i="2"/>
  <c r="F138" i="2"/>
  <c r="H138" i="2"/>
  <c r="K138" i="2"/>
  <c r="S138" i="2"/>
  <c r="B139" i="2"/>
  <c r="D139" i="2"/>
  <c r="F139" i="2"/>
  <c r="H139" i="2"/>
  <c r="K139" i="2"/>
  <c r="S139" i="2"/>
  <c r="B140" i="2"/>
  <c r="D140" i="2"/>
  <c r="F140" i="2"/>
  <c r="H140" i="2"/>
  <c r="K140" i="2"/>
  <c r="S140" i="2"/>
  <c r="B141" i="2"/>
  <c r="D141" i="2"/>
  <c r="F141" i="2"/>
  <c r="H141" i="2"/>
  <c r="K141" i="2"/>
  <c r="S141" i="2"/>
  <c r="M140" i="1"/>
  <c r="N140" i="1" s="1"/>
  <c r="N140" i="2" s="1"/>
  <c r="I140" i="1"/>
  <c r="I140" i="2" s="1"/>
  <c r="M139" i="1"/>
  <c r="N139" i="1" s="1"/>
  <c r="N139" i="2" s="1"/>
  <c r="I139" i="1"/>
  <c r="I139" i="2" s="1"/>
  <c r="M138" i="1"/>
  <c r="N138" i="1" s="1"/>
  <c r="N138" i="2" s="1"/>
  <c r="I138" i="1"/>
  <c r="I138" i="2" s="1"/>
  <c r="M137" i="1"/>
  <c r="N137" i="1" s="1"/>
  <c r="N137" i="2" s="1"/>
  <c r="I137" i="1"/>
  <c r="I137" i="2" s="1"/>
  <c r="M136" i="1"/>
  <c r="N136" i="1" s="1"/>
  <c r="N136" i="2" s="1"/>
  <c r="I136" i="1"/>
  <c r="I136" i="2" s="1"/>
  <c r="M135" i="1"/>
  <c r="N135" i="1" s="1"/>
  <c r="N135" i="2" s="1"/>
  <c r="I135" i="1"/>
  <c r="I135" i="2" s="1"/>
  <c r="M134" i="1"/>
  <c r="N134" i="1" s="1"/>
  <c r="N134" i="2" s="1"/>
  <c r="I134" i="1"/>
  <c r="I134" i="2" s="1"/>
  <c r="M133" i="1"/>
  <c r="N133" i="1" s="1"/>
  <c r="N133" i="2" s="1"/>
  <c r="I133" i="1"/>
  <c r="I133" i="2" s="1"/>
  <c r="M132" i="1"/>
  <c r="N132" i="1" s="1"/>
  <c r="N132" i="2" s="1"/>
  <c r="I132" i="1"/>
  <c r="I132" i="2" s="1"/>
  <c r="M131" i="1"/>
  <c r="N131" i="1" s="1"/>
  <c r="N131" i="2" s="1"/>
  <c r="I131" i="1"/>
  <c r="I131" i="2" s="1"/>
  <c r="M130" i="1"/>
  <c r="N130" i="1" s="1"/>
  <c r="N130" i="2" s="1"/>
  <c r="I130" i="1"/>
  <c r="I130" i="2" s="1"/>
  <c r="M129" i="1"/>
  <c r="N129" i="1" s="1"/>
  <c r="N129" i="2" s="1"/>
  <c r="I129" i="1"/>
  <c r="I129" i="2" s="1"/>
  <c r="M128" i="1"/>
  <c r="N128" i="1" s="1"/>
  <c r="N128" i="2" s="1"/>
  <c r="I128" i="1"/>
  <c r="I128" i="2" s="1"/>
  <c r="M127" i="1"/>
  <c r="N127" i="1" s="1"/>
  <c r="N127" i="2" s="1"/>
  <c r="I127" i="1"/>
  <c r="I127" i="2" s="1"/>
  <c r="M126" i="1"/>
  <c r="N126" i="1" s="1"/>
  <c r="N126" i="2" s="1"/>
  <c r="I126" i="1"/>
  <c r="I126" i="2" s="1"/>
  <c r="M125" i="1"/>
  <c r="N125" i="1" s="1"/>
  <c r="N125" i="2" s="1"/>
  <c r="I125" i="1"/>
  <c r="I125" i="2" s="1"/>
  <c r="M124" i="1"/>
  <c r="N124" i="1" s="1"/>
  <c r="N124" i="2" s="1"/>
  <c r="I124" i="1"/>
  <c r="I124" i="2" s="1"/>
  <c r="M123" i="1"/>
  <c r="N123" i="1" s="1"/>
  <c r="N123" i="2" s="1"/>
  <c r="I123" i="1"/>
  <c r="I123" i="2" s="1"/>
  <c r="M122" i="1"/>
  <c r="N122" i="1" s="1"/>
  <c r="N122" i="2" s="1"/>
  <c r="I122" i="1"/>
  <c r="I122" i="2" s="1"/>
  <c r="M121" i="1"/>
  <c r="N121" i="1" s="1"/>
  <c r="N121" i="2" s="1"/>
  <c r="I121" i="1"/>
  <c r="I121" i="2" s="1"/>
  <c r="S120" i="2"/>
  <c r="K120" i="2"/>
  <c r="H120" i="2"/>
  <c r="F120" i="2"/>
  <c r="D120" i="2"/>
  <c r="B120" i="2"/>
  <c r="S119" i="2"/>
  <c r="K119" i="2"/>
  <c r="H119" i="2"/>
  <c r="F119" i="2"/>
  <c r="D119" i="2"/>
  <c r="B119" i="2"/>
  <c r="S118" i="2"/>
  <c r="K118" i="2"/>
  <c r="H118" i="2"/>
  <c r="F118" i="2"/>
  <c r="D118" i="2"/>
  <c r="B118" i="2"/>
  <c r="S117" i="2"/>
  <c r="K117" i="2"/>
  <c r="H117" i="2"/>
  <c r="F117" i="2"/>
  <c r="D117" i="2"/>
  <c r="B117" i="2"/>
  <c r="S116" i="2"/>
  <c r="K116" i="2"/>
  <c r="H116" i="2"/>
  <c r="F116" i="2"/>
  <c r="D116" i="2"/>
  <c r="B116" i="2"/>
  <c r="S115" i="2"/>
  <c r="K115" i="2"/>
  <c r="H115" i="2"/>
  <c r="F115" i="2"/>
  <c r="D115" i="2"/>
  <c r="B115" i="2"/>
  <c r="S114" i="2"/>
  <c r="K114" i="2"/>
  <c r="H114" i="2"/>
  <c r="F114" i="2"/>
  <c r="D114" i="2"/>
  <c r="B114" i="2"/>
  <c r="S113" i="2"/>
  <c r="K113" i="2"/>
  <c r="H113" i="2"/>
  <c r="F113" i="2"/>
  <c r="D113" i="2"/>
  <c r="B113" i="2"/>
  <c r="S112" i="2"/>
  <c r="K112" i="2"/>
  <c r="H112" i="2"/>
  <c r="F112" i="2"/>
  <c r="D112" i="2"/>
  <c r="B112" i="2"/>
  <c r="S111" i="2"/>
  <c r="K111" i="2"/>
  <c r="H111" i="2"/>
  <c r="F111" i="2"/>
  <c r="D111" i="2"/>
  <c r="B111" i="2"/>
  <c r="S110" i="2"/>
  <c r="K110" i="2"/>
  <c r="H110" i="2"/>
  <c r="F110" i="2"/>
  <c r="D110" i="2"/>
  <c r="B110" i="2"/>
  <c r="S109" i="2"/>
  <c r="K109" i="2"/>
  <c r="H109" i="2"/>
  <c r="F109" i="2"/>
  <c r="D109" i="2"/>
  <c r="B109" i="2"/>
  <c r="S108" i="2"/>
  <c r="K108" i="2"/>
  <c r="H108" i="2"/>
  <c r="F108" i="2"/>
  <c r="D108" i="2"/>
  <c r="B108" i="2"/>
  <c r="S107" i="2"/>
  <c r="K107" i="2"/>
  <c r="H107" i="2"/>
  <c r="F107" i="2"/>
  <c r="D107" i="2"/>
  <c r="B107" i="2"/>
  <c r="S106" i="2"/>
  <c r="K106" i="2"/>
  <c r="H106" i="2"/>
  <c r="F106" i="2"/>
  <c r="D106" i="2"/>
  <c r="B106" i="2"/>
  <c r="S105" i="2"/>
  <c r="K105" i="2"/>
  <c r="H105" i="2"/>
  <c r="F105" i="2"/>
  <c r="D105" i="2"/>
  <c r="B105" i="2"/>
  <c r="S104" i="2"/>
  <c r="K104" i="2"/>
  <c r="H104" i="2"/>
  <c r="F104" i="2"/>
  <c r="D104" i="2"/>
  <c r="B104" i="2"/>
  <c r="S103" i="2"/>
  <c r="K103" i="2"/>
  <c r="H103" i="2"/>
  <c r="F103" i="2"/>
  <c r="D103" i="2"/>
  <c r="B103" i="2"/>
  <c r="S102" i="2"/>
  <c r="K102" i="2"/>
  <c r="H102" i="2"/>
  <c r="F102" i="2"/>
  <c r="D102" i="2"/>
  <c r="B102" i="2"/>
  <c r="S101" i="2"/>
  <c r="K101" i="2"/>
  <c r="H101" i="2"/>
  <c r="F101" i="2"/>
  <c r="D101" i="2"/>
  <c r="B101" i="2"/>
  <c r="M120" i="1"/>
  <c r="N120" i="1" s="1"/>
  <c r="N120" i="2" s="1"/>
  <c r="I120" i="1"/>
  <c r="I120" i="2" s="1"/>
  <c r="M119" i="1"/>
  <c r="N119" i="1" s="1"/>
  <c r="N119" i="2" s="1"/>
  <c r="I119" i="1"/>
  <c r="I119" i="2" s="1"/>
  <c r="M118" i="1"/>
  <c r="N118" i="1" s="1"/>
  <c r="N118" i="2" s="1"/>
  <c r="I118" i="1"/>
  <c r="I118" i="2" s="1"/>
  <c r="M117" i="1"/>
  <c r="N117" i="1" s="1"/>
  <c r="N117" i="2" s="1"/>
  <c r="I117" i="1"/>
  <c r="I117" i="2" s="1"/>
  <c r="M116" i="1"/>
  <c r="N116" i="1" s="1"/>
  <c r="N116" i="2" s="1"/>
  <c r="I116" i="1"/>
  <c r="I116" i="2" s="1"/>
  <c r="M115" i="1"/>
  <c r="N115" i="1" s="1"/>
  <c r="N115" i="2" s="1"/>
  <c r="I115" i="1"/>
  <c r="I115" i="2" s="1"/>
  <c r="M114" i="1"/>
  <c r="N114" i="1" s="1"/>
  <c r="N114" i="2" s="1"/>
  <c r="I114" i="1"/>
  <c r="I114" i="2" s="1"/>
  <c r="M113" i="1"/>
  <c r="N113" i="1" s="1"/>
  <c r="N113" i="2" s="1"/>
  <c r="I113" i="1"/>
  <c r="I113" i="2" s="1"/>
  <c r="M112" i="1"/>
  <c r="N112" i="1" s="1"/>
  <c r="N112" i="2" s="1"/>
  <c r="I112" i="1"/>
  <c r="I112" i="2" s="1"/>
  <c r="M111" i="1"/>
  <c r="N111" i="1" s="1"/>
  <c r="N111" i="2" s="1"/>
  <c r="I111" i="1"/>
  <c r="I111" i="2" s="1"/>
  <c r="M110" i="1"/>
  <c r="N110" i="1" s="1"/>
  <c r="N110" i="2" s="1"/>
  <c r="I110" i="1"/>
  <c r="I110" i="2" s="1"/>
  <c r="M109" i="1"/>
  <c r="N109" i="1" s="1"/>
  <c r="N109" i="2" s="1"/>
  <c r="I109" i="1"/>
  <c r="I109" i="2" s="1"/>
  <c r="M108" i="1"/>
  <c r="N108" i="1" s="1"/>
  <c r="N108" i="2" s="1"/>
  <c r="I108" i="1"/>
  <c r="I108" i="2" s="1"/>
  <c r="M107" i="1"/>
  <c r="N107" i="1" s="1"/>
  <c r="N107" i="2" s="1"/>
  <c r="I107" i="1"/>
  <c r="I107" i="2" s="1"/>
  <c r="M106" i="1"/>
  <c r="N106" i="1" s="1"/>
  <c r="N106" i="2" s="1"/>
  <c r="I106" i="1"/>
  <c r="I106" i="2" s="1"/>
  <c r="M105" i="1"/>
  <c r="N105" i="1" s="1"/>
  <c r="N105" i="2" s="1"/>
  <c r="I105" i="1"/>
  <c r="I105" i="2" s="1"/>
  <c r="M104" i="1"/>
  <c r="N104" i="1" s="1"/>
  <c r="N104" i="2" s="1"/>
  <c r="I104" i="1"/>
  <c r="I104" i="2" s="1"/>
  <c r="M103" i="1"/>
  <c r="N103" i="1" s="1"/>
  <c r="N103" i="2" s="1"/>
  <c r="I103" i="1"/>
  <c r="I103" i="2" s="1"/>
  <c r="M102" i="1"/>
  <c r="N102" i="1" s="1"/>
  <c r="N102" i="2" s="1"/>
  <c r="I102" i="1"/>
  <c r="I102" i="2" s="1"/>
  <c r="M101" i="1"/>
  <c r="N101" i="1" s="1"/>
  <c r="N101" i="2" s="1"/>
  <c r="I101" i="1"/>
  <c r="I101" i="2" s="1"/>
  <c r="S100" i="2"/>
  <c r="K100" i="2"/>
  <c r="H100" i="2"/>
  <c r="F100" i="2"/>
  <c r="D100" i="2"/>
  <c r="B100" i="2"/>
  <c r="S99" i="2"/>
  <c r="K99" i="2"/>
  <c r="H99" i="2"/>
  <c r="F99" i="2"/>
  <c r="D99" i="2"/>
  <c r="B99" i="2"/>
  <c r="S98" i="2"/>
  <c r="K98" i="2"/>
  <c r="H98" i="2"/>
  <c r="F98" i="2"/>
  <c r="D98" i="2"/>
  <c r="B98" i="2"/>
  <c r="S97" i="2"/>
  <c r="K97" i="2"/>
  <c r="H97" i="2"/>
  <c r="F97" i="2"/>
  <c r="D97" i="2"/>
  <c r="B97" i="2"/>
  <c r="S96" i="2"/>
  <c r="K96" i="2"/>
  <c r="H96" i="2"/>
  <c r="F96" i="2"/>
  <c r="D96" i="2"/>
  <c r="B96" i="2"/>
  <c r="S95" i="2"/>
  <c r="K95" i="2"/>
  <c r="H95" i="2"/>
  <c r="F95" i="2"/>
  <c r="D95" i="2"/>
  <c r="B95" i="2"/>
  <c r="S94" i="2"/>
  <c r="K94" i="2"/>
  <c r="H94" i="2"/>
  <c r="F94" i="2"/>
  <c r="D94" i="2"/>
  <c r="B94" i="2"/>
  <c r="S93" i="2"/>
  <c r="K93" i="2"/>
  <c r="H93" i="2"/>
  <c r="F93" i="2"/>
  <c r="D93" i="2"/>
  <c r="B93" i="2"/>
  <c r="S92" i="2"/>
  <c r="K92" i="2"/>
  <c r="H92" i="2"/>
  <c r="F92" i="2"/>
  <c r="D92" i="2"/>
  <c r="B92" i="2"/>
  <c r="S91" i="2"/>
  <c r="K91" i="2"/>
  <c r="H91" i="2"/>
  <c r="F91" i="2"/>
  <c r="D91" i="2"/>
  <c r="B91" i="2"/>
  <c r="M100" i="1"/>
  <c r="N100" i="1" s="1"/>
  <c r="N100" i="2" s="1"/>
  <c r="I100" i="1"/>
  <c r="I100" i="2" s="1"/>
  <c r="M99" i="1"/>
  <c r="N99" i="1" s="1"/>
  <c r="N99" i="2" s="1"/>
  <c r="I99" i="1"/>
  <c r="I99" i="2" s="1"/>
  <c r="M98" i="1"/>
  <c r="N98" i="1" s="1"/>
  <c r="N98" i="2" s="1"/>
  <c r="I98" i="1"/>
  <c r="I98" i="2" s="1"/>
  <c r="M97" i="1"/>
  <c r="N97" i="1" s="1"/>
  <c r="N97" i="2" s="1"/>
  <c r="I97" i="1"/>
  <c r="I97" i="2" s="1"/>
  <c r="M96" i="1"/>
  <c r="N96" i="1" s="1"/>
  <c r="N96" i="2" s="1"/>
  <c r="I96" i="1"/>
  <c r="I96" i="2" s="1"/>
  <c r="M95" i="1"/>
  <c r="N95" i="1" s="1"/>
  <c r="N95" i="2" s="1"/>
  <c r="I95" i="1"/>
  <c r="I95" i="2" s="1"/>
  <c r="M94" i="1"/>
  <c r="N94" i="1" s="1"/>
  <c r="N94" i="2" s="1"/>
  <c r="I94" i="1"/>
  <c r="I94" i="2" s="1"/>
  <c r="M93" i="1"/>
  <c r="N93" i="1" s="1"/>
  <c r="N93" i="2" s="1"/>
  <c r="I93" i="1"/>
  <c r="I93" i="2" s="1"/>
  <c r="M92" i="1"/>
  <c r="N92" i="1" s="1"/>
  <c r="N92" i="2" s="1"/>
  <c r="I92" i="1"/>
  <c r="I92" i="2" s="1"/>
  <c r="M91" i="1"/>
  <c r="N91" i="1" s="1"/>
  <c r="N91" i="2" s="1"/>
  <c r="I91" i="1"/>
  <c r="I91" i="2" s="1"/>
  <c r="S90" i="2" l="1"/>
  <c r="K90" i="2"/>
  <c r="H90" i="2"/>
  <c r="F90" i="2"/>
  <c r="D90" i="2"/>
  <c r="B90" i="2"/>
  <c r="S89" i="2"/>
  <c r="K89" i="2"/>
  <c r="H89" i="2"/>
  <c r="F89" i="2"/>
  <c r="D89" i="2"/>
  <c r="B89" i="2"/>
  <c r="S88" i="2"/>
  <c r="K88" i="2"/>
  <c r="H88" i="2"/>
  <c r="F88" i="2"/>
  <c r="D88" i="2"/>
  <c r="B88" i="2"/>
  <c r="S87" i="2"/>
  <c r="K87" i="2"/>
  <c r="H87" i="2"/>
  <c r="F87" i="2"/>
  <c r="D87" i="2"/>
  <c r="B87" i="2"/>
  <c r="S86" i="2"/>
  <c r="K86" i="2"/>
  <c r="H86" i="2"/>
  <c r="F86" i="2"/>
  <c r="D86" i="2"/>
  <c r="B86" i="2"/>
  <c r="S85" i="2"/>
  <c r="K85" i="2"/>
  <c r="H85" i="2"/>
  <c r="F85" i="2"/>
  <c r="D85" i="2"/>
  <c r="B85" i="2"/>
  <c r="S84" i="2"/>
  <c r="K84" i="2"/>
  <c r="H84" i="2"/>
  <c r="F84" i="2"/>
  <c r="D84" i="2"/>
  <c r="B84" i="2"/>
  <c r="M90" i="1"/>
  <c r="N90" i="1" s="1"/>
  <c r="N90" i="2" s="1"/>
  <c r="I90" i="1"/>
  <c r="I90" i="2" s="1"/>
  <c r="M89" i="1"/>
  <c r="N89" i="1" s="1"/>
  <c r="N89" i="2" s="1"/>
  <c r="I89" i="1"/>
  <c r="I89" i="2" s="1"/>
  <c r="M88" i="1"/>
  <c r="N88" i="1" s="1"/>
  <c r="N88" i="2" s="1"/>
  <c r="I88" i="1"/>
  <c r="I88" i="2" s="1"/>
  <c r="M87" i="1"/>
  <c r="N87" i="1" s="1"/>
  <c r="N87" i="2" s="1"/>
  <c r="I87" i="1"/>
  <c r="I87" i="2" s="1"/>
  <c r="M86" i="1"/>
  <c r="N86" i="1" s="1"/>
  <c r="N86" i="2" s="1"/>
  <c r="I86" i="1"/>
  <c r="I86" i="2" s="1"/>
  <c r="M85" i="1"/>
  <c r="N85" i="1" s="1"/>
  <c r="N85" i="2" s="1"/>
  <c r="I85" i="1"/>
  <c r="I85" i="2" s="1"/>
  <c r="M84" i="1"/>
  <c r="N84" i="1" s="1"/>
  <c r="N84" i="2" s="1"/>
  <c r="I84" i="1"/>
  <c r="I84" i="2" s="1"/>
  <c r="S83" i="2"/>
  <c r="K83" i="2"/>
  <c r="H83" i="2"/>
  <c r="F83" i="2"/>
  <c r="D83" i="2"/>
  <c r="B83" i="2"/>
  <c r="S82" i="2"/>
  <c r="K82" i="2"/>
  <c r="H82" i="2"/>
  <c r="F82" i="2"/>
  <c r="D82" i="2"/>
  <c r="B82" i="2"/>
  <c r="S81" i="2"/>
  <c r="K81" i="2"/>
  <c r="H81" i="2"/>
  <c r="F81" i="2"/>
  <c r="D81" i="2"/>
  <c r="B81" i="2"/>
  <c r="S80" i="2"/>
  <c r="K80" i="2"/>
  <c r="H80" i="2"/>
  <c r="F80" i="2"/>
  <c r="D80" i="2"/>
  <c r="B80" i="2"/>
  <c r="S79" i="2"/>
  <c r="K79" i="2"/>
  <c r="H79" i="2"/>
  <c r="F79" i="2"/>
  <c r="D79" i="2"/>
  <c r="B79" i="2"/>
  <c r="S78" i="2"/>
  <c r="K78" i="2"/>
  <c r="H78" i="2"/>
  <c r="F78" i="2"/>
  <c r="D78" i="2"/>
  <c r="B78" i="2"/>
  <c r="S77" i="2"/>
  <c r="K77" i="2"/>
  <c r="H77" i="2"/>
  <c r="F77" i="2"/>
  <c r="D77" i="2"/>
  <c r="B77" i="2"/>
  <c r="S76" i="2"/>
  <c r="K76" i="2"/>
  <c r="H76" i="2"/>
  <c r="F76" i="2"/>
  <c r="D76" i="2"/>
  <c r="B76" i="2"/>
  <c r="S75" i="2"/>
  <c r="K75" i="2"/>
  <c r="H75" i="2"/>
  <c r="F75" i="2"/>
  <c r="D75" i="2"/>
  <c r="B75" i="2"/>
  <c r="S74" i="2"/>
  <c r="K74" i="2"/>
  <c r="H74" i="2"/>
  <c r="F74" i="2"/>
  <c r="D74" i="2"/>
  <c r="B74" i="2"/>
  <c r="S73" i="2"/>
  <c r="K73" i="2"/>
  <c r="H73" i="2"/>
  <c r="F73" i="2"/>
  <c r="D73" i="2"/>
  <c r="B73" i="2"/>
  <c r="S72" i="2"/>
  <c r="K72" i="2"/>
  <c r="H72" i="2"/>
  <c r="F72" i="2"/>
  <c r="D72" i="2"/>
  <c r="B72" i="2"/>
  <c r="S71" i="2"/>
  <c r="K71" i="2"/>
  <c r="H71" i="2"/>
  <c r="F71" i="2"/>
  <c r="D71" i="2"/>
  <c r="B71" i="2"/>
  <c r="S70" i="2"/>
  <c r="K70" i="2"/>
  <c r="H70" i="2"/>
  <c r="F70" i="2"/>
  <c r="D70" i="2"/>
  <c r="B70" i="2"/>
  <c r="S69" i="2"/>
  <c r="K69" i="2"/>
  <c r="H69" i="2"/>
  <c r="F69" i="2"/>
  <c r="D69" i="2"/>
  <c r="B69" i="2"/>
  <c r="S68" i="2"/>
  <c r="K68" i="2"/>
  <c r="H68" i="2"/>
  <c r="F68" i="2"/>
  <c r="D68" i="2"/>
  <c r="B68" i="2"/>
  <c r="S67" i="2"/>
  <c r="K67" i="2"/>
  <c r="H67" i="2"/>
  <c r="F67" i="2"/>
  <c r="D67" i="2"/>
  <c r="B67" i="2"/>
  <c r="S66" i="2"/>
  <c r="K66" i="2"/>
  <c r="H66" i="2"/>
  <c r="F66" i="2"/>
  <c r="D66" i="2"/>
  <c r="B66" i="2"/>
  <c r="S65" i="2"/>
  <c r="K65" i="2"/>
  <c r="H65" i="2"/>
  <c r="F65" i="2"/>
  <c r="D65" i="2"/>
  <c r="B65" i="2"/>
  <c r="S64" i="2"/>
  <c r="K64" i="2"/>
  <c r="H64" i="2"/>
  <c r="F64" i="2"/>
  <c r="D64" i="2"/>
  <c r="B64" i="2"/>
  <c r="S63" i="2"/>
  <c r="K63" i="2"/>
  <c r="H63" i="2"/>
  <c r="F63" i="2"/>
  <c r="D63" i="2"/>
  <c r="B63" i="2"/>
  <c r="S62" i="2"/>
  <c r="K62" i="2"/>
  <c r="H62" i="2"/>
  <c r="F62" i="2"/>
  <c r="D62" i="2"/>
  <c r="B62" i="2"/>
  <c r="S61" i="2"/>
  <c r="K61" i="2"/>
  <c r="H61" i="2"/>
  <c r="F61" i="2"/>
  <c r="D61" i="2"/>
  <c r="B61" i="2"/>
  <c r="M83" i="1"/>
  <c r="N83" i="1" s="1"/>
  <c r="N83" i="2" s="1"/>
  <c r="I83" i="1"/>
  <c r="I83" i="2" s="1"/>
  <c r="M82" i="1"/>
  <c r="N82" i="1" s="1"/>
  <c r="N82" i="2" s="1"/>
  <c r="I82" i="1"/>
  <c r="I82" i="2" s="1"/>
  <c r="M81" i="1"/>
  <c r="N81" i="1" s="1"/>
  <c r="N81" i="2" s="1"/>
  <c r="I81" i="1"/>
  <c r="I81" i="2" s="1"/>
  <c r="M80" i="1"/>
  <c r="N80" i="1" s="1"/>
  <c r="N80" i="2" s="1"/>
  <c r="I80" i="1"/>
  <c r="I80" i="2" s="1"/>
  <c r="M79" i="1"/>
  <c r="N79" i="1" s="1"/>
  <c r="N79" i="2" s="1"/>
  <c r="I79" i="1"/>
  <c r="I79" i="2" s="1"/>
  <c r="M78" i="1"/>
  <c r="N78" i="1" s="1"/>
  <c r="N78" i="2" s="1"/>
  <c r="I78" i="1"/>
  <c r="I78" i="2" s="1"/>
  <c r="M77" i="1"/>
  <c r="N77" i="1" s="1"/>
  <c r="N77" i="2" s="1"/>
  <c r="I77" i="1"/>
  <c r="I77" i="2" s="1"/>
  <c r="M76" i="1"/>
  <c r="N76" i="1" s="1"/>
  <c r="N76" i="2" s="1"/>
  <c r="I76" i="1"/>
  <c r="I76" i="2" s="1"/>
  <c r="M75" i="1"/>
  <c r="N75" i="1" s="1"/>
  <c r="N75" i="2" s="1"/>
  <c r="I75" i="1"/>
  <c r="I75" i="2" s="1"/>
  <c r="M74" i="1"/>
  <c r="N74" i="1" s="1"/>
  <c r="N74" i="2" s="1"/>
  <c r="I74" i="1"/>
  <c r="I74" i="2" s="1"/>
  <c r="M73" i="1"/>
  <c r="N73" i="1" s="1"/>
  <c r="N73" i="2" s="1"/>
  <c r="I73" i="1"/>
  <c r="I73" i="2" s="1"/>
  <c r="M72" i="1"/>
  <c r="N72" i="1" s="1"/>
  <c r="N72" i="2" s="1"/>
  <c r="I72" i="1"/>
  <c r="I72" i="2" s="1"/>
  <c r="M71" i="1"/>
  <c r="N71" i="1" s="1"/>
  <c r="N71" i="2" s="1"/>
  <c r="I71" i="1"/>
  <c r="I71" i="2" s="1"/>
  <c r="M70" i="1"/>
  <c r="N70" i="1" s="1"/>
  <c r="N70" i="2" s="1"/>
  <c r="I70" i="1"/>
  <c r="I70" i="2" s="1"/>
  <c r="M69" i="1"/>
  <c r="N69" i="1" s="1"/>
  <c r="N69" i="2" s="1"/>
  <c r="I69" i="1"/>
  <c r="I69" i="2" s="1"/>
  <c r="M68" i="1"/>
  <c r="N68" i="1" s="1"/>
  <c r="N68" i="2" s="1"/>
  <c r="I68" i="1"/>
  <c r="I68" i="2" s="1"/>
  <c r="M67" i="1"/>
  <c r="N67" i="1" s="1"/>
  <c r="N67" i="2" s="1"/>
  <c r="I67" i="1"/>
  <c r="I67" i="2" s="1"/>
  <c r="M66" i="1"/>
  <c r="N66" i="1" s="1"/>
  <c r="N66" i="2" s="1"/>
  <c r="I66" i="1"/>
  <c r="I66" i="2" s="1"/>
  <c r="M65" i="1"/>
  <c r="N65" i="1" s="1"/>
  <c r="N65" i="2" s="1"/>
  <c r="I65" i="1"/>
  <c r="I65" i="2" s="1"/>
  <c r="M64" i="1"/>
  <c r="N64" i="1" s="1"/>
  <c r="N64" i="2" s="1"/>
  <c r="I64" i="1"/>
  <c r="I64" i="2" s="1"/>
  <c r="M63" i="1"/>
  <c r="N63" i="1" s="1"/>
  <c r="N63" i="2" s="1"/>
  <c r="I63" i="1"/>
  <c r="I63" i="2" s="1"/>
  <c r="M62" i="1"/>
  <c r="N62" i="1" s="1"/>
  <c r="N62" i="2" s="1"/>
  <c r="I62" i="1"/>
  <c r="I62" i="2" s="1"/>
  <c r="M61" i="1"/>
  <c r="N61" i="1" s="1"/>
  <c r="N61" i="2" s="1"/>
  <c r="I61" i="1"/>
  <c r="I61" i="2" s="1"/>
  <c r="B51" i="2"/>
  <c r="D51" i="2"/>
  <c r="F51" i="2"/>
  <c r="H51" i="2"/>
  <c r="K51" i="2"/>
  <c r="S51" i="2"/>
  <c r="B52" i="2"/>
  <c r="D52" i="2"/>
  <c r="F52" i="2"/>
  <c r="H52" i="2"/>
  <c r="K52" i="2"/>
  <c r="S52" i="2"/>
  <c r="B53" i="2"/>
  <c r="D53" i="2"/>
  <c r="F53" i="2"/>
  <c r="H53" i="2"/>
  <c r="K53" i="2"/>
  <c r="S53" i="2"/>
  <c r="B54" i="2"/>
  <c r="D54" i="2"/>
  <c r="F54" i="2"/>
  <c r="H54" i="2"/>
  <c r="K54" i="2"/>
  <c r="S54" i="2"/>
  <c r="B55" i="2"/>
  <c r="D55" i="2"/>
  <c r="F55" i="2"/>
  <c r="H55" i="2"/>
  <c r="K55" i="2"/>
  <c r="S55" i="2"/>
  <c r="B56" i="2"/>
  <c r="D56" i="2"/>
  <c r="F56" i="2"/>
  <c r="H56" i="2"/>
  <c r="K56" i="2"/>
  <c r="S56" i="2"/>
  <c r="B57" i="2"/>
  <c r="D57" i="2"/>
  <c r="F57" i="2"/>
  <c r="H57" i="2"/>
  <c r="K57" i="2"/>
  <c r="S57" i="2"/>
  <c r="B58" i="2"/>
  <c r="D58" i="2"/>
  <c r="F58" i="2"/>
  <c r="H58" i="2"/>
  <c r="K58" i="2"/>
  <c r="S58" i="2"/>
  <c r="B59" i="2"/>
  <c r="D59" i="2"/>
  <c r="F59" i="2"/>
  <c r="H59" i="2"/>
  <c r="K59" i="2"/>
  <c r="S59" i="2"/>
  <c r="B60" i="2"/>
  <c r="D60" i="2"/>
  <c r="F60" i="2"/>
  <c r="H60" i="2"/>
  <c r="K60" i="2"/>
  <c r="S60" i="2"/>
  <c r="I51" i="1"/>
  <c r="I51" i="2" s="1"/>
  <c r="M51" i="1"/>
  <c r="N51" i="1" s="1"/>
  <c r="N51" i="2" s="1"/>
  <c r="I52" i="1"/>
  <c r="I52" i="2" s="1"/>
  <c r="M52" i="1"/>
  <c r="N52" i="1" s="1"/>
  <c r="N52" i="2" s="1"/>
  <c r="I53" i="1"/>
  <c r="I53" i="2" s="1"/>
  <c r="M53" i="1"/>
  <c r="N53" i="1" s="1"/>
  <c r="N53" i="2" s="1"/>
  <c r="I54" i="1"/>
  <c r="I54" i="2" s="1"/>
  <c r="M54" i="1"/>
  <c r="N54" i="1" s="1"/>
  <c r="N54" i="2" s="1"/>
  <c r="I55" i="1"/>
  <c r="I55" i="2" s="1"/>
  <c r="M55" i="1"/>
  <c r="N55" i="1" s="1"/>
  <c r="N55" i="2" s="1"/>
  <c r="I56" i="1"/>
  <c r="I56" i="2" s="1"/>
  <c r="M56" i="1"/>
  <c r="N56" i="1" s="1"/>
  <c r="N56" i="2" s="1"/>
  <c r="I57" i="1"/>
  <c r="I57" i="2" s="1"/>
  <c r="M57" i="1"/>
  <c r="N57" i="1" s="1"/>
  <c r="N57" i="2" s="1"/>
  <c r="I58" i="1"/>
  <c r="I58" i="2" s="1"/>
  <c r="M58" i="1"/>
  <c r="N58" i="1" s="1"/>
  <c r="N58" i="2" s="1"/>
  <c r="I59" i="1"/>
  <c r="I59" i="2" s="1"/>
  <c r="M59" i="1"/>
  <c r="N59" i="1" s="1"/>
  <c r="N59" i="2" s="1"/>
  <c r="I60" i="1"/>
  <c r="I60" i="2" s="1"/>
  <c r="M60" i="1"/>
  <c r="N60" i="1" s="1"/>
  <c r="N60" i="2" s="1"/>
  <c r="S10" i="2" l="1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9" i="2"/>
  <c r="B11" i="2"/>
  <c r="B13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9" i="2"/>
  <c r="K11" i="2"/>
  <c r="K13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K9" i="2"/>
  <c r="H9" i="2"/>
  <c r="F9" i="2"/>
  <c r="D9" i="2"/>
  <c r="M50" i="1"/>
  <c r="N50" i="1" s="1"/>
  <c r="N50" i="2" s="1"/>
  <c r="I50" i="1"/>
  <c r="I50" i="2" s="1"/>
  <c r="M49" i="1"/>
  <c r="N49" i="1" s="1"/>
  <c r="N49" i="2" s="1"/>
  <c r="I49" i="1"/>
  <c r="I49" i="2" s="1"/>
  <c r="M48" i="1"/>
  <c r="N48" i="1" s="1"/>
  <c r="N48" i="2" s="1"/>
  <c r="I48" i="1"/>
  <c r="I48" i="2" s="1"/>
  <c r="M47" i="1"/>
  <c r="N47" i="1" s="1"/>
  <c r="N47" i="2" s="1"/>
  <c r="I47" i="1"/>
  <c r="I47" i="2" s="1"/>
  <c r="M46" i="1"/>
  <c r="N46" i="1" s="1"/>
  <c r="N46" i="2" s="1"/>
  <c r="I46" i="1"/>
  <c r="I46" i="2" s="1"/>
  <c r="M45" i="1"/>
  <c r="N45" i="1" s="1"/>
  <c r="N45" i="2" s="1"/>
  <c r="I45" i="1"/>
  <c r="I45" i="2" s="1"/>
  <c r="M44" i="1"/>
  <c r="N44" i="1" s="1"/>
  <c r="N44" i="2" s="1"/>
  <c r="I44" i="1"/>
  <c r="I44" i="2" s="1"/>
  <c r="M43" i="1"/>
  <c r="N43" i="1" s="1"/>
  <c r="N43" i="2" s="1"/>
  <c r="I43" i="1"/>
  <c r="I43" i="2" s="1"/>
  <c r="M42" i="1"/>
  <c r="N42" i="1" s="1"/>
  <c r="N42" i="2" s="1"/>
  <c r="I42" i="1"/>
  <c r="I42" i="2" s="1"/>
  <c r="M41" i="1"/>
  <c r="N41" i="1" s="1"/>
  <c r="N41" i="2" s="1"/>
  <c r="I41" i="1"/>
  <c r="I41" i="2" s="1"/>
  <c r="M40" i="1"/>
  <c r="N40" i="1" s="1"/>
  <c r="N40" i="2" s="1"/>
  <c r="I40" i="1"/>
  <c r="I40" i="2" s="1"/>
  <c r="M39" i="1"/>
  <c r="N39" i="1" s="1"/>
  <c r="N39" i="2" s="1"/>
  <c r="I39" i="1"/>
  <c r="I39" i="2" s="1"/>
  <c r="M38" i="1"/>
  <c r="N38" i="1" s="1"/>
  <c r="N38" i="2" s="1"/>
  <c r="I38" i="1"/>
  <c r="I38" i="2" s="1"/>
  <c r="M37" i="1"/>
  <c r="N37" i="1" s="1"/>
  <c r="N37" i="2" s="1"/>
  <c r="I37" i="1"/>
  <c r="I37" i="2" s="1"/>
  <c r="M36" i="1"/>
  <c r="N36" i="1" s="1"/>
  <c r="N36" i="2" s="1"/>
  <c r="I36" i="1"/>
  <c r="I36" i="2" s="1"/>
  <c r="M35" i="1"/>
  <c r="N35" i="1" s="1"/>
  <c r="N35" i="2" s="1"/>
  <c r="I35" i="1"/>
  <c r="I35" i="2" s="1"/>
  <c r="M34" i="1"/>
  <c r="N34" i="1" s="1"/>
  <c r="N34" i="2" s="1"/>
  <c r="I34" i="1"/>
  <c r="I34" i="2" s="1"/>
  <c r="M33" i="1"/>
  <c r="N33" i="1" s="1"/>
  <c r="N33" i="2" s="1"/>
  <c r="I33" i="1"/>
  <c r="I33" i="2" s="1"/>
  <c r="M32" i="1"/>
  <c r="N32" i="1" s="1"/>
  <c r="N32" i="2" s="1"/>
  <c r="I32" i="1"/>
  <c r="I32" i="2" s="1"/>
  <c r="M31" i="1"/>
  <c r="N31" i="1" s="1"/>
  <c r="N31" i="2" s="1"/>
  <c r="I31" i="1"/>
  <c r="I31" i="2" s="1"/>
  <c r="F16" i="1"/>
  <c r="M30" i="1" l="1"/>
  <c r="N30" i="1" s="1"/>
  <c r="N30" i="2" s="1"/>
  <c r="I30" i="1"/>
  <c r="I30" i="2" s="1"/>
  <c r="M29" i="1"/>
  <c r="N29" i="1" s="1"/>
  <c r="N29" i="2" s="1"/>
  <c r="I29" i="1"/>
  <c r="I29" i="2" s="1"/>
  <c r="M28" i="1"/>
  <c r="N28" i="1" s="1"/>
  <c r="N28" i="2" s="1"/>
  <c r="I28" i="1"/>
  <c r="I28" i="2" s="1"/>
  <c r="M27" i="1"/>
  <c r="N27" i="1" s="1"/>
  <c r="N27" i="2" s="1"/>
  <c r="I27" i="1"/>
  <c r="I27" i="2" s="1"/>
  <c r="M26" i="1"/>
  <c r="N26" i="1" s="1"/>
  <c r="N26" i="2" s="1"/>
  <c r="I26" i="1"/>
  <c r="I26" i="2" s="1"/>
  <c r="M25" i="1"/>
  <c r="N25" i="1" s="1"/>
  <c r="N25" i="2" s="1"/>
  <c r="I25" i="1"/>
  <c r="I25" i="2" s="1"/>
  <c r="M24" i="1"/>
  <c r="N24" i="1" s="1"/>
  <c r="N24" i="2" s="1"/>
  <c r="I24" i="1"/>
  <c r="I24" i="2" s="1"/>
  <c r="M23" i="1"/>
  <c r="N23" i="1" s="1"/>
  <c r="N23" i="2" s="1"/>
  <c r="I23" i="1"/>
  <c r="I23" i="2" s="1"/>
  <c r="M22" i="1"/>
  <c r="N22" i="1" s="1"/>
  <c r="N22" i="2" s="1"/>
  <c r="I22" i="1"/>
  <c r="I22" i="2" s="1"/>
  <c r="M9" i="1"/>
  <c r="N9" i="1" s="1"/>
  <c r="N9" i="2" s="1"/>
  <c r="I9" i="1"/>
  <c r="I9" i="2" s="1"/>
  <c r="M21" i="1"/>
  <c r="N21" i="1" s="1"/>
  <c r="N21" i="2" s="1"/>
  <c r="I21" i="1"/>
  <c r="I21" i="2" s="1"/>
  <c r="M20" i="1"/>
  <c r="N20" i="1" s="1"/>
  <c r="N20" i="2" s="1"/>
  <c r="I20" i="1"/>
  <c r="I20" i="2" s="1"/>
  <c r="M19" i="1"/>
  <c r="N19" i="1" s="1"/>
  <c r="N19" i="2" s="1"/>
  <c r="I19" i="1"/>
  <c r="I19" i="2" s="1"/>
  <c r="M18" i="1"/>
  <c r="N18" i="1" s="1"/>
  <c r="N18" i="2" s="1"/>
  <c r="I18" i="1"/>
  <c r="I18" i="2" s="1"/>
  <c r="M17" i="1"/>
  <c r="N17" i="1" s="1"/>
  <c r="N17" i="2" s="1"/>
  <c r="I17" i="1"/>
  <c r="I17" i="2" s="1"/>
  <c r="M16" i="1"/>
  <c r="N16" i="1" s="1"/>
  <c r="N16" i="2" s="1"/>
  <c r="I16" i="1"/>
  <c r="I16" i="2" s="1"/>
  <c r="M15" i="1"/>
  <c r="N15" i="1" s="1"/>
  <c r="N15" i="2" s="1"/>
  <c r="I15" i="1"/>
  <c r="I15" i="2" s="1"/>
  <c r="M14" i="1"/>
  <c r="N14" i="1" s="1"/>
  <c r="N14" i="2" s="1"/>
  <c r="I14" i="1"/>
  <c r="I14" i="2" s="1"/>
  <c r="M13" i="1"/>
  <c r="N13" i="1" s="1"/>
  <c r="N13" i="2" s="1"/>
  <c r="I13" i="1"/>
  <c r="I13" i="2" s="1"/>
  <c r="M12" i="1"/>
  <c r="N12" i="1" s="1"/>
  <c r="N12" i="2" s="1"/>
  <c r="I12" i="1"/>
  <c r="I12" i="2" s="1"/>
  <c r="M11" i="1"/>
  <c r="N11" i="1" s="1"/>
  <c r="N11" i="2" s="1"/>
  <c r="I11" i="1"/>
  <c r="I11" i="2" s="1"/>
  <c r="M10" i="1"/>
  <c r="N10" i="1" s="1"/>
  <c r="N10" i="2" s="1"/>
  <c r="I10" i="1"/>
  <c r="I10" i="2" s="1"/>
</calcChain>
</file>

<file path=xl/comments1.xml><?xml version="1.0" encoding="utf-8"?>
<comments xmlns="http://schemas.openxmlformats.org/spreadsheetml/2006/main">
  <authors>
    <author>Author</author>
  </authors>
  <commentList>
    <comment ref="F12" authorId="0" shapeId="0">
      <text>
        <r>
          <rPr>
            <b/>
            <sz val="9"/>
            <color indexed="81"/>
            <rFont val="Tahoma"/>
            <family val="2"/>
          </rPr>
          <t>somnathk : Revised Qty as per dispatch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somnathk : Revised Qty as per dispatch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somnath : Repeat order! what should I do? Inform me by mail or over the phone. Order will be raised after your confirmation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R18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6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7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8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9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0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6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7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5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4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5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6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7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8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0" authorId="0" shapeId="0">
      <text>
        <r>
          <rPr>
            <b/>
            <sz val="9"/>
            <color indexed="81"/>
            <rFont val="Tahoma"/>
            <family val="2"/>
          </rPr>
          <t>somnath: CD 5%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9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80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81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8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52" authorId="0" shapeId="0">
      <text>
        <r>
          <rPr>
            <b/>
            <sz val="9"/>
            <color indexed="81"/>
            <rFont val="Tahoma"/>
            <family val="2"/>
          </rPr>
          <t>somnathk: This PO has been raised cause of same material are not supplied by Sapiences Agribusiness.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4" authorId="0" shapeId="0">
      <text>
        <r>
          <rPr>
            <b/>
            <sz val="9"/>
            <color indexed="81"/>
            <rFont val="Tahoma"/>
            <family val="2"/>
          </rPr>
          <t>somnathk : Additional 1Bag (25Kg) as free goods i.e Total 11 Bags (275 Kg)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4" authorId="0" shapeId="0">
      <text>
        <r>
          <rPr>
            <b/>
            <sz val="9"/>
            <color indexed="81"/>
            <rFont val="Tahoma"/>
            <family val="2"/>
          </rPr>
          <t>somnathk : This order has been cancelled as per instruction of Dr N K Praharaj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7" authorId="0" shapeId="0">
      <text>
        <r>
          <rPr>
            <b/>
            <sz val="9"/>
            <color indexed="81"/>
            <rFont val="Tahoma"/>
            <family val="2"/>
          </rPr>
          <t>somnathk : Additional 13% as free goods i.e. Total 565 Kg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11" authorId="0" shapeId="0">
      <text>
        <r>
          <rPr>
            <b/>
            <sz val="9"/>
            <color indexed="81"/>
            <rFont val="Tahoma"/>
            <family val="2"/>
          </rPr>
          <t>somnathk : Additional 1Bag (25Kg) as free goods i.e Total 11 Bags (275 Kg)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Q1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8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" authorId="0" shapeId="0">
      <text>
        <r>
          <rPr>
            <b/>
            <sz val="9"/>
            <color indexed="81"/>
            <rFont val="Tahoma"/>
            <family val="2"/>
          </rPr>
          <t>somnath: CD 5%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2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7" authorId="0" shapeId="0">
      <text>
        <r>
          <rPr>
            <b/>
            <sz val="9"/>
            <color indexed="81"/>
            <rFont val="Tahoma"/>
            <family val="2"/>
          </rPr>
          <t>somnath: CD 5%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3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4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81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9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1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1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1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34" authorId="0" shapeId="0">
      <text>
        <r>
          <rPr>
            <b/>
            <sz val="9"/>
            <color indexed="81"/>
            <rFont val="Tahoma"/>
            <family val="2"/>
          </rPr>
          <t>somnath: CD 5%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37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3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5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8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8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8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8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8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9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9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9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0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0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0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08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3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3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3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3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68" authorId="0" shapeId="0">
      <text>
        <r>
          <rPr>
            <b/>
            <sz val="9"/>
            <color indexed="81"/>
            <rFont val="Tahoma"/>
            <family val="2"/>
          </rPr>
          <t>somnath: CD 4%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7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6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7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9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0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2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3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4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5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8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invoice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11" authorId="0" shapeId="0">
      <text>
        <r>
          <rPr>
            <b/>
            <sz val="9"/>
            <color indexed="81"/>
            <rFont val="Tahoma"/>
            <family val="2"/>
          </rPr>
          <t>somnath: CD 3% applicable in case of payment within 7 days from date of delivery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21" authorId="0" shapeId="0">
      <text>
        <r>
          <rPr>
            <b/>
            <sz val="9"/>
            <color indexed="81"/>
            <rFont val="Tahoma"/>
            <family val="2"/>
          </rPr>
          <t>somnathk : Additional 1Bag (25Kg) as free goods i.e Total 11 Bags (275 Kg)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4" authorId="0" shapeId="0">
      <text>
        <r>
          <rPr>
            <b/>
            <sz val="9"/>
            <color indexed="81"/>
            <rFont val="Tahoma"/>
            <family val="2"/>
          </rPr>
          <t>somnathk : Supplier will provide CD @ 90/- Kg for this product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6" authorId="0" shapeId="0">
      <text>
        <r>
          <rPr>
            <b/>
            <sz val="9"/>
            <color indexed="81"/>
            <rFont val="Tahoma"/>
            <family val="2"/>
          </rPr>
          <t>somnathk : 13% free materials with order materials i.e 91 Kgs free goods will provide by supplier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1" authorId="0" shapeId="0">
      <text>
        <r>
          <rPr>
            <b/>
            <sz val="9"/>
            <color indexed="81"/>
            <rFont val="Tahoma"/>
            <family val="2"/>
          </rPr>
          <t>somnathk : Price revision as on Aug'24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3" authorId="0" shapeId="0">
      <text>
        <r>
          <rPr>
            <b/>
            <sz val="9"/>
            <color indexed="81"/>
            <rFont val="Tahoma"/>
            <family val="2"/>
          </rPr>
          <t>somnathk : 13% free materials with order materials i.e 91 Kgs free goods will provide by supplier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5" authorId="0" shapeId="0">
      <text>
        <r>
          <rPr>
            <b/>
            <sz val="9"/>
            <color indexed="81"/>
            <rFont val="Tahoma"/>
            <family val="2"/>
          </rPr>
          <t>somnathk : Additional 1Bag (25Kg) as free goods i.e Total 11 Bags (275 Kg)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6" authorId="0" shapeId="0">
      <text>
        <r>
          <rPr>
            <b/>
            <sz val="9"/>
            <color indexed="81"/>
            <rFont val="Tahoma"/>
            <family val="2"/>
          </rPr>
          <t>somnath : 300 Kg free goods with order materials i.e Total 1400 Kg as per verbal terms and condition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2" authorId="0" shapeId="0">
      <text>
        <r>
          <rPr>
            <b/>
            <sz val="9"/>
            <color indexed="81"/>
            <rFont val="Tahoma"/>
            <family val="2"/>
          </rPr>
          <t>somnathk : 13% free materials with order materials i.e 65 Kgs free goods will provide by supplier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<sst xmlns="http://schemas.openxmlformats.org/spreadsheetml/2006/main" count="4585" uniqueCount="1243">
  <si>
    <t>INDENT</t>
  </si>
  <si>
    <t xml:space="preserve">DATE OF INDENT </t>
  </si>
  <si>
    <t>NAME OF ITEM</t>
  </si>
  <si>
    <t>REQUIRE  QTY</t>
  </si>
  <si>
    <t>UOM</t>
  </si>
  <si>
    <t>PACK SIZE</t>
  </si>
  <si>
    <t>OREDR QTY</t>
  </si>
  <si>
    <t>PRICE</t>
  </si>
  <si>
    <t>GST %</t>
  </si>
  <si>
    <t>GST Crgs</t>
  </si>
  <si>
    <t>PO RAISED ON</t>
  </si>
  <si>
    <t>PO DATE / NO</t>
  </si>
  <si>
    <t>NAME OF SUPPLIER</t>
  </si>
  <si>
    <t>PO / NBF /</t>
  </si>
  <si>
    <t>NARAENDRA BREEDING FARMS</t>
  </si>
  <si>
    <t>NBF</t>
  </si>
  <si>
    <t>N A</t>
  </si>
  <si>
    <t>FLYVIN</t>
  </si>
  <si>
    <t>Kg</t>
  </si>
  <si>
    <t>We Care Animal Health</t>
  </si>
  <si>
    <t>PO / NBF / 300822/ 01</t>
  </si>
  <si>
    <t>DLM</t>
  </si>
  <si>
    <t>ENRA GUARD</t>
  </si>
  <si>
    <t>BREEDER VITAMIN PREMIX-HYD</t>
  </si>
  <si>
    <t>Supplied from Hitech Kolkata</t>
  </si>
  <si>
    <t>PO / NBF / 060922 / 01</t>
  </si>
  <si>
    <t>Avitech Nutrition Pvt Ltd</t>
  </si>
  <si>
    <t>PO / NBF / 060922 / 02</t>
  </si>
  <si>
    <t>Das Drug Centre, Habra</t>
  </si>
  <si>
    <t>PO / NBF / 060922 / 03</t>
  </si>
  <si>
    <t>Stats Speciality Products</t>
  </si>
  <si>
    <t>NET PRICE</t>
  </si>
  <si>
    <r>
      <t xml:space="preserve">KOLIN-PLUS instead of </t>
    </r>
    <r>
      <rPr>
        <b/>
        <sz val="10"/>
        <color rgb="FF800000"/>
        <rFont val="Arial Narrow"/>
        <family val="2"/>
      </rPr>
      <t>BIOCHOLINE</t>
    </r>
  </si>
  <si>
    <t xml:space="preserve">KEMZYME - XPF </t>
  </si>
  <si>
    <t>ORDER DETAILS AS PER INDENT OF NARAENDRA BREEDING FARMS</t>
  </si>
  <si>
    <t>SELCON FORTE</t>
  </si>
  <si>
    <t>OVASTIM</t>
  </si>
  <si>
    <t>PO / NBF / 140922 / 03</t>
  </si>
  <si>
    <t>PO / NBF / 140922 / 01</t>
  </si>
  <si>
    <t>PO / NBF / 140922 / 02</t>
  </si>
  <si>
    <t>Zeus Biotech Pvt Ltd</t>
  </si>
  <si>
    <t>Izda Health Care</t>
  </si>
  <si>
    <t xml:space="preserve">Not done due to Repeat order </t>
  </si>
  <si>
    <t>VOLAMEL</t>
  </si>
  <si>
    <t>PO / NBF / 220922 / 01</t>
  </si>
  <si>
    <t>APC Nutrients Limited</t>
  </si>
  <si>
    <t>STODI</t>
  </si>
  <si>
    <t>PO / NBF / 220922 / 02</t>
  </si>
  <si>
    <t>PO / NBF / 220922 / 03</t>
  </si>
  <si>
    <t>Tara Enterprises, Hyderabad</t>
  </si>
  <si>
    <t xml:space="preserve">HIPRAVIHAR CLON H-120 </t>
  </si>
  <si>
    <t>Dose</t>
  </si>
  <si>
    <t>ML</t>
  </si>
  <si>
    <t>PO / NBF / 230922 / 01</t>
  </si>
  <si>
    <t xml:space="preserve">ALKAKARB (Sodi Bicarb) </t>
  </si>
  <si>
    <t>KAMRAKSHA PLUS</t>
  </si>
  <si>
    <t>Ltr</t>
  </si>
  <si>
    <t>PO / NBF / 260922 / 01</t>
  </si>
  <si>
    <t>ABP Enterprises</t>
  </si>
  <si>
    <t>PO / NBF / 260922 / 02</t>
  </si>
  <si>
    <t>AMBIPLEX</t>
  </si>
  <si>
    <t>URIMIN INJECTION</t>
  </si>
  <si>
    <t>PO / NBF / 260922 / 03</t>
  </si>
  <si>
    <t>AQUAMAX</t>
  </si>
  <si>
    <t>B- 904</t>
  </si>
  <si>
    <t>BIO BUSTER PLUS</t>
  </si>
  <si>
    <t>Gms</t>
  </si>
  <si>
    <t>PO / NBF / 260922 / 04</t>
  </si>
  <si>
    <t>B V Biocrop - Hitech Division</t>
  </si>
  <si>
    <t>BIOPLEX POULTRY PAK</t>
  </si>
  <si>
    <t>TOXFIN - 365</t>
  </si>
  <si>
    <t>MONO CALCIUM PHOSPHATE</t>
  </si>
  <si>
    <t>PO / NBF / 171022 / 01</t>
  </si>
  <si>
    <t>PO / NBF / 171022 / 02</t>
  </si>
  <si>
    <t>Alltech Biotechnology Pvt Ltd</t>
  </si>
  <si>
    <t>Supplied IMPORTED Materials</t>
  </si>
  <si>
    <t xml:space="preserve">D E T A I L S   A B O U T   I T E M </t>
  </si>
  <si>
    <t xml:space="preserve">D E T A I L S   A B O U T   P U R C H A S E   O R D E R </t>
  </si>
  <si>
    <t>D E T A I L S   A B O U T   P R I C E</t>
  </si>
  <si>
    <t>HITECH BREEDING FARMS</t>
  </si>
  <si>
    <t xml:space="preserve">D E T A I L S  A B O U T  I T E M </t>
  </si>
  <si>
    <t>D E T A I L S  A B O U T  O R D E R</t>
  </si>
  <si>
    <t xml:space="preserve">D E T A I L S   A B O U T   P A Y M E N T </t>
  </si>
  <si>
    <t>PURCHASE ORDER DATE</t>
  </si>
  <si>
    <t>ITEM DESCRIPTION</t>
  </si>
  <si>
    <t>PO DATE &amp; PO NO</t>
  </si>
  <si>
    <t>Payable Amount</t>
  </si>
  <si>
    <t>GRN DATE</t>
  </si>
  <si>
    <t>GRN NO</t>
  </si>
  <si>
    <t>CR LIMIT</t>
  </si>
  <si>
    <t>PAYMENT SCHEDULE</t>
  </si>
  <si>
    <t>DATE OF PAYMENT</t>
  </si>
  <si>
    <t>PAYMENT AMOUNT</t>
  </si>
  <si>
    <t>mm/dd/yy</t>
  </si>
  <si>
    <t>P K Das</t>
  </si>
  <si>
    <t>Order has been cancelled</t>
  </si>
  <si>
    <t>TOXO - XL</t>
  </si>
  <si>
    <t>PO / NBF / 221022 / 01</t>
  </si>
  <si>
    <t>Trouw Nutrition India Pvt Ltd</t>
  </si>
  <si>
    <t>FORLUTIN - 10%</t>
  </si>
  <si>
    <t>PO / NBF / 261022 / 01</t>
  </si>
  <si>
    <t>Stallen South Asia Pvt Ltd</t>
  </si>
  <si>
    <t>TILMOVET</t>
  </si>
  <si>
    <t>PO / NBF / 021122 / 01</t>
  </si>
  <si>
    <t xml:space="preserve">Huvephatrma Sea Pune </t>
  </si>
  <si>
    <t>SANEXT POWDER</t>
  </si>
  <si>
    <t>PO / NBF / 021122 / 02</t>
  </si>
  <si>
    <t>Healers Associates</t>
  </si>
  <si>
    <r>
      <t>BV CLO-2 (</t>
    </r>
    <r>
      <rPr>
        <b/>
        <sz val="10"/>
        <color rgb="FF800000"/>
        <rFont val="Arial Narrow"/>
        <family val="2"/>
      </rPr>
      <t>10 Gms</t>
    </r>
    <r>
      <rPr>
        <b/>
        <sz val="10"/>
        <color theme="1"/>
        <rFont val="Arial Narrow"/>
        <family val="2"/>
      </rPr>
      <t>)</t>
    </r>
  </si>
  <si>
    <t>Pcs</t>
  </si>
  <si>
    <t>AMO PREMIX</t>
  </si>
  <si>
    <t>ELIMIN - 8</t>
  </si>
  <si>
    <t>PO / NBF / 021122 / 03</t>
  </si>
  <si>
    <t>PO / NBF / 021122 / 04</t>
  </si>
  <si>
    <t>Venkys India - AHP Division</t>
  </si>
  <si>
    <t>BRONCHIN KILLED VACCINE</t>
  </si>
  <si>
    <t>PO / NBF / 031122 / 01</t>
  </si>
  <si>
    <t>Crescent Marketing, Hyderabad</t>
  </si>
  <si>
    <t>KAYSOL FORTE</t>
  </si>
  <si>
    <t>VVAANDOX</t>
  </si>
  <si>
    <t>PO / NBF / 031122 / 02</t>
  </si>
  <si>
    <t>IB MA-5 LIVE Vaccine</t>
  </si>
  <si>
    <t xml:space="preserve">INACTIVATED EDS </t>
  </si>
  <si>
    <t>PO / NBF / 031122 / 03</t>
  </si>
  <si>
    <t>Hester Biosciences Limited</t>
  </si>
  <si>
    <r>
      <t>ILT LIVE (</t>
    </r>
    <r>
      <rPr>
        <b/>
        <sz val="10"/>
        <color rgb="FF800000"/>
        <rFont val="Arial Narrow"/>
        <family val="2"/>
      </rPr>
      <t>GI-10000</t>
    </r>
    <r>
      <rPr>
        <b/>
        <sz val="10"/>
        <color theme="1"/>
        <rFont val="Arial Narrow"/>
        <family val="2"/>
      </rPr>
      <t>)</t>
    </r>
  </si>
  <si>
    <r>
      <t>INACTIVATED ND (</t>
    </r>
    <r>
      <rPr>
        <b/>
        <sz val="10"/>
        <color rgb="FF800000"/>
        <rFont val="Arial Narrow"/>
        <family val="2"/>
      </rPr>
      <t>LPAI</t>
    </r>
    <r>
      <rPr>
        <b/>
        <sz val="10"/>
        <color theme="1"/>
        <rFont val="Arial Narrow"/>
        <family val="2"/>
      </rPr>
      <t>)</t>
    </r>
  </si>
  <si>
    <r>
      <t>INACTIVATED ND (</t>
    </r>
    <r>
      <rPr>
        <b/>
        <sz val="10"/>
        <color rgb="FF800000"/>
        <rFont val="Arial Narrow"/>
        <family val="2"/>
      </rPr>
      <t>HPAI</t>
    </r>
    <r>
      <rPr>
        <b/>
        <sz val="10"/>
        <color theme="1"/>
        <rFont val="Arial Narrow"/>
        <family val="2"/>
      </rPr>
      <t>)</t>
    </r>
  </si>
  <si>
    <t>PO / NBF / 031122 / 04</t>
  </si>
  <si>
    <t xml:space="preserve">HIPRAVIHAR Clone-79 </t>
  </si>
  <si>
    <t>HIPRAVIHAR Clon H-120</t>
  </si>
  <si>
    <t xml:space="preserve">MD HVT+SB-1 Live Vaccine </t>
  </si>
  <si>
    <t xml:space="preserve">ND Lasota Live Vaccine </t>
  </si>
  <si>
    <t xml:space="preserve">IBD Intermediata Std Live Vac. </t>
  </si>
  <si>
    <t xml:space="preserve">IB H-120 Live Vaccine </t>
  </si>
  <si>
    <t xml:space="preserve">IBD Intermediata Plus Live Vac. </t>
  </si>
  <si>
    <t>Fowl Pox Live Vacccine</t>
  </si>
  <si>
    <t xml:space="preserve">IB Mass Type Live Vaccine </t>
  </si>
  <si>
    <t>PO / NBF / 031122 / 05</t>
  </si>
  <si>
    <t>Venkateshwara Hatcheries</t>
  </si>
  <si>
    <t xml:space="preserve">IBH KILLED VAC </t>
  </si>
  <si>
    <t xml:space="preserve">ND VISA-15 KILLED VAC </t>
  </si>
  <si>
    <t xml:space="preserve">REO KILLED VAC </t>
  </si>
  <si>
    <t xml:space="preserve">SALMONELLA KILLED VAC </t>
  </si>
  <si>
    <t xml:space="preserve">AE KILLED VAC </t>
  </si>
  <si>
    <t xml:space="preserve">MG KILLED VAC </t>
  </si>
  <si>
    <t xml:space="preserve">ND + IBD KILLED VAC </t>
  </si>
  <si>
    <t xml:space="preserve">IBD KILLED VAC </t>
  </si>
  <si>
    <r>
      <t>VH F1C7 (</t>
    </r>
    <r>
      <rPr>
        <b/>
        <sz val="10"/>
        <color rgb="FF800000"/>
        <rFont val="Arial Narrow"/>
        <family val="2"/>
      </rPr>
      <t>FC+IC</t>
    </r>
    <r>
      <rPr>
        <b/>
        <sz val="10"/>
        <color theme="1"/>
        <rFont val="Arial Narrow"/>
        <family val="2"/>
      </rPr>
      <t xml:space="preserve">) KILLED VAC </t>
    </r>
  </si>
  <si>
    <r>
      <t>VH V- 4K (</t>
    </r>
    <r>
      <rPr>
        <b/>
        <sz val="10"/>
        <color rgb="FF800000"/>
        <rFont val="Arial Narrow"/>
        <family val="2"/>
      </rPr>
      <t>4 Wa</t>
    </r>
    <r>
      <rPr>
        <b/>
        <sz val="10"/>
        <color theme="1"/>
        <rFont val="Arial Narrow"/>
        <family val="2"/>
      </rPr>
      <t xml:space="preserve">y) KILLED VAC </t>
    </r>
  </si>
  <si>
    <t>PO / NBF / 031122 / 06</t>
  </si>
  <si>
    <t>KEMZYME - XPF</t>
  </si>
  <si>
    <t>CITRINAL</t>
  </si>
  <si>
    <t>PO / NBF / 091122 / 01</t>
  </si>
  <si>
    <t>Alivira Animal Heaith Ltd</t>
  </si>
  <si>
    <t>HEPATOCARE PREMIX</t>
  </si>
  <si>
    <t>PO / NBF / 091122 / 02</t>
  </si>
  <si>
    <t>PO / NBF / 091122 / 03</t>
  </si>
  <si>
    <t>PO / NBF / 091122 / 04</t>
  </si>
  <si>
    <t>PO / NBF / 091122 / 05</t>
  </si>
  <si>
    <t>Varsha Multitech, Bangalore</t>
  </si>
  <si>
    <t>Instead of Hester</t>
  </si>
  <si>
    <t>PO / NBF / 141122 / 01</t>
  </si>
  <si>
    <t>Venkateshwara Marketing</t>
  </si>
  <si>
    <t>SALCOCHEK</t>
  </si>
  <si>
    <t>PO / NBF / 211122 / 01</t>
  </si>
  <si>
    <t>Sai Kiran Medical Agencies</t>
  </si>
  <si>
    <t>BV CLO-2 (10 Gms)</t>
  </si>
  <si>
    <t>PO / NBF / 031222 / 01</t>
  </si>
  <si>
    <t xml:space="preserve">EKTOMIN </t>
  </si>
  <si>
    <t>PO / NBF / 031222 / 02</t>
  </si>
  <si>
    <t>PO / NBF / 031222 / 03</t>
  </si>
  <si>
    <t>VENTRIMISOLE</t>
  </si>
  <si>
    <t>PO / NBF / 031222 / 04</t>
  </si>
  <si>
    <t>HIVIT INJECTION</t>
  </si>
  <si>
    <t>OXY-LA INJECTION</t>
  </si>
  <si>
    <t>TYLO-RD INJECTION</t>
  </si>
  <si>
    <t>DANTOP</t>
  </si>
  <si>
    <t>PO / NBF / 061222 / 05</t>
  </si>
  <si>
    <t>Parameshwari Devi</t>
  </si>
  <si>
    <t>GOODBYE</t>
  </si>
  <si>
    <t>PO / NBF / 061222 / 06</t>
  </si>
  <si>
    <t>Hackberryind, Kerala</t>
  </si>
  <si>
    <t xml:space="preserve">ALPHA D-3 PREVIT </t>
  </si>
  <si>
    <t>PO / NBF / 091222 / 07</t>
  </si>
  <si>
    <t>PO / NBF / 091222 / 08</t>
  </si>
  <si>
    <t>PO / NBF / 091222 / 09</t>
  </si>
  <si>
    <t xml:space="preserve">SPERMED </t>
  </si>
  <si>
    <t>PO / NBF / 121222 / 10</t>
  </si>
  <si>
    <t>VERBAL</t>
  </si>
  <si>
    <t>FULL FAT SOYA BEAN</t>
  </si>
  <si>
    <t>PO / NBF / 161222 / 11</t>
  </si>
  <si>
    <t>PO Done by Pijush Dey</t>
  </si>
  <si>
    <t>PO / NBF / 221222 / 12</t>
  </si>
  <si>
    <t>PO / NBF / 221222 / 13</t>
  </si>
  <si>
    <t>Ves Spa, Barasat</t>
  </si>
  <si>
    <t>PO / NBF / 221222 / 14</t>
  </si>
  <si>
    <t>PO / NBF / 221222 / 15</t>
  </si>
  <si>
    <t>PO / NBF / 241222 / 16</t>
  </si>
  <si>
    <t>PO / NBF / 241222 / 17</t>
  </si>
  <si>
    <t>CLOSTAT - 12 / 365</t>
  </si>
  <si>
    <t>PO / NBF / 291222 / 18</t>
  </si>
  <si>
    <t>PO / NBF / 291222 / 19</t>
  </si>
  <si>
    <t>PO / NBF / 030123 / 01</t>
  </si>
  <si>
    <t>TRACEMIN-BB</t>
  </si>
  <si>
    <t>PO / NBF / 090123 / 02</t>
  </si>
  <si>
    <t xml:space="preserve">BIO BUSTER PLUS </t>
  </si>
  <si>
    <t>PO / NBF / 090123 / 03</t>
  </si>
  <si>
    <t>PO / NBF / 090123 / 04</t>
  </si>
  <si>
    <t>IB ASTRO (AEIBH) KILLED VAC</t>
  </si>
  <si>
    <t>PO / NBF / 090123 / 05</t>
  </si>
  <si>
    <t>PO / NBF / 090123 / 06</t>
  </si>
  <si>
    <t>PO / NBF / 090123 / 07</t>
  </si>
  <si>
    <t>PO / NBF / 120123 / 08</t>
  </si>
  <si>
    <t>Sneha Farms Pvt Ltd, Hyd</t>
  </si>
  <si>
    <t>PO / NBF / 140123 / 09</t>
  </si>
  <si>
    <t xml:space="preserve">KOLIN-PLUS </t>
  </si>
  <si>
    <t>PO / NBF / 180123 / 10</t>
  </si>
  <si>
    <t>PO / NBF / 180123 / 11</t>
  </si>
  <si>
    <r>
      <t>VH V- 4K (</t>
    </r>
    <r>
      <rPr>
        <b/>
        <sz val="10"/>
        <color rgb="FF800000"/>
        <rFont val="Arial Narrow"/>
        <family val="2"/>
      </rPr>
      <t>4 Way</t>
    </r>
    <r>
      <rPr>
        <b/>
        <sz val="10"/>
        <color theme="1"/>
        <rFont val="Arial Narrow"/>
        <family val="2"/>
      </rPr>
      <t xml:space="preserve">) KILLED VAC </t>
    </r>
  </si>
  <si>
    <t>PO / NBF / 240123 / 12</t>
  </si>
  <si>
    <t>AVIXONE TAZO</t>
  </si>
  <si>
    <t>PO / NBF / 250123 / 13</t>
  </si>
  <si>
    <t xml:space="preserve">DANTOTSU WS </t>
  </si>
  <si>
    <t>PO / NBF / 010223 / 14</t>
  </si>
  <si>
    <t xml:space="preserve">AMBIPLEX </t>
  </si>
  <si>
    <t xml:space="preserve">GENTAVET Injection </t>
  </si>
  <si>
    <t xml:space="preserve">HIVIT Injection </t>
  </si>
  <si>
    <t xml:space="preserve">OXY-LA Injection </t>
  </si>
  <si>
    <t xml:space="preserve">LIV-52 PROTEC Plus </t>
  </si>
  <si>
    <t>Ml</t>
  </si>
  <si>
    <t>PO / NBF / 110223 / 15</t>
  </si>
  <si>
    <t>PO / NBF / 110223 / 16</t>
  </si>
  <si>
    <t>PO / NBF / 110223 / 17</t>
  </si>
  <si>
    <t>PP &amp; B Mart Pvt Ltd, Habra</t>
  </si>
  <si>
    <r>
      <t>MASTERSORB (</t>
    </r>
    <r>
      <rPr>
        <b/>
        <sz val="10"/>
        <color rgb="FF800000"/>
        <rFont val="Arial Narrow"/>
        <family val="2"/>
      </rPr>
      <t>EW Nutrition</t>
    </r>
    <r>
      <rPr>
        <b/>
        <sz val="10"/>
        <color theme="1"/>
        <rFont val="Arial Narrow"/>
        <family val="2"/>
      </rPr>
      <t>)</t>
    </r>
  </si>
  <si>
    <t xml:space="preserve">CPG-100 </t>
  </si>
  <si>
    <t xml:space="preserve">SAFEGARD </t>
  </si>
  <si>
    <t xml:space="preserve">TRACEMIN-BB </t>
  </si>
  <si>
    <t>VACCSURE (20 Gms)</t>
  </si>
  <si>
    <t>PO / NBF / 130223 / 18</t>
  </si>
  <si>
    <r>
      <t>IB (</t>
    </r>
    <r>
      <rPr>
        <b/>
        <sz val="10"/>
        <color rgb="FF800000"/>
        <rFont val="Arial Narrow"/>
        <family val="2"/>
      </rPr>
      <t>MA-5</t>
    </r>
    <r>
      <rPr>
        <b/>
        <sz val="10"/>
        <color theme="1"/>
        <rFont val="Arial Narrow"/>
        <family val="2"/>
      </rPr>
      <t>) Live Vaccine</t>
    </r>
  </si>
  <si>
    <r>
      <t>INACTIVATED PULLET ND (</t>
    </r>
    <r>
      <rPr>
        <b/>
        <sz val="10"/>
        <color rgb="FF800000"/>
        <rFont val="Arial Narrow"/>
        <family val="2"/>
      </rPr>
      <t>LPAI</t>
    </r>
    <r>
      <rPr>
        <b/>
        <sz val="10"/>
        <color theme="1"/>
        <rFont val="Arial Narrow"/>
        <family val="2"/>
      </rPr>
      <t>)</t>
    </r>
  </si>
  <si>
    <r>
      <t>INACTIVATED PULLET ND (</t>
    </r>
    <r>
      <rPr>
        <b/>
        <sz val="10"/>
        <color rgb="FF800000"/>
        <rFont val="Arial Narrow"/>
        <family val="2"/>
      </rPr>
      <t>HPAI</t>
    </r>
    <r>
      <rPr>
        <b/>
        <sz val="10"/>
        <color theme="1"/>
        <rFont val="Arial Narrow"/>
        <family val="2"/>
      </rPr>
      <t>)</t>
    </r>
  </si>
  <si>
    <t>PO / NBF / 130223 / 19</t>
  </si>
  <si>
    <t>PO / NBF / 130223 / 20</t>
  </si>
  <si>
    <t>Fowl Pox Live Vaccine</t>
  </si>
  <si>
    <t>R2B Live Vaccine</t>
  </si>
  <si>
    <t>REO KILLED VAC</t>
  </si>
  <si>
    <t>SALMONELLA KILLED VAC</t>
  </si>
  <si>
    <t>Sterile Diluent for Live Vac</t>
  </si>
  <si>
    <t>Sterile Diluent for R2B Vac</t>
  </si>
  <si>
    <t>Sterile Diluent for VVMD Vac</t>
  </si>
  <si>
    <r>
      <t>VVMD (</t>
    </r>
    <r>
      <rPr>
        <b/>
        <sz val="10"/>
        <color rgb="FF800000"/>
        <rFont val="Arial Narrow"/>
        <family val="2"/>
      </rPr>
      <t>HVT+SB1</t>
    </r>
    <r>
      <rPr>
        <b/>
        <sz val="10"/>
        <color theme="1"/>
        <rFont val="Arial Narrow"/>
        <family val="2"/>
      </rPr>
      <t>) Live Vaccine</t>
    </r>
  </si>
  <si>
    <r>
      <t>ND KILLED (</t>
    </r>
    <r>
      <rPr>
        <b/>
        <sz val="10"/>
        <color rgb="FF800000"/>
        <rFont val="Arial Narrow"/>
        <family val="2"/>
      </rPr>
      <t>Visa-15</t>
    </r>
    <r>
      <rPr>
        <b/>
        <sz val="10"/>
        <color theme="1"/>
        <rFont val="Arial Narrow"/>
        <family val="2"/>
      </rPr>
      <t xml:space="preserve">) VAC </t>
    </r>
  </si>
  <si>
    <r>
      <t>IB (</t>
    </r>
    <r>
      <rPr>
        <b/>
        <sz val="10"/>
        <color rgb="FF800000"/>
        <rFont val="Arial Narrow"/>
        <family val="2"/>
      </rPr>
      <t>H-120</t>
    </r>
    <r>
      <rPr>
        <b/>
        <sz val="10"/>
        <color theme="1"/>
        <rFont val="Arial Narrow"/>
        <family val="2"/>
      </rPr>
      <t>) Live Vaccine</t>
    </r>
  </si>
  <si>
    <r>
      <t>ND (</t>
    </r>
    <r>
      <rPr>
        <b/>
        <sz val="10"/>
        <color rgb="FF800000"/>
        <rFont val="Arial Narrow"/>
        <family val="2"/>
      </rPr>
      <t>Lasota</t>
    </r>
    <r>
      <rPr>
        <b/>
        <sz val="10"/>
        <color theme="1"/>
        <rFont val="Arial Narrow"/>
        <family val="2"/>
      </rPr>
      <t>) Live Vaccine</t>
    </r>
  </si>
  <si>
    <r>
      <t>IB (</t>
    </r>
    <r>
      <rPr>
        <b/>
        <sz val="10"/>
        <color rgb="FF800000"/>
        <rFont val="Arial Narrow"/>
        <family val="2"/>
      </rPr>
      <t>Mass</t>
    </r>
    <r>
      <rPr>
        <b/>
        <sz val="10"/>
        <color theme="1"/>
        <rFont val="Arial Narrow"/>
        <family val="2"/>
      </rPr>
      <t>) Live Vaccine</t>
    </r>
  </si>
  <si>
    <r>
      <t xml:space="preserve">IBD Intermediate </t>
    </r>
    <r>
      <rPr>
        <b/>
        <sz val="10"/>
        <color rgb="FF800000"/>
        <rFont val="Arial Narrow"/>
        <family val="2"/>
      </rPr>
      <t>Std</t>
    </r>
    <r>
      <rPr>
        <b/>
        <sz val="10"/>
        <color theme="1"/>
        <rFont val="Arial Narrow"/>
        <family val="2"/>
      </rPr>
      <t xml:space="preserve"> Live Vac </t>
    </r>
  </si>
  <si>
    <r>
      <t xml:space="preserve">IBD Intermediate </t>
    </r>
    <r>
      <rPr>
        <b/>
        <sz val="10"/>
        <color rgb="FF800000"/>
        <rFont val="Arial Narrow"/>
        <family val="2"/>
      </rPr>
      <t>Plus</t>
    </r>
    <r>
      <rPr>
        <b/>
        <sz val="10"/>
        <color theme="1"/>
        <rFont val="Arial Narrow"/>
        <family val="2"/>
      </rPr>
      <t xml:space="preserve"> Live Vac </t>
    </r>
  </si>
  <si>
    <t>PO / NBF / 130223 / 21</t>
  </si>
  <si>
    <t>PO / NBF / 140223 / 22</t>
  </si>
  <si>
    <r>
      <t>ILT (</t>
    </r>
    <r>
      <rPr>
        <b/>
        <sz val="10"/>
        <color rgb="FF800000"/>
        <rFont val="Arial Narrow"/>
        <family val="2"/>
      </rPr>
      <t>GI- 10000</t>
    </r>
    <r>
      <rPr>
        <b/>
        <sz val="10"/>
        <color theme="1"/>
        <rFont val="Arial Narrow"/>
        <family val="2"/>
      </rPr>
      <t>) Live Vaccine</t>
    </r>
  </si>
  <si>
    <r>
      <t>Nobilis IB (</t>
    </r>
    <r>
      <rPr>
        <b/>
        <sz val="10"/>
        <color rgb="FF800000"/>
        <rFont val="Arial Narrow"/>
        <family val="2"/>
      </rPr>
      <t>MA-5</t>
    </r>
    <r>
      <rPr>
        <b/>
        <sz val="10"/>
        <color theme="1"/>
        <rFont val="Arial Narrow"/>
        <family val="2"/>
      </rPr>
      <t>) Live Vaccine</t>
    </r>
  </si>
  <si>
    <t>PO / NBF / 200223 / 23</t>
  </si>
  <si>
    <t>Venkateshwara Marketing Hyd</t>
  </si>
  <si>
    <t>PO / NBF / 210223 / 24</t>
  </si>
  <si>
    <t>PO / NBF / 220223 / 25</t>
  </si>
  <si>
    <t>PO / NBF / 220223 / 26</t>
  </si>
  <si>
    <t>ALPHA D-3 PREMIX</t>
  </si>
  <si>
    <t>PO / NBF / 250223 / 27</t>
  </si>
  <si>
    <t>Sapience Agribusiness Consulting</t>
  </si>
  <si>
    <t>PO / NBF / 270223 / 28</t>
  </si>
  <si>
    <t>PO / NBF / 270223 / 29</t>
  </si>
  <si>
    <t>VENKYS - CTC</t>
  </si>
  <si>
    <t>BREEDER VITAMIN PREMIX</t>
  </si>
  <si>
    <t>PO / NBF / 020323 / 30</t>
  </si>
  <si>
    <t>IBH KILLED VAC</t>
  </si>
  <si>
    <t>PO / NBF / 020323 / 31</t>
  </si>
  <si>
    <r>
      <t>ILT(</t>
    </r>
    <r>
      <rPr>
        <b/>
        <sz val="10"/>
        <color rgb="FF800000"/>
        <rFont val="Arial Narrow"/>
        <family val="2"/>
      </rPr>
      <t>GI- 10000</t>
    </r>
    <r>
      <rPr>
        <b/>
        <sz val="10"/>
        <color theme="1"/>
        <rFont val="Arial Narrow"/>
        <family val="2"/>
      </rPr>
      <t>) Live Vaccine</t>
    </r>
  </si>
  <si>
    <t>PO / NBF / 020323 / 32</t>
  </si>
  <si>
    <t>PO / NBF / 020323 / 33</t>
  </si>
  <si>
    <t>PO / NBF / 020323 / 34</t>
  </si>
  <si>
    <t>PO / NBF / 020323 / 35</t>
  </si>
  <si>
    <r>
      <t>Lysine HCL (</t>
    </r>
    <r>
      <rPr>
        <b/>
        <sz val="10"/>
        <color rgb="FF800000"/>
        <rFont val="Arial Narrow"/>
        <family val="2"/>
      </rPr>
      <t>Meihua</t>
    </r>
    <r>
      <rPr>
        <b/>
        <sz val="10"/>
        <color theme="1"/>
        <rFont val="Arial Narrow"/>
        <family val="2"/>
      </rPr>
      <t>)</t>
    </r>
  </si>
  <si>
    <r>
      <t>DL Methionine (</t>
    </r>
    <r>
      <rPr>
        <b/>
        <sz val="10"/>
        <color rgb="FF800000"/>
        <rFont val="Arial Narrow"/>
        <family val="2"/>
      </rPr>
      <t>Evonik</t>
    </r>
    <r>
      <rPr>
        <b/>
        <sz val="10"/>
        <color theme="1"/>
        <rFont val="Arial Narrow"/>
        <family val="2"/>
      </rPr>
      <t>)</t>
    </r>
  </si>
  <si>
    <t>PO / NBF / 150323 / 36</t>
  </si>
  <si>
    <r>
      <t>MICROVIT-E 50 Promix (</t>
    </r>
    <r>
      <rPr>
        <b/>
        <sz val="10"/>
        <color rgb="FF800000"/>
        <rFont val="Arial Narrow"/>
        <family val="2"/>
      </rPr>
      <t>Adisseo</t>
    </r>
    <r>
      <rPr>
        <b/>
        <sz val="10"/>
        <color theme="1"/>
        <rFont val="Arial Narrow"/>
        <family val="2"/>
      </rPr>
      <t>)</t>
    </r>
  </si>
  <si>
    <t>PO / NBF / 150323 / 37</t>
  </si>
  <si>
    <t>Arevin Lifesciences Pvt Ltd</t>
  </si>
  <si>
    <t>RECEPTOL (MSD)</t>
  </si>
  <si>
    <r>
      <t>CITRINAL (</t>
    </r>
    <r>
      <rPr>
        <b/>
        <sz val="10"/>
        <color rgb="FF800000"/>
        <rFont val="Arial Narrow"/>
        <family val="2"/>
      </rPr>
      <t>Alivira</t>
    </r>
    <r>
      <rPr>
        <b/>
        <sz val="10"/>
        <color theme="1"/>
        <rFont val="Arial Narrow"/>
        <family val="2"/>
      </rPr>
      <t>)</t>
    </r>
  </si>
  <si>
    <t>PO / NBF / 220323 / 38</t>
  </si>
  <si>
    <t>PO / NBF / 220323 / 39</t>
  </si>
  <si>
    <t>PO / NBF / 220323 / 40</t>
  </si>
  <si>
    <r>
      <t>KEMZYME-XPF(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</si>
  <si>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r>
      <t>KOLIN PLUS (</t>
    </r>
    <r>
      <rPr>
        <b/>
        <sz val="10"/>
        <color rgb="FF800000"/>
        <rFont val="Arial Narrow"/>
        <family val="2"/>
      </rPr>
      <t>Natural Remedies</t>
    </r>
    <r>
      <rPr>
        <b/>
        <sz val="10"/>
        <color theme="1"/>
        <rFont val="Arial Narrow"/>
        <family val="2"/>
      </rPr>
      <t>)</t>
    </r>
  </si>
  <si>
    <r>
      <t>HIM C (</t>
    </r>
    <r>
      <rPr>
        <b/>
        <sz val="10"/>
        <color rgb="FF800000"/>
        <rFont val="Arial Narrow"/>
        <family val="2"/>
      </rPr>
      <t>Himalaya</t>
    </r>
    <r>
      <rPr>
        <b/>
        <sz val="10"/>
        <color theme="1"/>
        <rFont val="Arial Narrow"/>
        <family val="2"/>
      </rPr>
      <t>)</t>
    </r>
  </si>
  <si>
    <t>PO / NBF / 300323 / 41</t>
  </si>
  <si>
    <t>PO / NBF / 300323 / 42</t>
  </si>
  <si>
    <r>
      <t>VES - CHOL 60% (</t>
    </r>
    <r>
      <rPr>
        <b/>
        <sz val="10"/>
        <color rgb="FF800000"/>
        <rFont val="Arial Narrow"/>
        <family val="2"/>
      </rPr>
      <t>Vesper</t>
    </r>
    <r>
      <rPr>
        <b/>
        <sz val="10"/>
        <color theme="1"/>
        <rFont val="Arial Narrow"/>
        <family val="2"/>
      </rPr>
      <t>)</t>
    </r>
  </si>
  <si>
    <t>Update as on 30.03.2023</t>
  </si>
  <si>
    <r>
      <t>DEFORCE INJECTION (</t>
    </r>
    <r>
      <rPr>
        <b/>
        <sz val="10"/>
        <color rgb="FF800000"/>
        <rFont val="Arial Narrow"/>
        <family val="2"/>
      </rPr>
      <t>Idza</t>
    </r>
    <r>
      <rPr>
        <b/>
        <sz val="10"/>
        <color theme="1"/>
        <rFont val="Arial Narrow"/>
        <family val="2"/>
      </rPr>
      <t>)</t>
    </r>
  </si>
  <si>
    <r>
      <t>VOLAMEL (</t>
    </r>
    <r>
      <rPr>
        <b/>
        <sz val="10"/>
        <color rgb="FF800000"/>
        <rFont val="Arial Narrow"/>
        <family val="2"/>
      </rPr>
      <t>Nukamel</t>
    </r>
    <r>
      <rPr>
        <b/>
        <sz val="10"/>
        <color theme="1"/>
        <rFont val="Arial Narrow"/>
        <family val="2"/>
      </rPr>
      <t>)</t>
    </r>
  </si>
  <si>
    <t>PO / NBF / 060423 / 01</t>
  </si>
  <si>
    <r>
      <t>MG BAC KILLED VAC (</t>
    </r>
    <r>
      <rPr>
        <b/>
        <sz val="10"/>
        <color rgb="FF800000"/>
        <rFont val="Arial Narrow"/>
        <family val="2"/>
      </rPr>
      <t>Zoetis</t>
    </r>
    <r>
      <rPr>
        <b/>
        <sz val="10"/>
        <color theme="1"/>
        <rFont val="Arial Narrow"/>
        <family val="2"/>
      </rPr>
      <t>)</t>
    </r>
  </si>
  <si>
    <t>PO / NBF / 060423 / 02</t>
  </si>
  <si>
    <t>PO / NBF / 060423 / 03</t>
  </si>
  <si>
    <t>PO / NBF / 060423 / 04</t>
  </si>
  <si>
    <t>Venkateshwara Hatcheries Ltd</t>
  </si>
  <si>
    <r>
      <t>TRITYL - 62.5 (</t>
    </r>
    <r>
      <rPr>
        <b/>
        <sz val="10"/>
        <color rgb="FF800000"/>
        <rFont val="Arial Narrow"/>
        <family val="2"/>
      </rPr>
      <t>Alivira</t>
    </r>
    <r>
      <rPr>
        <b/>
        <sz val="10"/>
        <color theme="1"/>
        <rFont val="Arial Narrow"/>
        <family val="2"/>
      </rPr>
      <t>)</t>
    </r>
  </si>
  <si>
    <t>PO / NBF / 080423 / 05</t>
  </si>
  <si>
    <t>Alivira Animal Health Ltd</t>
  </si>
  <si>
    <r>
      <t>BIO BUSTER PLUS (</t>
    </r>
    <r>
      <rPr>
        <b/>
        <sz val="10"/>
        <color rgb="FF800000"/>
        <rFont val="Arial Narrow"/>
        <family val="2"/>
      </rPr>
      <t>B V Biocrop</t>
    </r>
    <r>
      <rPr>
        <b/>
        <sz val="10"/>
        <color theme="1"/>
        <rFont val="Arial Narrow"/>
        <family val="2"/>
      </rPr>
      <t>)</t>
    </r>
  </si>
  <si>
    <t>PO / NBF / 080423 / 06</t>
  </si>
  <si>
    <t>B V Biocrop, Hitech Division</t>
  </si>
  <si>
    <r>
      <t>BAYROCIN (</t>
    </r>
    <r>
      <rPr>
        <b/>
        <sz val="10"/>
        <color rgb="FF800000"/>
        <rFont val="Arial Narrow"/>
        <family val="2"/>
      </rPr>
      <t>Elanco</t>
    </r>
    <r>
      <rPr>
        <b/>
        <sz val="10"/>
        <color theme="1"/>
        <rFont val="Arial Narrow"/>
        <family val="2"/>
      </rPr>
      <t>)</t>
    </r>
  </si>
  <si>
    <r>
      <t>EKTOMIN (</t>
    </r>
    <r>
      <rPr>
        <b/>
        <sz val="10"/>
        <color rgb="FF800000"/>
        <rFont val="Arial Narrow"/>
        <family val="2"/>
      </rPr>
      <t>Elanco</t>
    </r>
    <r>
      <rPr>
        <b/>
        <sz val="10"/>
        <color theme="1"/>
        <rFont val="Arial Narrow"/>
        <family val="2"/>
      </rPr>
      <t>)</t>
    </r>
  </si>
  <si>
    <r>
      <t>FAMITONE (</t>
    </r>
    <r>
      <rPr>
        <b/>
        <sz val="10"/>
        <color rgb="FF800000"/>
        <rFont val="Arial Narrow"/>
        <family val="2"/>
      </rPr>
      <t>Zenex AH</t>
    </r>
    <r>
      <rPr>
        <b/>
        <sz val="10"/>
        <color theme="1"/>
        <rFont val="Arial Narrow"/>
        <family val="2"/>
      </rPr>
      <t>)</t>
    </r>
  </si>
  <si>
    <t>PO / NBF / 080423 / 07</t>
  </si>
  <si>
    <t>PO / NBF / 140423 / 08</t>
  </si>
  <si>
    <r>
      <t>SPERMED (</t>
    </r>
    <r>
      <rPr>
        <b/>
        <sz val="10"/>
        <color rgb="FF800000"/>
        <rFont val="Arial Narrow"/>
        <family val="2"/>
      </rPr>
      <t>Medichem Product</t>
    </r>
    <r>
      <rPr>
        <b/>
        <sz val="10"/>
        <color theme="1"/>
        <rFont val="Arial Narrow"/>
        <family val="2"/>
      </rPr>
      <t>)</t>
    </r>
  </si>
  <si>
    <t>PO / NBF / 170423 / 09</t>
  </si>
  <si>
    <t>Healers Associates, Vijayawada</t>
  </si>
  <si>
    <r>
      <t>BIO D - 100 (</t>
    </r>
    <r>
      <rPr>
        <b/>
        <sz val="10"/>
        <color rgb="FF800000"/>
        <rFont val="Arial Narrow"/>
        <family val="2"/>
      </rPr>
      <t>Huvepharma</t>
    </r>
    <r>
      <rPr>
        <b/>
        <sz val="10"/>
        <color theme="1"/>
        <rFont val="Arial Narrow"/>
        <family val="2"/>
      </rPr>
      <t>)</t>
    </r>
  </si>
  <si>
    <t>PO / NBF / 170423 / 10</t>
  </si>
  <si>
    <t>Huve Pharma Sea Pune Pvt Ltd</t>
  </si>
  <si>
    <r>
      <t>OVASTIM (</t>
    </r>
    <r>
      <rPr>
        <b/>
        <sz val="10"/>
        <color rgb="FF800000"/>
        <rFont val="Arial Narrow"/>
        <family val="2"/>
      </rPr>
      <t>Izda Healthcare</t>
    </r>
    <r>
      <rPr>
        <b/>
        <sz val="10"/>
        <color theme="1"/>
        <rFont val="Arial Narrow"/>
        <family val="2"/>
      </rPr>
      <t>)</t>
    </r>
  </si>
  <si>
    <t>PO / NBF / 170423 / 11</t>
  </si>
  <si>
    <t>Izda Healthcare, Ambala Cantonment</t>
  </si>
  <si>
    <r>
      <t>SELCON FORTE (</t>
    </r>
    <r>
      <rPr>
        <b/>
        <sz val="10"/>
        <color rgb="FF800000"/>
        <rFont val="Arial Narrow"/>
        <family val="2"/>
      </rPr>
      <t>Zeus Biotech</t>
    </r>
    <r>
      <rPr>
        <b/>
        <sz val="10"/>
        <color theme="1"/>
        <rFont val="Arial Narrow"/>
        <family val="2"/>
      </rPr>
      <t>)</t>
    </r>
  </si>
  <si>
    <t>PO / NBF / 170423 / 12</t>
  </si>
  <si>
    <t>Zeus Biotech Pvt Ltd, Mysore</t>
  </si>
  <si>
    <t>PO / NBF / 200423 / 13</t>
  </si>
  <si>
    <r>
      <t>FORLUTIN-10% (</t>
    </r>
    <r>
      <rPr>
        <b/>
        <sz val="10"/>
        <color rgb="FF800000"/>
        <rFont val="Arial Narrow"/>
        <family val="2"/>
      </rPr>
      <t>Stallen</t>
    </r>
    <r>
      <rPr>
        <b/>
        <sz val="10"/>
        <color theme="1"/>
        <rFont val="Arial Narrow"/>
        <family val="2"/>
      </rPr>
      <t>)</t>
    </r>
  </si>
  <si>
    <t>PO / NBF / 240423 / 14</t>
  </si>
  <si>
    <t>PO / NBF / 240423 / 15</t>
  </si>
  <si>
    <r>
      <t>HEPATOCARE PREMIX (</t>
    </r>
    <r>
      <rPr>
        <b/>
        <sz val="10"/>
        <color rgb="FF800000"/>
        <rFont val="Arial Narrow"/>
        <family val="2"/>
      </rPr>
      <t>Varsha</t>
    </r>
    <r>
      <rPr>
        <b/>
        <sz val="10"/>
        <color theme="1"/>
        <rFont val="Arial Narrow"/>
        <family val="2"/>
      </rPr>
      <t>)</t>
    </r>
  </si>
  <si>
    <t>Varsha Multitech, Bangallore</t>
  </si>
  <si>
    <t>PO / NBF / 250423 / 16</t>
  </si>
  <si>
    <r>
      <t>SALCOCHEK (</t>
    </r>
    <r>
      <rPr>
        <b/>
        <sz val="10"/>
        <color rgb="FF800000"/>
        <rFont val="Arial Narrow"/>
        <family val="2"/>
      </rPr>
      <t>Ayurvet</t>
    </r>
    <r>
      <rPr>
        <b/>
        <sz val="10"/>
        <color theme="1"/>
        <rFont val="Arial Narrow"/>
        <family val="2"/>
      </rPr>
      <t>)</t>
    </r>
  </si>
  <si>
    <t>PO / NBF / 290423 / 17</t>
  </si>
  <si>
    <r>
      <t>Breeder Vitamin Premix (</t>
    </r>
    <r>
      <rPr>
        <b/>
        <sz val="10"/>
        <color rgb="FF800000"/>
        <rFont val="Arial Narrow"/>
        <family val="2"/>
      </rPr>
      <t>Custom</t>
    </r>
    <r>
      <rPr>
        <b/>
        <sz val="10"/>
        <color theme="1"/>
        <rFont val="Arial Narrow"/>
        <family val="2"/>
      </rPr>
      <t>)</t>
    </r>
  </si>
  <si>
    <t>PO / NBF / 040523 / 18</t>
  </si>
  <si>
    <t>CANCELLED</t>
  </si>
  <si>
    <r>
      <t>Hipraviar Clon H-120 (</t>
    </r>
    <r>
      <rPr>
        <b/>
        <sz val="10"/>
        <color rgb="FF800000"/>
        <rFont val="Arial Narrow"/>
        <family val="2"/>
      </rPr>
      <t>Hipra</t>
    </r>
    <r>
      <rPr>
        <b/>
        <sz val="10"/>
        <color theme="1"/>
        <rFont val="Arial Narrow"/>
        <family val="2"/>
      </rPr>
      <t>)</t>
    </r>
  </si>
  <si>
    <t>PO / NBF / 080523 / 19</t>
  </si>
  <si>
    <r>
      <t>CLOSTAT-365 / 12 (</t>
    </r>
    <r>
      <rPr>
        <b/>
        <sz val="10"/>
        <color rgb="FF800000"/>
        <rFont val="Arial Narrow"/>
        <family val="2"/>
      </rPr>
      <t>Kemin Indus</t>
    </r>
    <r>
      <rPr>
        <b/>
        <sz val="10"/>
        <color theme="1"/>
        <rFont val="Arial Narrow"/>
        <family val="2"/>
      </rPr>
      <t>)</t>
    </r>
  </si>
  <si>
    <t>PO / NBF / 110523 / 20</t>
  </si>
  <si>
    <t>Kemin Industries South Asia</t>
  </si>
  <si>
    <t>PO / NBF / 150523 / 21</t>
  </si>
  <si>
    <t>PO / NBF / 150523 / 22</t>
  </si>
  <si>
    <r>
      <t>ALPHA D3 PREMIX (</t>
    </r>
    <r>
      <rPr>
        <b/>
        <sz val="10"/>
        <color rgb="FF800000"/>
        <rFont val="Arial Narrow"/>
        <family val="2"/>
      </rPr>
      <t>Alura</t>
    </r>
    <r>
      <rPr>
        <b/>
        <sz val="10"/>
        <color theme="1"/>
        <rFont val="Arial Narrow"/>
        <family val="2"/>
      </rPr>
      <t>)</t>
    </r>
  </si>
  <si>
    <t>PO / NBF / 150523 / 23</t>
  </si>
  <si>
    <t>Sapience Agribusiness Cons LLP</t>
  </si>
  <si>
    <r>
      <t>Hipraviar Clone-79 (</t>
    </r>
    <r>
      <rPr>
        <b/>
        <sz val="10"/>
        <color rgb="FF800000"/>
        <rFont val="Arial Narrow"/>
        <family val="2"/>
      </rPr>
      <t>Hipra</t>
    </r>
    <r>
      <rPr>
        <b/>
        <sz val="10"/>
        <color theme="1"/>
        <rFont val="Arial Narrow"/>
        <family val="2"/>
      </rPr>
      <t>)</t>
    </r>
  </si>
  <si>
    <t>PO / NBF / 150523 / 24</t>
  </si>
  <si>
    <t xml:space="preserve">VH F1C7 (FC+IC) KILLED VAC </t>
  </si>
  <si>
    <r>
      <t>Fowl Pox Live Vaccine (</t>
    </r>
    <r>
      <rPr>
        <b/>
        <sz val="10"/>
        <color rgb="FF800000"/>
        <rFont val="Arial Narrow"/>
        <family val="2"/>
      </rPr>
      <t>Venkys</t>
    </r>
    <r>
      <rPr>
        <b/>
        <sz val="10"/>
        <color theme="1"/>
        <rFont val="Arial Narrow"/>
        <family val="2"/>
      </rPr>
      <t>)</t>
    </r>
  </si>
  <si>
    <r>
      <t>AE KILLED VAC (</t>
    </r>
    <r>
      <rPr>
        <b/>
        <sz val="10"/>
        <color rgb="FF800000"/>
        <rFont val="Arial Narrow"/>
        <family val="2"/>
      </rPr>
      <t>Venkys</t>
    </r>
    <r>
      <rPr>
        <b/>
        <sz val="10"/>
        <color theme="1"/>
        <rFont val="Arial Narrow"/>
        <family val="2"/>
      </rPr>
      <t>)</t>
    </r>
  </si>
  <si>
    <r>
      <t>IBD KILLED VAC (</t>
    </r>
    <r>
      <rPr>
        <b/>
        <sz val="10"/>
        <color rgb="FF800000"/>
        <rFont val="Arial Narrow"/>
        <family val="2"/>
      </rPr>
      <t>Venkys</t>
    </r>
    <r>
      <rPr>
        <b/>
        <sz val="10"/>
        <color theme="1"/>
        <rFont val="Arial Narrow"/>
        <family val="2"/>
      </rPr>
      <t>)</t>
    </r>
  </si>
  <si>
    <r>
      <t>MG KILLED VAC (</t>
    </r>
    <r>
      <rPr>
        <b/>
        <sz val="10"/>
        <color rgb="FF800000"/>
        <rFont val="Arial Narrow"/>
        <family val="2"/>
      </rPr>
      <t>Venkys</t>
    </r>
    <r>
      <rPr>
        <b/>
        <sz val="10"/>
        <color theme="1"/>
        <rFont val="Arial Narrow"/>
        <family val="2"/>
      </rPr>
      <t>)</t>
    </r>
  </si>
  <si>
    <t>PO / NBF / 160523 / 25</t>
  </si>
  <si>
    <r>
      <t>VENNEW BRO KILLED VAC (</t>
    </r>
    <r>
      <rPr>
        <b/>
        <sz val="10"/>
        <color rgb="FF800000"/>
        <rFont val="Arial Narrow"/>
        <family val="2"/>
      </rPr>
      <t>Venkys</t>
    </r>
    <r>
      <rPr>
        <b/>
        <sz val="10"/>
        <color theme="1"/>
        <rFont val="Arial Narrow"/>
        <family val="2"/>
      </rPr>
      <t>)</t>
    </r>
  </si>
  <si>
    <t>PO / NBF / 220523 / 26</t>
  </si>
  <si>
    <r>
      <t>FLOXLEVO-BH (</t>
    </r>
    <r>
      <rPr>
        <b/>
        <sz val="10"/>
        <color rgb="FF800000"/>
        <rFont val="Arial Narrow"/>
        <family val="2"/>
      </rPr>
      <t>Zenex-AH)</t>
    </r>
  </si>
  <si>
    <r>
      <t>HIVIT Injection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</si>
  <si>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r>
      <t>RANBAMYCIN Injection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</si>
  <si>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r>
      <t>OXY-LA Injection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</si>
  <si>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t>PO / NBF / 220523 / 27</t>
  </si>
  <si>
    <r>
      <t>VENLYTE (</t>
    </r>
    <r>
      <rPr>
        <b/>
        <sz val="10"/>
        <color rgb="FF800000"/>
        <rFont val="Arial Narrow"/>
        <family val="2"/>
      </rPr>
      <t>AHP-Division</t>
    </r>
    <r>
      <rPr>
        <b/>
        <sz val="10"/>
        <color theme="1"/>
        <rFont val="Arial Narrow"/>
        <family val="2"/>
      </rPr>
      <t>)</t>
    </r>
  </si>
  <si>
    <t>PO / NBF / 220523 / 28</t>
  </si>
  <si>
    <t>Venkys India Ltd, AHP Division</t>
  </si>
  <si>
    <r>
      <t>Rovimix-E 50% (</t>
    </r>
    <r>
      <rPr>
        <b/>
        <sz val="10"/>
        <color rgb="FF800000"/>
        <rFont val="Arial Narrow"/>
        <family val="2"/>
      </rPr>
      <t>DSM</t>
    </r>
    <r>
      <rPr>
        <b/>
        <sz val="10"/>
        <color theme="1"/>
        <rFont val="Arial Narrow"/>
        <family val="2"/>
      </rPr>
      <t>)</t>
    </r>
  </si>
  <si>
    <t>PO / NBF / 240523 / 29</t>
  </si>
  <si>
    <t>Sneha Farms Pvt Ltd, Hyderabad</t>
  </si>
  <si>
    <t>PO / NBF / 260523 / 30</t>
  </si>
  <si>
    <t>Quest Agrovest Services Pvt Ltd</t>
  </si>
  <si>
    <r>
      <t>Bioplex Poultry Pak (</t>
    </r>
    <r>
      <rPr>
        <b/>
        <sz val="10"/>
        <color rgb="FF800000"/>
        <rFont val="Arial Narrow"/>
        <family val="2"/>
      </rPr>
      <t>Alltech</t>
    </r>
    <r>
      <rPr>
        <b/>
        <sz val="10"/>
        <color theme="1"/>
        <rFont val="Arial Narrow"/>
        <family val="2"/>
      </rPr>
      <t>)</t>
    </r>
  </si>
  <si>
    <t>PO / NBF / 010623 / 31</t>
  </si>
  <si>
    <r>
      <t>HIM-C (</t>
    </r>
    <r>
      <rPr>
        <b/>
        <sz val="10"/>
        <color rgb="FF800000"/>
        <rFont val="Arial Narrow"/>
        <family val="2"/>
      </rPr>
      <t>Himalaya</t>
    </r>
    <r>
      <rPr>
        <b/>
        <sz val="10"/>
        <color theme="1"/>
        <rFont val="Arial Narrow"/>
        <family val="2"/>
      </rPr>
      <t>)</t>
    </r>
  </si>
  <si>
    <r>
      <t>RUMERIC INJECTION (</t>
    </r>
    <r>
      <rPr>
        <b/>
        <sz val="10"/>
        <color rgb="FF800000"/>
        <rFont val="Arial Narrow"/>
        <family val="2"/>
      </rPr>
      <t>Virbac</t>
    </r>
    <r>
      <rPr>
        <b/>
        <sz val="10"/>
        <color theme="1"/>
        <rFont val="Arial Narrow"/>
        <family val="2"/>
      </rPr>
      <t>)</t>
    </r>
  </si>
  <si>
    <t>PO / NBF / 010623 / 32</t>
  </si>
  <si>
    <t>PO / NBF / 010623 / 33</t>
  </si>
  <si>
    <r>
      <t>STALGRO-8% (</t>
    </r>
    <r>
      <rPr>
        <b/>
        <sz val="10"/>
        <color rgb="FF800000"/>
        <rFont val="Arial Narrow"/>
        <family val="2"/>
      </rPr>
      <t>Stallen)</t>
    </r>
  </si>
  <si>
    <t>PO / NBF / 020623 / 34</t>
  </si>
  <si>
    <r>
      <t>LUTAVIT-E 50% (</t>
    </r>
    <r>
      <rPr>
        <b/>
        <sz val="10"/>
        <color rgb="FF800000"/>
        <rFont val="Arial Narrow"/>
        <family val="2"/>
      </rPr>
      <t>BASF</t>
    </r>
    <r>
      <rPr>
        <b/>
        <sz val="10"/>
        <color theme="1"/>
        <rFont val="Arial Narrow"/>
        <family val="2"/>
      </rPr>
      <t>)</t>
    </r>
  </si>
  <si>
    <t>PO / NBF / 030623 / 35</t>
  </si>
  <si>
    <t>Agrioma Lifesciences, Kolkata</t>
  </si>
  <si>
    <r>
      <t>AQUAAMAX (</t>
    </r>
    <r>
      <rPr>
        <b/>
        <sz val="10"/>
        <color rgb="FF800000"/>
        <rFont val="Arial Narrow"/>
        <family val="2"/>
      </rPr>
      <t>B V Biocrop</t>
    </r>
    <r>
      <rPr>
        <b/>
        <sz val="10"/>
        <color theme="1"/>
        <rFont val="Arial Narrow"/>
        <family val="2"/>
      </rPr>
      <t>)</t>
    </r>
  </si>
  <si>
    <r>
      <t>SAFEGURD (</t>
    </r>
    <r>
      <rPr>
        <b/>
        <sz val="10"/>
        <color rgb="FF800000"/>
        <rFont val="Arial Narrow"/>
        <family val="2"/>
      </rPr>
      <t>B V Biocrop</t>
    </r>
    <r>
      <rPr>
        <b/>
        <sz val="10"/>
        <color theme="1"/>
        <rFont val="Arial Narrow"/>
        <family val="2"/>
      </rPr>
      <t>)</t>
    </r>
  </si>
  <si>
    <t>PO / NBF / 050623 / 36</t>
  </si>
  <si>
    <r>
      <t>ENROCIN (</t>
    </r>
    <r>
      <rPr>
        <b/>
        <sz val="10"/>
        <color rgb="FF800000"/>
        <rFont val="Arial Narrow"/>
        <family val="2"/>
      </rPr>
      <t>Zoetis</t>
    </r>
    <r>
      <rPr>
        <b/>
        <sz val="10"/>
        <color theme="1"/>
        <rFont val="Arial Narrow"/>
        <family val="2"/>
      </rPr>
      <t>)</t>
    </r>
  </si>
  <si>
    <r>
      <t>SELVO-BH (</t>
    </r>
    <r>
      <rPr>
        <b/>
        <sz val="10"/>
        <color rgb="FF800000"/>
        <rFont val="Arial Narrow"/>
        <family val="2"/>
      </rPr>
      <t>Alivira</t>
    </r>
    <r>
      <rPr>
        <b/>
        <sz val="10"/>
        <color theme="1"/>
        <rFont val="Arial Narrow"/>
        <family val="2"/>
      </rPr>
      <t>)</t>
    </r>
  </si>
  <si>
    <r>
      <t>TYLOMAX Injection (</t>
    </r>
    <r>
      <rPr>
        <b/>
        <sz val="10"/>
        <color rgb="FF800000"/>
        <rFont val="Arial Narrow"/>
        <family val="2"/>
      </rPr>
      <t>Intas</t>
    </r>
    <r>
      <rPr>
        <b/>
        <sz val="10"/>
        <color theme="1"/>
        <rFont val="Arial Narrow"/>
        <family val="2"/>
      </rPr>
      <t>)</t>
    </r>
  </si>
  <si>
    <r>
      <t>TAMIK Injection (</t>
    </r>
    <r>
      <rPr>
        <b/>
        <sz val="10"/>
        <color rgb="FF800000"/>
        <rFont val="Arial Narrow"/>
        <family val="2"/>
      </rPr>
      <t>TTK</t>
    </r>
    <r>
      <rPr>
        <b/>
        <sz val="10"/>
        <color theme="1"/>
        <rFont val="Arial Narrow"/>
        <family val="2"/>
      </rPr>
      <t>)</t>
    </r>
  </si>
  <si>
    <r>
      <t>URIMIN Injection (</t>
    </r>
    <r>
      <rPr>
        <b/>
        <sz val="10"/>
        <color rgb="FF800000"/>
        <rFont val="Arial Narrow"/>
        <family val="2"/>
      </rPr>
      <t>Virbac</t>
    </r>
    <r>
      <rPr>
        <b/>
        <sz val="10"/>
        <color theme="1"/>
        <rFont val="Arial Narrow"/>
        <family val="2"/>
      </rPr>
      <t>)</t>
    </r>
  </si>
  <si>
    <t>PO / NBF / 050623 / 37</t>
  </si>
  <si>
    <r>
      <t>SANEXT (</t>
    </r>
    <r>
      <rPr>
        <b/>
        <sz val="10"/>
        <color rgb="FF800000"/>
        <rFont val="Arial Narrow"/>
        <family val="2"/>
      </rPr>
      <t>Medichem Product</t>
    </r>
    <r>
      <rPr>
        <b/>
        <sz val="10"/>
        <color theme="1"/>
        <rFont val="Arial Narrow"/>
        <family val="2"/>
      </rPr>
      <t>)</t>
    </r>
  </si>
  <si>
    <t>PO / NBF / 050623 / 38</t>
  </si>
  <si>
    <r>
      <t>Deforce Injection (</t>
    </r>
    <r>
      <rPr>
        <b/>
        <sz val="10"/>
        <color rgb="FF800000"/>
        <rFont val="Arial Narrow"/>
        <family val="2"/>
      </rPr>
      <t>Izda Healthcare</t>
    </r>
    <r>
      <rPr>
        <b/>
        <sz val="10"/>
        <color theme="1"/>
        <rFont val="Arial Narrow"/>
        <family val="2"/>
      </rPr>
      <t>)</t>
    </r>
  </si>
  <si>
    <t>PO / NBF / 050623 / 39</t>
  </si>
  <si>
    <r>
      <t>FLYVIN (</t>
    </r>
    <r>
      <rPr>
        <b/>
        <sz val="10"/>
        <color rgb="FF800000"/>
        <rFont val="Arial Narrow"/>
        <family val="2"/>
      </rPr>
      <t>We Care Animal Health</t>
    </r>
    <r>
      <rPr>
        <b/>
        <sz val="10"/>
        <color theme="1"/>
        <rFont val="Arial Narrow"/>
        <family val="2"/>
      </rPr>
      <t>)</t>
    </r>
  </si>
  <si>
    <t>PO / NBF / 050623 / 40</t>
  </si>
  <si>
    <t>We Care Animal Health, Bengal</t>
  </si>
  <si>
    <t>INACTIVATED EDS VACCINE</t>
  </si>
  <si>
    <t>PO / NBF / 070623 / 41</t>
  </si>
  <si>
    <r>
      <t>IB ASTRO (</t>
    </r>
    <r>
      <rPr>
        <b/>
        <sz val="10"/>
        <color rgb="FF800000"/>
        <rFont val="Arial Narrow"/>
        <family val="2"/>
      </rPr>
      <t>AEIBH</t>
    </r>
    <r>
      <rPr>
        <b/>
        <sz val="10"/>
        <color theme="1"/>
        <rFont val="Arial Narrow"/>
        <family val="2"/>
      </rPr>
      <t>) KILLED VAC</t>
    </r>
  </si>
  <si>
    <t>PO / NBF / 070623 / 42</t>
  </si>
  <si>
    <r>
      <t>KEMZYME-XPF (</t>
    </r>
    <r>
      <rPr>
        <b/>
        <sz val="10"/>
        <color rgb="FF800000"/>
        <rFont val="Arial Narrow"/>
        <family val="2"/>
      </rPr>
      <t>Kemin Indus</t>
    </r>
    <r>
      <rPr>
        <b/>
        <sz val="10"/>
        <color theme="1"/>
        <rFont val="Arial Narrow"/>
        <family val="2"/>
      </rPr>
      <t>.)</t>
    </r>
  </si>
  <si>
    <t>PO / NBF / 200623 / 43</t>
  </si>
  <si>
    <t>PO / NBF / 200623 / 44</t>
  </si>
  <si>
    <t>PO / NBF / 200623 / 45</t>
  </si>
  <si>
    <t>PO / NBF / 220623 / 46</t>
  </si>
  <si>
    <t>PO / NBF / 230623 / 47</t>
  </si>
  <si>
    <t>PO / NBF / 270623 / 48</t>
  </si>
  <si>
    <t>PO / NBF / 060723 / 49</t>
  </si>
  <si>
    <r>
      <t>STODI (</t>
    </r>
    <r>
      <rPr>
        <b/>
        <sz val="10"/>
        <color rgb="FF800000"/>
        <rFont val="Arial Narrow"/>
        <family val="2"/>
      </rPr>
      <t>Natural Remedies</t>
    </r>
    <r>
      <rPr>
        <b/>
        <sz val="10"/>
        <color theme="1"/>
        <rFont val="Arial Narrow"/>
        <family val="2"/>
      </rPr>
      <t>)</t>
    </r>
  </si>
  <si>
    <t>PO / NBF / 060723 / 50</t>
  </si>
  <si>
    <t>PO / NBF / 060723 / 51</t>
  </si>
  <si>
    <t>PO / NBF / 060723 / 52</t>
  </si>
  <si>
    <t>Ves Spa, Barasat, West Bengal</t>
  </si>
  <si>
    <r>
      <t>ALPHA D-3 PREVIT (</t>
    </r>
    <r>
      <rPr>
        <b/>
        <sz val="10"/>
        <color rgb="FF800000"/>
        <rFont val="Arial Narrow"/>
        <family val="2"/>
      </rPr>
      <t>Chembond</t>
    </r>
    <r>
      <rPr>
        <b/>
        <sz val="10"/>
        <color theme="1"/>
        <rFont val="Arial Narrow"/>
        <family val="2"/>
      </rPr>
      <t>)</t>
    </r>
  </si>
  <si>
    <t>PO / NBF / 110723 / 53</t>
  </si>
  <si>
    <t>ABP Enterprises, W. Bengal</t>
  </si>
  <si>
    <t>PO / NBF / 170723 / 54</t>
  </si>
  <si>
    <t>PO / NBF / 170723 / 55</t>
  </si>
  <si>
    <r>
      <t>STALGRO-8% (</t>
    </r>
    <r>
      <rPr>
        <b/>
        <sz val="10"/>
        <color rgb="FF800000"/>
        <rFont val="Arial Narrow"/>
        <family val="2"/>
      </rPr>
      <t>Stallen</t>
    </r>
    <r>
      <rPr>
        <b/>
        <sz val="10"/>
        <color theme="1"/>
        <rFont val="Arial Narrow"/>
        <family val="2"/>
      </rPr>
      <t>)</t>
    </r>
  </si>
  <si>
    <t>PO / NBF / 290723 / 56</t>
  </si>
  <si>
    <r>
      <t>VOLAMEL (</t>
    </r>
    <r>
      <rPr>
        <b/>
        <sz val="10"/>
        <color rgb="FF800000"/>
        <rFont val="Arial Narrow"/>
        <family val="2"/>
      </rPr>
      <t>Nukamel)</t>
    </r>
  </si>
  <si>
    <t>PO / NBF / 020823 / 57</t>
  </si>
  <si>
    <t>PO / NBF / 020823 / 58</t>
  </si>
  <si>
    <t>PO / NBF / 020823 / 59</t>
  </si>
  <si>
    <t>PO / NBF / 100823 / 60</t>
  </si>
  <si>
    <t>PO / NBF / 100823 / 61</t>
  </si>
  <si>
    <r>
      <t>PROTEXIN WS (</t>
    </r>
    <r>
      <rPr>
        <b/>
        <sz val="10"/>
        <color rgb="FF800000"/>
        <rFont val="Arial Narrow"/>
        <family val="2"/>
      </rPr>
      <t>Elanco</t>
    </r>
    <r>
      <rPr>
        <b/>
        <sz val="10"/>
        <color theme="1"/>
        <rFont val="Arial Narrow"/>
        <family val="2"/>
      </rPr>
      <t>)</t>
    </r>
  </si>
  <si>
    <t>PO / NBF / 110823 / 62</t>
  </si>
  <si>
    <t>Shwetha Enterprises, Hyderabad</t>
  </si>
  <si>
    <t>PO / NBF / 140823 / 63</t>
  </si>
  <si>
    <t>PO / NBF / 140823 / 64</t>
  </si>
  <si>
    <t>PO / NBF / 140823 / 65</t>
  </si>
  <si>
    <t>PO / NBF / 140823 / 66</t>
  </si>
  <si>
    <t>PO / NBF / 140823 / 67</t>
  </si>
  <si>
    <r>
      <t>SAFEGARD (</t>
    </r>
    <r>
      <rPr>
        <b/>
        <sz val="10"/>
        <color rgb="FF800000"/>
        <rFont val="Arial Narrow"/>
        <family val="2"/>
      </rPr>
      <t>B V Biocrop</t>
    </r>
    <r>
      <rPr>
        <b/>
        <sz val="10"/>
        <color theme="1"/>
        <rFont val="Arial Narrow"/>
        <family val="2"/>
      </rPr>
      <t>)</t>
    </r>
  </si>
  <si>
    <r>
      <t>VACCSURE 20 Gms (</t>
    </r>
    <r>
      <rPr>
        <b/>
        <sz val="10"/>
        <color rgb="FF800000"/>
        <rFont val="Arial Narrow"/>
        <family val="2"/>
      </rPr>
      <t>B V Biocrop</t>
    </r>
    <r>
      <rPr>
        <b/>
        <sz val="10"/>
        <color theme="1"/>
        <rFont val="Arial Narrow"/>
        <family val="2"/>
      </rPr>
      <t>)</t>
    </r>
  </si>
  <si>
    <t>PO / NBF / 240823 / 68</t>
  </si>
  <si>
    <r>
      <t>ELMIN-8 (</t>
    </r>
    <r>
      <rPr>
        <b/>
        <sz val="10"/>
        <color rgb="FF800000"/>
        <rFont val="Arial Narrow"/>
        <family val="2"/>
      </rPr>
      <t>AHP-Division</t>
    </r>
    <r>
      <rPr>
        <b/>
        <sz val="10"/>
        <color theme="1"/>
        <rFont val="Arial Narrow"/>
        <family val="2"/>
      </rPr>
      <t>)</t>
    </r>
  </si>
  <si>
    <r>
      <t>SOLUCAL (</t>
    </r>
    <r>
      <rPr>
        <b/>
        <sz val="10"/>
        <color rgb="FF800000"/>
        <rFont val="Arial Narrow"/>
        <family val="2"/>
      </rPr>
      <t>AHP-Division</t>
    </r>
    <r>
      <rPr>
        <b/>
        <sz val="10"/>
        <color theme="1"/>
        <rFont val="Arial Narrow"/>
        <family val="2"/>
      </rPr>
      <t>)</t>
    </r>
  </si>
  <si>
    <t>PO / NBF / 240823 / 69</t>
  </si>
  <si>
    <t>IBD KILLED VAC</t>
  </si>
  <si>
    <r>
      <t>VH V-4K (</t>
    </r>
    <r>
      <rPr>
        <b/>
        <sz val="10"/>
        <color rgb="FF800000"/>
        <rFont val="Arial Narrow"/>
        <family val="2"/>
      </rPr>
      <t>4-Way</t>
    </r>
    <r>
      <rPr>
        <b/>
        <sz val="10"/>
        <color theme="1"/>
        <rFont val="Arial Narrow"/>
        <family val="2"/>
      </rPr>
      <t>) KILLED VAC</t>
    </r>
  </si>
  <si>
    <t>PO / NBF / 240823 / 70</t>
  </si>
  <si>
    <r>
      <t>RECEPTOL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</si>
  <si>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PO / NBF / 240823 / 71</t>
  </si>
  <si>
    <t>Bhavani Veterinary Medical</t>
  </si>
  <si>
    <t>PO / NBF / 240823 / 72</t>
  </si>
  <si>
    <t>PO / NBF / 240823 / 73</t>
  </si>
  <si>
    <t>PO / NBF / 240823 / 74</t>
  </si>
  <si>
    <t>PO / NBF / 250823 / 75</t>
  </si>
  <si>
    <t>PO / NBF / 250823 / 76</t>
  </si>
  <si>
    <t>PO / NBF / 250823 / 77</t>
  </si>
  <si>
    <r>
      <t>FARMQUAT (</t>
    </r>
    <r>
      <rPr>
        <b/>
        <sz val="10"/>
        <color rgb="FF800000"/>
        <rFont val="Arial Narrow"/>
        <family val="2"/>
      </rPr>
      <t>Neogen</t>
    </r>
    <r>
      <rPr>
        <b/>
        <sz val="10"/>
        <color theme="1"/>
        <rFont val="Arial Narrow"/>
        <family val="2"/>
      </rPr>
      <t>)</t>
    </r>
  </si>
  <si>
    <t>PO / NBF / 300823 / 78</t>
  </si>
  <si>
    <t>PO / NBF / 300823 / 79</t>
  </si>
  <si>
    <t>Provimi Animal Nutrition India</t>
  </si>
  <si>
    <t>PO / NBF / 070923 / 80</t>
  </si>
  <si>
    <t>PO / NBF / 070923 / 81</t>
  </si>
  <si>
    <t>PO / NBF / 070923 / 82</t>
  </si>
  <si>
    <t>PO / NBF / 080923 / 83</t>
  </si>
  <si>
    <r>
      <t>DLM (</t>
    </r>
    <r>
      <rPr>
        <b/>
        <sz val="10"/>
        <color rgb="FF800000"/>
        <rFont val="Arial Narrow"/>
        <family val="2"/>
      </rPr>
      <t>Evonic</t>
    </r>
    <r>
      <rPr>
        <b/>
        <sz val="10"/>
        <color theme="1"/>
        <rFont val="Arial Narrow"/>
        <family val="2"/>
      </rPr>
      <t>)</t>
    </r>
  </si>
  <si>
    <t>PO / NBF / 120923 / 84</t>
  </si>
  <si>
    <t>PO / NBF / 140923 / 85</t>
  </si>
  <si>
    <t>PO / NBF / 150923 / 86</t>
  </si>
  <si>
    <r>
      <t>FORLUTIN 10% (</t>
    </r>
    <r>
      <rPr>
        <b/>
        <sz val="10"/>
        <color rgb="FF800000"/>
        <rFont val="Arial Narrow"/>
        <family val="2"/>
      </rPr>
      <t>Stallen</t>
    </r>
    <r>
      <rPr>
        <b/>
        <sz val="10"/>
        <color theme="1"/>
        <rFont val="Arial Narrow"/>
        <family val="2"/>
      </rPr>
      <t>)</t>
    </r>
  </si>
  <si>
    <t>PO / NBF / 190923 / 87</t>
  </si>
  <si>
    <r>
      <t>MASTERSORB</t>
    </r>
    <r>
      <rPr>
        <b/>
        <sz val="10"/>
        <rFont val="Arial Narrow"/>
        <family val="2"/>
      </rPr>
      <t xml:space="preserve"> (</t>
    </r>
    <r>
      <rPr>
        <b/>
        <sz val="10"/>
        <color rgb="FF800000"/>
        <rFont val="Arial Narrow"/>
        <family val="2"/>
      </rPr>
      <t>EW Nutrition</t>
    </r>
    <r>
      <rPr>
        <b/>
        <sz val="10"/>
        <color theme="1"/>
        <rFont val="Arial Narrow"/>
        <family val="2"/>
      </rPr>
      <t>)</t>
    </r>
  </si>
  <si>
    <t>PO / NBF / 190923 / 88</t>
  </si>
  <si>
    <t>PO / NBF / 250923 / 89</t>
  </si>
  <si>
    <t>PO / NBF / 250923 / 90</t>
  </si>
  <si>
    <t>PO / NBF / 290923 / 91</t>
  </si>
  <si>
    <t>PO / NBF / 290923 / 92</t>
  </si>
  <si>
    <r>
      <t>VES CHOL 60% (</t>
    </r>
    <r>
      <rPr>
        <b/>
        <sz val="10"/>
        <color rgb="FF800000"/>
        <rFont val="Arial Narrow"/>
        <family val="2"/>
      </rPr>
      <t>Vesper</t>
    </r>
    <r>
      <rPr>
        <b/>
        <sz val="10"/>
        <color theme="1"/>
        <rFont val="Arial Narrow"/>
        <family val="2"/>
      </rPr>
      <t>)</t>
    </r>
  </si>
  <si>
    <t>PO / NBF / 290923 / 93</t>
  </si>
  <si>
    <t>PO / NBF / 290923 / 94</t>
  </si>
  <si>
    <t>PO / NBF / 290923 / 95</t>
  </si>
  <si>
    <r>
      <t>TRACEMIN BB (</t>
    </r>
    <r>
      <rPr>
        <b/>
        <sz val="10"/>
        <color rgb="FF800000"/>
        <rFont val="Arial Narrow"/>
        <family val="2"/>
      </rPr>
      <t>BV Biocrop</t>
    </r>
    <r>
      <rPr>
        <b/>
        <sz val="10"/>
        <color theme="1"/>
        <rFont val="Arial Narrow"/>
        <family val="2"/>
      </rPr>
      <t>)</t>
    </r>
  </si>
  <si>
    <t>PO / NBF / 051023 / 96</t>
  </si>
  <si>
    <r>
      <t>LIV-52 PROTEC (</t>
    </r>
    <r>
      <rPr>
        <b/>
        <sz val="10"/>
        <color rgb="FF800000"/>
        <rFont val="Arial Narrow"/>
        <family val="2"/>
      </rPr>
      <t>Himalaya</t>
    </r>
    <r>
      <rPr>
        <b/>
        <sz val="10"/>
        <color theme="1"/>
        <rFont val="Arial Narrow"/>
        <family val="2"/>
      </rPr>
      <t>)</t>
    </r>
  </si>
  <si>
    <r>
      <t>Urimin Injection (</t>
    </r>
    <r>
      <rPr>
        <b/>
        <sz val="10"/>
        <color rgb="FF800000"/>
        <rFont val="Arial Narrow"/>
        <family val="2"/>
      </rPr>
      <t>Virba</t>
    </r>
    <r>
      <rPr>
        <b/>
        <sz val="10"/>
        <color theme="1"/>
        <rFont val="Arial Narrow"/>
        <family val="2"/>
      </rPr>
      <t>c)</t>
    </r>
  </si>
  <si>
    <t>PO / NBF / 051023 / 97</t>
  </si>
  <si>
    <t>PO / NBF / 051023 / 98</t>
  </si>
  <si>
    <t>PO / NBF / 051023 / 99</t>
  </si>
  <si>
    <t>PO / NBF / 051023 / 100</t>
  </si>
  <si>
    <t>POULTRY TMO PLUS</t>
  </si>
  <si>
    <t>PO / NBF / 121023 / 101</t>
  </si>
  <si>
    <t>Novus Animal Nutrition India Ltd</t>
  </si>
  <si>
    <t>PO / NBF / 171023 / 102</t>
  </si>
  <si>
    <r>
      <t>ALKAKARB (</t>
    </r>
    <r>
      <rPr>
        <b/>
        <sz val="10"/>
        <color rgb="FF800000"/>
        <rFont val="Arial Narrow"/>
        <family val="2"/>
      </rPr>
      <t>Tata Chemicals</t>
    </r>
    <r>
      <rPr>
        <b/>
        <sz val="10"/>
        <color theme="1"/>
        <rFont val="Arial Narrow"/>
        <family val="2"/>
      </rPr>
      <t>)</t>
    </r>
  </si>
  <si>
    <t>PO / NBF / 191023 / 103</t>
  </si>
  <si>
    <t>PO / NBF / 251023 / 104</t>
  </si>
  <si>
    <r>
      <t>CHLORAN-15%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</si>
  <si>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r>
      <t>HIMLAY (</t>
    </r>
    <r>
      <rPr>
        <b/>
        <sz val="10"/>
        <color rgb="FF800000"/>
        <rFont val="Arial Narrow"/>
        <family val="2"/>
      </rPr>
      <t>Himalaya</t>
    </r>
    <r>
      <rPr>
        <b/>
        <sz val="10"/>
        <color theme="1"/>
        <rFont val="Arial Narrow"/>
        <family val="2"/>
      </rPr>
      <t>)</t>
    </r>
  </si>
  <si>
    <t>PO / NBF / 251023 / 105</t>
  </si>
  <si>
    <t>PO / NBF / 011123 / 106</t>
  </si>
  <si>
    <t>PO / NBF / 011123 / 107</t>
  </si>
  <si>
    <r>
      <t>ENERLAC-NE (</t>
    </r>
    <r>
      <rPr>
        <b/>
        <sz val="10"/>
        <color rgb="FF800000"/>
        <rFont val="Arial Narrow"/>
        <family val="2"/>
      </rPr>
      <t>Alivira</t>
    </r>
    <r>
      <rPr>
        <b/>
        <sz val="10"/>
        <color theme="1"/>
        <rFont val="Arial Narrow"/>
        <family val="2"/>
      </rPr>
      <t>)</t>
    </r>
  </si>
  <si>
    <t>PO / NBF / 091123 / 108</t>
  </si>
  <si>
    <r>
      <t>SAFEGARD (</t>
    </r>
    <r>
      <rPr>
        <b/>
        <sz val="10"/>
        <color rgb="FF800000"/>
        <rFont val="Arial Narrow"/>
        <family val="2"/>
      </rPr>
      <t>BV Biocrop</t>
    </r>
    <r>
      <rPr>
        <b/>
        <sz val="10"/>
        <color theme="1"/>
        <rFont val="Arial Narrow"/>
        <family val="2"/>
      </rPr>
      <t>)</t>
    </r>
  </si>
  <si>
    <t>PO / NBF / 141123 / 109</t>
  </si>
  <si>
    <r>
      <t>FAMITONE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</si>
  <si>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r>
      <t>KAYSOL FORTE (</t>
    </r>
    <r>
      <rPr>
        <b/>
        <sz val="10"/>
        <color rgb="FF800000"/>
        <rFont val="Arial Narrow"/>
        <family val="2"/>
      </rPr>
      <t>Cargill</t>
    </r>
    <r>
      <rPr>
        <b/>
        <sz val="10"/>
        <color theme="1"/>
        <rFont val="Arial Narrow"/>
        <family val="2"/>
      </rPr>
      <t>)</t>
    </r>
  </si>
  <si>
    <r>
      <t>VVAANDOX (</t>
    </r>
    <r>
      <rPr>
        <b/>
        <sz val="10"/>
        <color rgb="FF800000"/>
        <rFont val="Arial Narrow"/>
        <family val="2"/>
      </rPr>
      <t>Veven Care</t>
    </r>
    <r>
      <rPr>
        <b/>
        <sz val="10"/>
        <color theme="1"/>
        <rFont val="Arial Narrow"/>
        <family val="2"/>
      </rPr>
      <t>)</t>
    </r>
  </si>
  <si>
    <t>PO / NBF / 141123 / 110</t>
  </si>
  <si>
    <r>
      <t>PROMED (</t>
    </r>
    <r>
      <rPr>
        <b/>
        <sz val="10"/>
        <color rgb="FF800000"/>
        <rFont val="Arial Narrow"/>
        <family val="2"/>
      </rPr>
      <t>Medichem Product</t>
    </r>
    <r>
      <rPr>
        <b/>
        <sz val="10"/>
        <color theme="1"/>
        <rFont val="Arial Narrow"/>
        <family val="2"/>
      </rPr>
      <t>)</t>
    </r>
  </si>
  <si>
    <t>PO / NBF / 141123 / 111</t>
  </si>
  <si>
    <r>
      <t>ILT (</t>
    </r>
    <r>
      <rPr>
        <b/>
        <sz val="10"/>
        <color rgb="FF800000"/>
        <rFont val="Arial Narrow"/>
        <family val="2"/>
      </rPr>
      <t>G-1000</t>
    </r>
    <r>
      <rPr>
        <b/>
        <sz val="10"/>
        <color theme="1"/>
        <rFont val="Arial Narrow"/>
        <family val="2"/>
      </rPr>
      <t>0) Live Vaccine</t>
    </r>
  </si>
  <si>
    <r>
      <t>INACTIVATED PULLET(</t>
    </r>
    <r>
      <rPr>
        <b/>
        <sz val="10"/>
        <color rgb="FF800000"/>
        <rFont val="Arial Narrow"/>
        <family val="2"/>
      </rPr>
      <t>LPAI</t>
    </r>
    <r>
      <rPr>
        <b/>
        <sz val="10"/>
        <color theme="1"/>
        <rFont val="Arial Narrow"/>
        <family val="2"/>
      </rPr>
      <t>) VAC</t>
    </r>
  </si>
  <si>
    <r>
      <t>INACTIVATED PULLET(</t>
    </r>
    <r>
      <rPr>
        <b/>
        <sz val="10"/>
        <color rgb="FF800000"/>
        <rFont val="Arial Narrow"/>
        <family val="2"/>
      </rPr>
      <t>HPAI</t>
    </r>
    <r>
      <rPr>
        <b/>
        <sz val="10"/>
        <color theme="1"/>
        <rFont val="Arial Narrow"/>
        <family val="2"/>
      </rPr>
      <t>) VAC</t>
    </r>
  </si>
  <si>
    <t>PO / NBF / 141123 / 112</t>
  </si>
  <si>
    <r>
      <t>TILMOVET (</t>
    </r>
    <r>
      <rPr>
        <b/>
        <sz val="10"/>
        <color rgb="FF800000"/>
        <rFont val="Arial Narrow"/>
        <family val="2"/>
      </rPr>
      <t>Huvepharma</t>
    </r>
    <r>
      <rPr>
        <b/>
        <sz val="10"/>
        <color theme="1"/>
        <rFont val="Arial Narrow"/>
        <family val="2"/>
      </rPr>
      <t>)</t>
    </r>
  </si>
  <si>
    <t>PO / NBF / 141123 / 113</t>
  </si>
  <si>
    <t>PO / NBF / 141123 / 114</t>
  </si>
  <si>
    <r>
      <t>Nobilis CAV P-4 Live Vaccine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</si>
  <si>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r>
      <t>Nobilis IB MA-5 Live Vaccine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</si>
  <si>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r>
      <t>Nobilis REO 1133 Live Vaccine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</si>
  <si>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PO / NBF / 141123 / 115</t>
  </si>
  <si>
    <t>Sterile Diluent for Fowl Pox Live</t>
  </si>
  <si>
    <t>Sterile Diluent for R2B Live</t>
  </si>
  <si>
    <t>Sterile Diluent for VVMD Live</t>
  </si>
  <si>
    <t>Sterile Diluent for Others Live</t>
  </si>
  <si>
    <r>
      <t>IBD Intermediate (</t>
    </r>
    <r>
      <rPr>
        <b/>
        <sz val="10"/>
        <color rgb="FF800000"/>
        <rFont val="Arial Narrow"/>
        <family val="2"/>
      </rPr>
      <t>Plus Type)</t>
    </r>
    <r>
      <rPr>
        <b/>
        <sz val="10"/>
        <color theme="1"/>
        <rFont val="Arial Narrow"/>
        <family val="2"/>
      </rPr>
      <t xml:space="preserve"> Live</t>
    </r>
  </si>
  <si>
    <r>
      <t>IB (</t>
    </r>
    <r>
      <rPr>
        <b/>
        <sz val="10"/>
        <color rgb="FF800000"/>
        <rFont val="Arial Narrow"/>
        <family val="2"/>
      </rPr>
      <t>H-120</t>
    </r>
    <r>
      <rPr>
        <b/>
        <sz val="10"/>
        <color theme="1"/>
        <rFont val="Arial Narrow"/>
        <family val="2"/>
      </rPr>
      <t>) Live Vacine</t>
    </r>
  </si>
  <si>
    <r>
      <t>IB (</t>
    </r>
    <r>
      <rPr>
        <b/>
        <sz val="10"/>
        <color rgb="FF800000"/>
        <rFont val="Arial Narrow"/>
        <family val="2"/>
      </rPr>
      <t>Mass Type</t>
    </r>
    <r>
      <rPr>
        <b/>
        <sz val="10"/>
        <color theme="1"/>
        <rFont val="Arial Narrow"/>
        <family val="2"/>
      </rPr>
      <t>) Live Vacine</t>
    </r>
  </si>
  <si>
    <r>
      <t>VH F1-C7 (</t>
    </r>
    <r>
      <rPr>
        <b/>
        <sz val="10"/>
        <color rgb="FF800000"/>
        <rFont val="Arial Narrow"/>
        <family val="2"/>
      </rPr>
      <t>FC+IC</t>
    </r>
    <r>
      <rPr>
        <b/>
        <sz val="10"/>
        <color theme="1"/>
        <rFont val="Arial Narrow"/>
        <family val="2"/>
      </rPr>
      <t>) KILLED VAC</t>
    </r>
  </si>
  <si>
    <r>
      <t>VVMD (</t>
    </r>
    <r>
      <rPr>
        <b/>
        <sz val="10"/>
        <color rgb="FF800000"/>
        <rFont val="Arial Narrow"/>
        <family val="2"/>
      </rPr>
      <t>HVT+SB-1</t>
    </r>
    <r>
      <rPr>
        <b/>
        <sz val="10"/>
        <color theme="1"/>
        <rFont val="Arial Narrow"/>
        <family val="2"/>
      </rPr>
      <t>) Live Vaccine</t>
    </r>
  </si>
  <si>
    <r>
      <t>IBD Intermediate (</t>
    </r>
    <r>
      <rPr>
        <b/>
        <sz val="10"/>
        <color rgb="FF800000"/>
        <rFont val="Arial Narrow"/>
        <family val="2"/>
      </rPr>
      <t>Standard</t>
    </r>
    <r>
      <rPr>
        <b/>
        <sz val="10"/>
        <color theme="1"/>
        <rFont val="Arial Narrow"/>
        <family val="2"/>
      </rPr>
      <t>) Live</t>
    </r>
  </si>
  <si>
    <t>PO / NBF / 141123 / 116</t>
  </si>
  <si>
    <r>
      <t>Lysine-HCL (</t>
    </r>
    <r>
      <rPr>
        <b/>
        <sz val="10"/>
        <color rgb="FF800000"/>
        <rFont val="Arial Narrow"/>
        <family val="2"/>
      </rPr>
      <t>Sewon)</t>
    </r>
  </si>
  <si>
    <r>
      <t>DLM (</t>
    </r>
    <r>
      <rPr>
        <b/>
        <sz val="10"/>
        <color rgb="FF800000"/>
        <rFont val="Arial Narrow"/>
        <family val="2"/>
      </rPr>
      <t>Evonik</t>
    </r>
    <r>
      <rPr>
        <b/>
        <sz val="10"/>
        <color theme="1"/>
        <rFont val="Arial Narrow"/>
        <family val="2"/>
      </rPr>
      <t>)</t>
    </r>
  </si>
  <si>
    <t>PO / NBF / 161123 / 117</t>
  </si>
  <si>
    <r>
      <t>MCP (</t>
    </r>
    <r>
      <rPr>
        <b/>
        <sz val="10"/>
        <color rgb="FF800000"/>
        <rFont val="Arial Narrow"/>
        <family val="2"/>
      </rPr>
      <t>Channen</t>
    </r>
    <r>
      <rPr>
        <b/>
        <sz val="10"/>
        <color theme="1"/>
        <rFont val="Arial Narrow"/>
        <family val="2"/>
      </rPr>
      <t>)</t>
    </r>
  </si>
  <si>
    <t>PO / NBF / 181123 / 118</t>
  </si>
  <si>
    <t>PO / NBF / 181123 / 119</t>
  </si>
  <si>
    <r>
      <t>AQUAMAX (</t>
    </r>
    <r>
      <rPr>
        <b/>
        <sz val="10"/>
        <color rgb="FF800000"/>
        <rFont val="Arial Narrow"/>
        <family val="2"/>
      </rPr>
      <t>BV Biocrop</t>
    </r>
    <r>
      <rPr>
        <b/>
        <sz val="10"/>
        <color theme="1"/>
        <rFont val="Arial Narrow"/>
        <family val="2"/>
      </rPr>
      <t>)</t>
    </r>
  </si>
  <si>
    <t>PO / NBF / 201123 / 120</t>
  </si>
  <si>
    <r>
      <t>VENTRIPLEX-M 4X (</t>
    </r>
    <r>
      <rPr>
        <b/>
        <sz val="10"/>
        <color rgb="FF800000"/>
        <rFont val="Arial Narrow"/>
        <family val="2"/>
      </rPr>
      <t>AHP Division</t>
    </r>
    <r>
      <rPr>
        <b/>
        <sz val="10"/>
        <color theme="1"/>
        <rFont val="Arial Narrow"/>
        <family val="2"/>
      </rPr>
      <t>)</t>
    </r>
  </si>
  <si>
    <t>PO / NBF / 201123 / 121</t>
  </si>
  <si>
    <r>
      <t>OXY-LA Injection (</t>
    </r>
    <r>
      <rPr>
        <b/>
        <sz val="10"/>
        <color rgb="FF800000"/>
        <rFont val="Arial Narrow"/>
        <family val="2"/>
      </rPr>
      <t>Zenex-AH)</t>
    </r>
  </si>
  <si>
    <t>PO / NBF / 211123 / 122</t>
  </si>
  <si>
    <r>
      <t>Tylomax Injection (</t>
    </r>
    <r>
      <rPr>
        <b/>
        <sz val="10"/>
        <color rgb="FF800000"/>
        <rFont val="Arial Narrow"/>
        <family val="2"/>
      </rPr>
      <t>Intas</t>
    </r>
    <r>
      <rPr>
        <b/>
        <sz val="10"/>
        <color theme="1"/>
        <rFont val="Arial Narrow"/>
        <family val="2"/>
      </rPr>
      <t>)</t>
    </r>
  </si>
  <si>
    <t>PO / NBF / 211123 / 123</t>
  </si>
  <si>
    <t>PO / NBF / 211123 / 124</t>
  </si>
  <si>
    <r>
      <t>TIAMU-MED (</t>
    </r>
    <r>
      <rPr>
        <b/>
        <sz val="10"/>
        <color rgb="FF800000"/>
        <rFont val="Arial Narrow"/>
        <family val="2"/>
      </rPr>
      <t>Medichem Product</t>
    </r>
    <r>
      <rPr>
        <b/>
        <sz val="10"/>
        <color theme="1"/>
        <rFont val="Arial Narrow"/>
        <family val="2"/>
      </rPr>
      <t>)</t>
    </r>
  </si>
  <si>
    <t>PO / NBF / 211123 / 125</t>
  </si>
  <si>
    <t>PO / NBF / 211123 / 126</t>
  </si>
  <si>
    <t>PO / NBF / 211123 / 127</t>
  </si>
  <si>
    <t>PO / NBF / 281123 / 128</t>
  </si>
  <si>
    <r>
      <t>VH V- 4K (</t>
    </r>
    <r>
      <rPr>
        <b/>
        <sz val="10"/>
        <color rgb="FF800000"/>
        <rFont val="Arial Narrow"/>
        <family val="2"/>
      </rPr>
      <t>4way</t>
    </r>
    <r>
      <rPr>
        <b/>
        <sz val="10"/>
        <color theme="1"/>
        <rFont val="Arial Narrow"/>
        <family val="2"/>
      </rPr>
      <t>) KILLED VAC</t>
    </r>
  </si>
  <si>
    <t>PO / NBF / 281123 / 129</t>
  </si>
  <si>
    <r>
      <t>BIO - D 100 (</t>
    </r>
    <r>
      <rPr>
        <b/>
        <sz val="10"/>
        <color rgb="FF800000"/>
        <rFont val="Arial Narrow"/>
        <family val="2"/>
      </rPr>
      <t>Huvepharma</t>
    </r>
    <r>
      <rPr>
        <b/>
        <sz val="10"/>
        <color theme="1"/>
        <rFont val="Arial Narrow"/>
        <family val="2"/>
      </rPr>
      <t>)</t>
    </r>
  </si>
  <si>
    <t>PO / NBF / 281123 / 130</t>
  </si>
  <si>
    <r>
      <t>BIOPLEX PRIME (</t>
    </r>
    <r>
      <rPr>
        <b/>
        <sz val="10"/>
        <color rgb="FF800000"/>
        <rFont val="Arial Narrow"/>
        <family val="2"/>
      </rPr>
      <t>Alltech</t>
    </r>
    <r>
      <rPr>
        <b/>
        <sz val="10"/>
        <color theme="1"/>
        <rFont val="Arial Narrow"/>
        <family val="2"/>
      </rPr>
      <t>)</t>
    </r>
  </si>
  <si>
    <t>PO / NBF / 281123 / 131</t>
  </si>
  <si>
    <t>PO / NBF / 281123 / 132</t>
  </si>
  <si>
    <t>PO / NBF / 301123 / 133</t>
  </si>
  <si>
    <t>PO / NBF / 081223 / 134</t>
  </si>
  <si>
    <t>PO / NBF / 091223 / 135</t>
  </si>
  <si>
    <t>PO / NBF / 111223 / 136</t>
  </si>
  <si>
    <r>
      <t>ROVIMIX-E 50 (</t>
    </r>
    <r>
      <rPr>
        <b/>
        <sz val="10"/>
        <color rgb="FF800000"/>
        <rFont val="Arial Narrow"/>
        <family val="2"/>
      </rPr>
      <t>DSM)</t>
    </r>
  </si>
  <si>
    <t>PO / NBF / 111223 / 137</t>
  </si>
  <si>
    <t>Jeco Agrovet Pvt Ltd, Kolkata</t>
  </si>
  <si>
    <r>
      <t>KEMZYME-XPF (</t>
    </r>
    <r>
      <rPr>
        <b/>
        <sz val="10"/>
        <color rgb="FF800000"/>
        <rFont val="Arial Narrow"/>
        <family val="2"/>
      </rPr>
      <t>Kemin Indus.</t>
    </r>
    <r>
      <rPr>
        <b/>
        <sz val="10"/>
        <color theme="1"/>
        <rFont val="Arial Narrow"/>
        <family val="2"/>
      </rPr>
      <t>)</t>
    </r>
  </si>
  <si>
    <t>PO / NBF / 111223 / 138</t>
  </si>
  <si>
    <t>PO / NBF / 111223 / 139</t>
  </si>
  <si>
    <r>
      <t>B-904 (</t>
    </r>
    <r>
      <rPr>
        <b/>
        <sz val="10"/>
        <color rgb="FF800000"/>
        <rFont val="Arial Narrow"/>
        <family val="2"/>
      </rPr>
      <t>BV Biocrop</t>
    </r>
    <r>
      <rPr>
        <b/>
        <sz val="10"/>
        <color theme="1"/>
        <rFont val="Arial Narrow"/>
        <family val="2"/>
      </rPr>
      <t>)</t>
    </r>
  </si>
  <si>
    <t>PO / NBF / 121223 / 140</t>
  </si>
  <si>
    <t>PO / NBF / 121223 / 141</t>
  </si>
  <si>
    <t>PO / NBF / 201223 / 142</t>
  </si>
  <si>
    <r>
      <t>OXY-LA INJECTION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</si>
  <si>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r>
      <t>TRYSIL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</si>
  <si>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t>PO / NBF / 281223 / 143</t>
  </si>
  <si>
    <r>
      <t>SPERMED (</t>
    </r>
    <r>
      <rPr>
        <b/>
        <sz val="10"/>
        <color rgb="FF800000"/>
        <rFont val="Arial Narrow"/>
        <family val="2"/>
      </rPr>
      <t>Medichem Produc</t>
    </r>
    <r>
      <rPr>
        <b/>
        <sz val="10"/>
        <color theme="1"/>
        <rFont val="Arial Narrow"/>
        <family val="2"/>
      </rPr>
      <t>t)</t>
    </r>
  </si>
  <si>
    <t>PO / NBF / 281223 / 144</t>
  </si>
  <si>
    <t>PO / NBF / 281223 / 145</t>
  </si>
  <si>
    <t>PO / NBF / 281223 / 146</t>
  </si>
  <si>
    <t>PO / NBF / 080124 / 147</t>
  </si>
  <si>
    <t>PO / NBF / 110124 / 148</t>
  </si>
  <si>
    <r>
      <t>Breeder Vitamin Premix (</t>
    </r>
    <r>
      <rPr>
        <b/>
        <sz val="10"/>
        <color rgb="FF800000"/>
        <rFont val="Arial Narrow"/>
        <family val="2"/>
      </rPr>
      <t>Custom)</t>
    </r>
  </si>
  <si>
    <t>PO / NBF / 110124 / 149</t>
  </si>
  <si>
    <t>PO / NBF / 120124 / 150</t>
  </si>
  <si>
    <t>PO / NBF / 150124 / 151</t>
  </si>
  <si>
    <r>
      <t>ND (</t>
    </r>
    <r>
      <rPr>
        <b/>
        <sz val="10"/>
        <color rgb="FF800000"/>
        <rFont val="Arial Narrow"/>
        <family val="2"/>
      </rPr>
      <t>Visa-15</t>
    </r>
    <r>
      <rPr>
        <b/>
        <sz val="10"/>
        <color theme="1"/>
        <rFont val="Arial Narrow"/>
        <family val="2"/>
      </rPr>
      <t>) KILLED VAC</t>
    </r>
  </si>
  <si>
    <t>PO / NBF / 150124 / 152</t>
  </si>
  <si>
    <r>
      <t>BIO-D 100 (</t>
    </r>
    <r>
      <rPr>
        <b/>
        <sz val="10"/>
        <color rgb="FF800000"/>
        <rFont val="Arial Narrow"/>
        <family val="2"/>
      </rPr>
      <t>Huvepharma</t>
    </r>
    <r>
      <rPr>
        <b/>
        <sz val="10"/>
        <color theme="1"/>
        <rFont val="Arial Narrow"/>
        <family val="2"/>
      </rPr>
      <t>)</t>
    </r>
  </si>
  <si>
    <t>PO / NBF / 200124 / 153</t>
  </si>
  <si>
    <t>PO / NBF / 200124 / 154</t>
  </si>
  <si>
    <t>PO / NBF / 220124 / 155</t>
  </si>
  <si>
    <r>
      <t>HIMFLORA (</t>
    </r>
    <r>
      <rPr>
        <b/>
        <sz val="10"/>
        <color rgb="FF800000"/>
        <rFont val="Arial Narrow"/>
        <family val="2"/>
      </rPr>
      <t>Himalaya</t>
    </r>
    <r>
      <rPr>
        <b/>
        <sz val="10"/>
        <color theme="1"/>
        <rFont val="Arial Narrow"/>
        <family val="2"/>
      </rPr>
      <t>)</t>
    </r>
  </si>
  <si>
    <t>PO / NBF / 220124 / 156</t>
  </si>
  <si>
    <t>PO / NBF / 220124 / 157</t>
  </si>
  <si>
    <t>PO / NBF / 240124 / 158</t>
  </si>
  <si>
    <t>INACTIVATED EDS VAC</t>
  </si>
  <si>
    <r>
      <t>ILT (</t>
    </r>
    <r>
      <rPr>
        <b/>
        <sz val="10"/>
        <color rgb="FF800000"/>
        <rFont val="Arial Narrow"/>
        <family val="2"/>
      </rPr>
      <t>G-10000</t>
    </r>
    <r>
      <rPr>
        <b/>
        <sz val="10"/>
        <color theme="1"/>
        <rFont val="Arial Narrow"/>
        <family val="2"/>
      </rPr>
      <t>) Live Vaccine</t>
    </r>
  </si>
  <si>
    <r>
      <t>INACTIVATED PULLET</t>
    </r>
    <r>
      <rPr>
        <b/>
        <sz val="10"/>
        <rFont val="Arial Narrow"/>
        <family val="2"/>
      </rPr>
      <t>(</t>
    </r>
    <r>
      <rPr>
        <b/>
        <sz val="10"/>
        <color rgb="FF800000"/>
        <rFont val="Arial Narrow"/>
        <family val="2"/>
      </rPr>
      <t>LPAI</t>
    </r>
    <r>
      <rPr>
        <b/>
        <sz val="10"/>
        <rFont val="Arial Narrow"/>
        <family val="2"/>
      </rPr>
      <t>)</t>
    </r>
    <r>
      <rPr>
        <b/>
        <sz val="10"/>
        <color theme="1"/>
        <rFont val="Arial Narrow"/>
        <family val="2"/>
      </rPr>
      <t xml:space="preserve"> VAC</t>
    </r>
  </si>
  <si>
    <t>PO / NBF / 290124 / 159</t>
  </si>
  <si>
    <r>
      <t>Hipraviar Clon 79 (</t>
    </r>
    <r>
      <rPr>
        <b/>
        <sz val="10"/>
        <color rgb="FF800000"/>
        <rFont val="Arial Narrow"/>
        <family val="2"/>
      </rPr>
      <t>Hipra</t>
    </r>
    <r>
      <rPr>
        <b/>
        <sz val="10"/>
        <color theme="1"/>
        <rFont val="Arial Narrow"/>
        <family val="2"/>
      </rPr>
      <t>)</t>
    </r>
  </si>
  <si>
    <r>
      <t>Hipraviar BPL-2 Killed (</t>
    </r>
    <r>
      <rPr>
        <b/>
        <sz val="10"/>
        <color rgb="FF800000"/>
        <rFont val="Arial Narrow"/>
        <family val="2"/>
      </rPr>
      <t>Hipra)</t>
    </r>
  </si>
  <si>
    <r>
      <t>TRI REO KILLED (</t>
    </r>
    <r>
      <rPr>
        <b/>
        <sz val="10"/>
        <color rgb="FF800000"/>
        <rFont val="Arial Narrow"/>
        <family val="2"/>
      </rPr>
      <t>Zoetis</t>
    </r>
    <r>
      <rPr>
        <b/>
        <sz val="10"/>
        <color theme="1"/>
        <rFont val="Arial Narrow"/>
        <family val="2"/>
      </rPr>
      <t>)</t>
    </r>
  </si>
  <si>
    <t>PO / NBF / 300124 / 160</t>
  </si>
  <si>
    <t>Das Drug Centre Pvt Ltd, Habra</t>
  </si>
  <si>
    <t>AE KILLED VAC (Venkys)</t>
  </si>
  <si>
    <t>IBD KILLED VAC (Venkys)</t>
  </si>
  <si>
    <t>IBH KILLED VAC (Venkys)</t>
  </si>
  <si>
    <t>MG KILLED VAC (Venkys)</t>
  </si>
  <si>
    <t>REO KILLED VAC (Venkys)</t>
  </si>
  <si>
    <t>PO / NBF / 300124 / 161</t>
  </si>
  <si>
    <r>
      <t>Veennewbro (</t>
    </r>
    <r>
      <rPr>
        <b/>
        <sz val="10"/>
        <color rgb="FF800000"/>
        <rFont val="Arial Narrow"/>
        <family val="2"/>
      </rPr>
      <t>ND+IB Multi</t>
    </r>
    <r>
      <rPr>
        <b/>
        <sz val="10"/>
        <color theme="1"/>
        <rFont val="Arial Narrow"/>
        <family val="2"/>
      </rPr>
      <t>) KILLED VAC</t>
    </r>
  </si>
  <si>
    <t>PO / NBF / 300124 / 162</t>
  </si>
  <si>
    <t>Venkateshwara Marketing, Hyd</t>
  </si>
  <si>
    <t>PO / NBF / 020224 / 163</t>
  </si>
  <si>
    <t>PO / NBF / 100224 / 164</t>
  </si>
  <si>
    <r>
      <t>TRITYL- 62.5 (</t>
    </r>
    <r>
      <rPr>
        <b/>
        <sz val="10"/>
        <color rgb="FF800000"/>
        <rFont val="Arial Narrow"/>
        <family val="2"/>
      </rPr>
      <t>Alivira</t>
    </r>
    <r>
      <rPr>
        <b/>
        <sz val="10"/>
        <color theme="1"/>
        <rFont val="Arial Narrow"/>
        <family val="2"/>
      </rPr>
      <t>)</t>
    </r>
  </si>
  <si>
    <r>
      <t>CPG-100 (</t>
    </r>
    <r>
      <rPr>
        <b/>
        <sz val="10"/>
        <color rgb="FF800000"/>
        <rFont val="Arial Narrow"/>
        <family val="2"/>
      </rPr>
      <t>BV Biocrop</t>
    </r>
    <r>
      <rPr>
        <b/>
        <sz val="10"/>
        <color theme="1"/>
        <rFont val="Arial Narrow"/>
        <family val="2"/>
      </rPr>
      <t>)</t>
    </r>
  </si>
  <si>
    <r>
      <t>VACCSURE (</t>
    </r>
    <r>
      <rPr>
        <b/>
        <sz val="10"/>
        <color rgb="FF800000"/>
        <rFont val="Arial Narrow"/>
        <family val="2"/>
      </rPr>
      <t>20 Gram</t>
    </r>
    <r>
      <rPr>
        <b/>
        <sz val="10"/>
        <color theme="1"/>
        <rFont val="Arial Narrow"/>
        <family val="2"/>
      </rPr>
      <t>) TAB</t>
    </r>
  </si>
  <si>
    <t>PO / NBF / 100224 / 165</t>
  </si>
  <si>
    <r>
      <t>ELECTROCARE PLUS (</t>
    </r>
    <r>
      <rPr>
        <b/>
        <sz val="10"/>
        <color rgb="FF800000"/>
        <rFont val="Arial Narrow"/>
        <family val="2"/>
      </rPr>
      <t>Cargill</t>
    </r>
    <r>
      <rPr>
        <b/>
        <sz val="10"/>
        <color theme="1"/>
        <rFont val="Arial Narrow"/>
        <family val="2"/>
      </rPr>
      <t>)</t>
    </r>
  </si>
  <si>
    <r>
      <t>KHORSOLIN-TH (</t>
    </r>
    <r>
      <rPr>
        <b/>
        <sz val="10"/>
        <color rgb="FF800000"/>
        <rFont val="Arial Narrow"/>
        <family val="2"/>
      </rPr>
      <t>Virbac</t>
    </r>
    <r>
      <rPr>
        <b/>
        <sz val="10"/>
        <color theme="1"/>
        <rFont val="Arial Narrow"/>
        <family val="2"/>
      </rPr>
      <t>)</t>
    </r>
  </si>
  <si>
    <r>
      <t>LEMASOL-P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</si>
  <si>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r>
      <t>STODI (</t>
    </r>
    <r>
      <rPr>
        <b/>
        <sz val="10"/>
        <color rgb="FF800000"/>
        <rFont val="Arial Narrow"/>
        <family val="2"/>
      </rPr>
      <t>Natural Remedie</t>
    </r>
    <r>
      <rPr>
        <b/>
        <sz val="10"/>
        <color theme="1"/>
        <rFont val="Arial Narrow"/>
        <family val="2"/>
      </rPr>
      <t>s)</t>
    </r>
  </si>
  <si>
    <r>
      <t>TRYSIL (</t>
    </r>
    <r>
      <rPr>
        <b/>
        <sz val="10"/>
        <color rgb="FF800000"/>
        <rFont val="Arial Narrow"/>
        <family val="2"/>
      </rPr>
      <t>Kemin Inds</t>
    </r>
    <r>
      <rPr>
        <b/>
        <sz val="10"/>
        <color theme="1"/>
        <rFont val="Arial Narrow"/>
        <family val="2"/>
      </rPr>
      <t>.)</t>
    </r>
  </si>
  <si>
    <t>PO / NBF / 100224 / 166</t>
  </si>
  <si>
    <t>PO / NBF / 100224 / 167</t>
  </si>
  <si>
    <t>PO / NBF / 100224 / 168</t>
  </si>
  <si>
    <t>PO / NBF / 120224 / 169</t>
  </si>
  <si>
    <t>PO / NBF / 120224 / 170</t>
  </si>
  <si>
    <r>
      <t>LEVUCELL- SB (</t>
    </r>
    <r>
      <rPr>
        <b/>
        <sz val="10"/>
        <color rgb="FF800000"/>
        <rFont val="Arial Narrow"/>
        <family val="2"/>
      </rPr>
      <t>BV Biocrop)</t>
    </r>
  </si>
  <si>
    <t>PO / NBF / 150224 / 171</t>
  </si>
  <si>
    <r>
      <t>AO BIOTICS EQE (</t>
    </r>
    <r>
      <rPr>
        <b/>
        <sz val="10"/>
        <color rgb="FF800000"/>
        <rFont val="Arial Narrow"/>
        <family val="2"/>
      </rPr>
      <t>BioZyme</t>
    </r>
    <r>
      <rPr>
        <b/>
        <sz val="10"/>
        <color theme="1"/>
        <rFont val="Arial Narrow"/>
        <family val="2"/>
      </rPr>
      <t>)</t>
    </r>
  </si>
  <si>
    <t>PO / NBF / 160224 / 172</t>
  </si>
  <si>
    <r>
      <t>PHYTOCEE (</t>
    </r>
    <r>
      <rPr>
        <b/>
        <sz val="10"/>
        <color rgb="FF800000"/>
        <rFont val="Arial Narrow"/>
        <family val="2"/>
      </rPr>
      <t>Natural Remedies</t>
    </r>
    <r>
      <rPr>
        <b/>
        <sz val="10"/>
        <color theme="1"/>
        <rFont val="Arial Narrow"/>
        <family val="2"/>
      </rPr>
      <t>)</t>
    </r>
  </si>
  <si>
    <t>PO / NBF / 240224 / 173</t>
  </si>
  <si>
    <t>PO / NBF / 240224 / 174</t>
  </si>
  <si>
    <t>PO / NBF / 260224 / 175</t>
  </si>
  <si>
    <r>
      <t>BRONCHIN KILLED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</si>
  <si>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r>
      <t>VVANDOX (</t>
    </r>
    <r>
      <rPr>
        <b/>
        <sz val="10"/>
        <color rgb="FF800000"/>
        <rFont val="Arial Narrow"/>
        <family val="2"/>
      </rPr>
      <t>Vivan</t>
    </r>
    <r>
      <rPr>
        <b/>
        <sz val="10"/>
        <color theme="1"/>
        <rFont val="Arial Narrow"/>
        <family val="2"/>
      </rPr>
      <t>)</t>
    </r>
  </si>
  <si>
    <r>
      <t>INACTIVATED PULLET(</t>
    </r>
    <r>
      <rPr>
        <b/>
        <sz val="10"/>
        <color rgb="FF800000"/>
        <rFont val="Arial Narrow"/>
        <family val="2"/>
      </rPr>
      <t>LPAI)</t>
    </r>
    <r>
      <rPr>
        <b/>
        <sz val="10"/>
        <color theme="1"/>
        <rFont val="Arial Narrow"/>
        <family val="2"/>
      </rPr>
      <t xml:space="preserve"> VAC</t>
    </r>
  </si>
  <si>
    <t>PO / NBF / 260224 / 176</t>
  </si>
  <si>
    <t>PO / NBF / 260224 / 177</t>
  </si>
  <si>
    <t>ND (Visa-15) KILLED VAC</t>
  </si>
  <si>
    <t>PO / NBF / 260224 / 178</t>
  </si>
  <si>
    <r>
      <t>IBD Intermediate (</t>
    </r>
    <r>
      <rPr>
        <b/>
        <sz val="10"/>
        <color rgb="FF800000"/>
        <rFont val="Arial Narrow"/>
        <family val="2"/>
      </rPr>
      <t>Plus Type</t>
    </r>
    <r>
      <rPr>
        <b/>
        <sz val="10"/>
        <color theme="1"/>
        <rFont val="Arial Narrow"/>
        <family val="2"/>
      </rPr>
      <t>) Live</t>
    </r>
  </si>
  <si>
    <t>PO / NBF / 260224 / 179</t>
  </si>
  <si>
    <r>
      <t>SOLUCAL (</t>
    </r>
    <r>
      <rPr>
        <b/>
        <sz val="10"/>
        <color rgb="FF800000"/>
        <rFont val="Arial Narrow"/>
        <family val="2"/>
      </rPr>
      <t>AHP Div</t>
    </r>
    <r>
      <rPr>
        <b/>
        <sz val="10"/>
        <color theme="1"/>
        <rFont val="Arial Narrow"/>
        <family val="2"/>
      </rPr>
      <t>)</t>
    </r>
  </si>
  <si>
    <t>PO / NBF / 260224 / 180</t>
  </si>
  <si>
    <t>PO / NBF / 260224 / 181</t>
  </si>
  <si>
    <r>
      <t>BVCLO2 (</t>
    </r>
    <r>
      <rPr>
        <b/>
        <sz val="10"/>
        <color rgb="FF800000"/>
        <rFont val="Arial Narrow"/>
        <family val="2"/>
      </rPr>
      <t>10 Gms</t>
    </r>
    <r>
      <rPr>
        <b/>
        <sz val="10"/>
        <color theme="1"/>
        <rFont val="Arial Narrow"/>
        <family val="2"/>
      </rPr>
      <t>) TAB (</t>
    </r>
    <r>
      <rPr>
        <b/>
        <sz val="10"/>
        <color rgb="FF800000"/>
        <rFont val="Arial Narrow"/>
        <family val="2"/>
      </rPr>
      <t>BV Biocrop</t>
    </r>
    <r>
      <rPr>
        <b/>
        <sz val="10"/>
        <color theme="1"/>
        <rFont val="Arial Narrow"/>
        <family val="2"/>
      </rPr>
      <t>)</t>
    </r>
  </si>
  <si>
    <t>PO / NBF / 120324 / 182</t>
  </si>
  <si>
    <t>PO / NBF / 200324 / 183</t>
  </si>
  <si>
    <r>
      <t>LEVUCELL- SB (</t>
    </r>
    <r>
      <rPr>
        <b/>
        <sz val="10"/>
        <color rgb="FF800000"/>
        <rFont val="Arial Narrow"/>
        <family val="2"/>
      </rPr>
      <t>BV Biocrop</t>
    </r>
    <r>
      <rPr>
        <b/>
        <sz val="10"/>
        <color theme="1"/>
        <rFont val="Arial Narrow"/>
        <family val="2"/>
      </rPr>
      <t>)</t>
    </r>
  </si>
  <si>
    <t>PO / NBF / 200324 / 184</t>
  </si>
  <si>
    <t>B V Biocrop, Biotech Division</t>
  </si>
  <si>
    <t>PO / NBF / 260324 / 185</t>
  </si>
  <si>
    <t>PO / NBF / 260324 / 186</t>
  </si>
  <si>
    <t>PO / NBF / 260324 / 187</t>
  </si>
  <si>
    <t>PO / NBF / 260324 / 188</t>
  </si>
  <si>
    <t>PO / NBF / 300324 / 189</t>
  </si>
  <si>
    <t>Update as on 30.03.2024</t>
  </si>
  <si>
    <r>
      <t>E CARE SE (</t>
    </r>
    <r>
      <rPr>
        <b/>
        <sz val="10"/>
        <color rgb="FF800000"/>
        <rFont val="Arial Narrow"/>
        <family val="2"/>
      </rPr>
      <t>Cargill</t>
    </r>
    <r>
      <rPr>
        <b/>
        <sz val="10"/>
        <color theme="1"/>
        <rFont val="Arial Narrow"/>
        <family val="2"/>
      </rPr>
      <t>)</t>
    </r>
  </si>
  <si>
    <r>
      <t>ROVIMIX BREEDER (</t>
    </r>
    <r>
      <rPr>
        <b/>
        <sz val="10"/>
        <color rgb="FF800000"/>
        <rFont val="Arial Narrow"/>
        <family val="2"/>
      </rPr>
      <t>DSM</t>
    </r>
    <r>
      <rPr>
        <b/>
        <sz val="10"/>
        <color theme="1"/>
        <rFont val="Arial Narrow"/>
        <family val="2"/>
      </rPr>
      <t>)</t>
    </r>
  </si>
  <si>
    <t>Jeco Agrovet Pvt Ltd Kolkata</t>
  </si>
  <si>
    <r>
      <t>SELVIT-E (</t>
    </r>
    <r>
      <rPr>
        <b/>
        <sz val="10"/>
        <color rgb="FF800000"/>
        <rFont val="Arial Narrow"/>
        <family val="2"/>
      </rPr>
      <t>AHP Division</t>
    </r>
    <r>
      <rPr>
        <b/>
        <sz val="10"/>
        <color theme="1"/>
        <rFont val="Arial Narrow"/>
        <family val="2"/>
      </rPr>
      <t>)</t>
    </r>
  </si>
  <si>
    <t>Venkys India Ltd (AHP Division)</t>
  </si>
  <si>
    <t>Sneha Farms Pvt Ltd Hyderabad</t>
  </si>
  <si>
    <r>
      <t>ROVIMIX-E 50 (</t>
    </r>
    <r>
      <rPr>
        <b/>
        <sz val="10"/>
        <color rgb="FF800000"/>
        <rFont val="Arial Narrow"/>
        <family val="2"/>
      </rPr>
      <t>DSM</t>
    </r>
    <r>
      <rPr>
        <b/>
        <sz val="10"/>
        <color theme="1"/>
        <rFont val="Arial Narrow"/>
        <family val="2"/>
      </rPr>
      <t>)</t>
    </r>
  </si>
  <si>
    <r>
      <t>HERBAL-C Liquid (</t>
    </r>
    <r>
      <rPr>
        <b/>
        <sz val="10"/>
        <color rgb="FF800000"/>
        <rFont val="Arial Narrow"/>
        <family val="2"/>
      </rPr>
      <t>Indian Herbs</t>
    </r>
    <r>
      <rPr>
        <b/>
        <sz val="10"/>
        <color theme="1"/>
        <rFont val="Arial Narrow"/>
        <family val="2"/>
      </rPr>
      <t>)</t>
    </r>
  </si>
  <si>
    <r>
      <t>LEVUCELL-SB (</t>
    </r>
    <r>
      <rPr>
        <b/>
        <sz val="10"/>
        <color rgb="FF800000"/>
        <rFont val="Arial Narrow"/>
        <family val="2"/>
      </rPr>
      <t>BV Biocrop</t>
    </r>
    <r>
      <rPr>
        <b/>
        <sz val="10"/>
        <color theme="1"/>
        <rFont val="Arial Narrow"/>
        <family val="2"/>
      </rPr>
      <t>)</t>
    </r>
  </si>
  <si>
    <r>
      <t>MICROGUARD (</t>
    </r>
    <r>
      <rPr>
        <b/>
        <sz val="10"/>
        <color rgb="FF800000"/>
        <rFont val="Arial Narrow"/>
        <family val="2"/>
      </rPr>
      <t>Zeus Biotech</t>
    </r>
    <r>
      <rPr>
        <b/>
        <sz val="10"/>
        <color theme="1"/>
        <rFont val="Arial Narrow"/>
        <family val="2"/>
      </rPr>
      <t>)</t>
    </r>
  </si>
  <si>
    <t>P P &amp; B Mart Pvt Ltd Habra WB</t>
  </si>
  <si>
    <t>Sai Kiran Medical Agencies HYD</t>
  </si>
  <si>
    <t>E W Nutrition India Pvt Limited</t>
  </si>
  <si>
    <t>APC Nutrients Limited Hyderabad</t>
  </si>
  <si>
    <r>
      <t>VOLAMEL EXTRA (</t>
    </r>
    <r>
      <rPr>
        <b/>
        <sz val="10"/>
        <color rgb="FF800000"/>
        <rFont val="Arial Narrow"/>
        <family val="2"/>
      </rPr>
      <t>Nukamel</t>
    </r>
    <r>
      <rPr>
        <b/>
        <sz val="10"/>
        <color theme="1"/>
        <rFont val="Arial Narrow"/>
        <family val="2"/>
      </rPr>
      <t>)</t>
    </r>
  </si>
  <si>
    <t>Tara Enterprises Hyderabad</t>
  </si>
  <si>
    <t>Bhabani Bio Security Odisha</t>
  </si>
  <si>
    <r>
      <t>SCALONIL- 888 (</t>
    </r>
    <r>
      <rPr>
        <b/>
        <sz val="10"/>
        <color rgb="FF800000"/>
        <rFont val="Arial Narrow"/>
        <family val="2"/>
      </rPr>
      <t>Bhabani Bio</t>
    </r>
    <r>
      <rPr>
        <b/>
        <sz val="10"/>
        <color theme="1"/>
        <rFont val="Arial Narrow"/>
        <family val="2"/>
      </rPr>
      <t>)</t>
    </r>
  </si>
  <si>
    <r>
      <t>SPERMED-F (</t>
    </r>
    <r>
      <rPr>
        <b/>
        <sz val="10"/>
        <color rgb="FF800000"/>
        <rFont val="Arial Narrow"/>
        <family val="2"/>
      </rPr>
      <t>Medichem Product</t>
    </r>
    <r>
      <rPr>
        <b/>
        <sz val="10"/>
        <rFont val="Arial Narrow"/>
        <family val="2"/>
      </rPr>
      <t>)</t>
    </r>
  </si>
  <si>
    <r>
      <t>APSAMIX TIAMULIN -10% (</t>
    </r>
    <r>
      <rPr>
        <b/>
        <sz val="10"/>
        <color rgb="FF800000"/>
        <rFont val="Arial Narrow"/>
        <family val="2"/>
      </rPr>
      <t>Pintaluba</t>
    </r>
    <r>
      <rPr>
        <b/>
        <sz val="10"/>
        <color theme="1"/>
        <rFont val="Arial Narrow"/>
        <family val="2"/>
      </rPr>
      <t>)</t>
    </r>
  </si>
  <si>
    <t>Bhuvana Nutribio Sciences Pune</t>
  </si>
  <si>
    <t>Crescent Marketing Hyderabad</t>
  </si>
  <si>
    <r>
      <t>TAYLOMAX Injection (</t>
    </r>
    <r>
      <rPr>
        <b/>
        <sz val="10"/>
        <color rgb="FF800000"/>
        <rFont val="Arial Narrow"/>
        <family val="2"/>
      </rPr>
      <t>Intas</t>
    </r>
    <r>
      <rPr>
        <b/>
        <sz val="10"/>
        <color theme="1"/>
        <rFont val="Arial Narrow"/>
        <family val="2"/>
      </rPr>
      <t>)</t>
    </r>
  </si>
  <si>
    <r>
      <t>TRITYL - 62.5% (</t>
    </r>
    <r>
      <rPr>
        <b/>
        <sz val="10"/>
        <color rgb="FF800000"/>
        <rFont val="Arial Narrow"/>
        <family val="2"/>
      </rPr>
      <t>Alivira</t>
    </r>
    <r>
      <rPr>
        <b/>
        <sz val="10"/>
        <color theme="1"/>
        <rFont val="Arial Narrow"/>
        <family val="2"/>
      </rPr>
      <t>)</t>
    </r>
  </si>
  <si>
    <t>Alivira Animal Health Ltd Mumbai</t>
  </si>
  <si>
    <r>
      <t>Hipraviar BPL-2 Killed (</t>
    </r>
    <r>
      <rPr>
        <b/>
        <sz val="10"/>
        <color rgb="FF800000"/>
        <rFont val="Arial Narrow"/>
        <family val="2"/>
      </rPr>
      <t>Hipra</t>
    </r>
    <r>
      <rPr>
        <b/>
        <sz val="10"/>
        <color theme="1"/>
        <rFont val="Arial Narrow"/>
        <family val="2"/>
      </rPr>
      <t>)</t>
    </r>
  </si>
  <si>
    <r>
      <t>MG BAC KILLED (</t>
    </r>
    <r>
      <rPr>
        <b/>
        <sz val="10"/>
        <color rgb="FF800000"/>
        <rFont val="Arial Narrow"/>
        <family val="2"/>
      </rPr>
      <t>Zoetis</t>
    </r>
    <r>
      <rPr>
        <b/>
        <sz val="10"/>
        <color theme="1"/>
        <rFont val="Arial Narrow"/>
        <family val="2"/>
      </rPr>
      <t>)</t>
    </r>
  </si>
  <si>
    <r>
      <t>KOHRSOLIN-TH (</t>
    </r>
    <r>
      <rPr>
        <b/>
        <sz val="10"/>
        <color rgb="FF800000"/>
        <rFont val="Arial Narrow"/>
        <family val="2"/>
      </rPr>
      <t>Virbac</t>
    </r>
    <r>
      <rPr>
        <b/>
        <sz val="10"/>
        <color theme="1"/>
        <rFont val="Arial Narrow"/>
        <family val="2"/>
      </rPr>
      <t>)</t>
    </r>
  </si>
  <si>
    <r>
      <t>INACTIVATED PULLET(</t>
    </r>
    <r>
      <rPr>
        <b/>
        <sz val="10"/>
        <color rgb="FF800000"/>
        <rFont val="Arial Narrow"/>
        <family val="2"/>
      </rPr>
      <t>LPA</t>
    </r>
    <r>
      <rPr>
        <b/>
        <sz val="10"/>
        <color theme="1"/>
        <rFont val="Arial Narrow"/>
        <family val="2"/>
      </rPr>
      <t>I) VAC</t>
    </r>
  </si>
  <si>
    <t>AE KILLED VAC</t>
  </si>
  <si>
    <r>
      <t>IB ASTRO (</t>
    </r>
    <r>
      <rPr>
        <b/>
        <sz val="10"/>
        <color rgb="FF800000"/>
        <rFont val="Arial Narrow"/>
        <family val="2"/>
      </rPr>
      <t>AEIBH)</t>
    </r>
    <r>
      <rPr>
        <b/>
        <sz val="10"/>
        <color theme="1"/>
        <rFont val="Arial Narrow"/>
        <family val="2"/>
      </rPr>
      <t xml:space="preserve"> KILLED VAC</t>
    </r>
  </si>
  <si>
    <r>
      <t>ND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>IBD KILLED VAC</t>
    </r>
  </si>
  <si>
    <r>
      <t>SHARKOFERROL-P (</t>
    </r>
    <r>
      <rPr>
        <b/>
        <sz val="10"/>
        <color rgb="FF800000"/>
        <rFont val="Arial Narrow"/>
        <family val="2"/>
      </rPr>
      <t>Alembic</t>
    </r>
    <r>
      <rPr>
        <b/>
        <sz val="10"/>
        <color theme="1"/>
        <rFont val="Arial Narrow"/>
        <family val="2"/>
      </rPr>
      <t>)</t>
    </r>
  </si>
  <si>
    <t>Mitra Agencies Hyderabad</t>
  </si>
  <si>
    <t>P P &amp; B Mart Pvt Ltd, Habra</t>
  </si>
  <si>
    <t>Huvepharma Sea Pune Pvt Ltd</t>
  </si>
  <si>
    <r>
      <t>ALVIBAC - MD (</t>
    </r>
    <r>
      <rPr>
        <b/>
        <sz val="10"/>
        <color rgb="FF800000"/>
        <rFont val="Arial Narrow"/>
        <family val="2"/>
      </rPr>
      <t>Alivira</t>
    </r>
    <r>
      <rPr>
        <b/>
        <sz val="10"/>
        <color theme="1"/>
        <rFont val="Arial Narrow"/>
        <family val="2"/>
      </rPr>
      <t>)</t>
    </r>
  </si>
  <si>
    <r>
      <t>PROMIX-Y PLUS (</t>
    </r>
    <r>
      <rPr>
        <b/>
        <sz val="10"/>
        <color rgb="FF800000"/>
        <rFont val="Arial Narrow"/>
        <family val="2"/>
      </rPr>
      <t>Alembic</t>
    </r>
    <r>
      <rPr>
        <b/>
        <sz val="10"/>
        <color theme="1"/>
        <rFont val="Arial Narrow"/>
        <family val="2"/>
      </rPr>
      <t>)</t>
    </r>
  </si>
  <si>
    <t>Gitaa Medical Enterprise, Bengal</t>
  </si>
  <si>
    <t>kg</t>
  </si>
  <si>
    <t>Hipraviar Clon 79 (Hipra)</t>
  </si>
  <si>
    <r>
      <t>CADLIV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</si>
  <si>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t>PP &amp; B Mart Pvt Ltd, Habra, Bengal</t>
  </si>
  <si>
    <t>By Mail</t>
  </si>
  <si>
    <r>
      <t>CLOSTAT - 365 / 12 DRY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</si>
  <si>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t>No Indent</t>
  </si>
  <si>
    <t>Izda Healthcare Ambala Cantonment</t>
  </si>
  <si>
    <r>
      <t>Lysine HCL (</t>
    </r>
    <r>
      <rPr>
        <b/>
        <sz val="10"/>
        <color rgb="FF800000"/>
        <rFont val="Arial Narrow"/>
        <family val="2"/>
      </rPr>
      <t>Sewon</t>
    </r>
    <r>
      <rPr>
        <b/>
        <sz val="10"/>
        <color theme="1"/>
        <rFont val="Arial Narrow"/>
        <family val="2"/>
      </rPr>
      <t>)</t>
    </r>
  </si>
  <si>
    <r>
      <t>BV-CLO2 (</t>
    </r>
    <r>
      <rPr>
        <b/>
        <sz val="10"/>
        <color rgb="FF800000"/>
        <rFont val="Arial Narrow"/>
        <family val="2"/>
      </rPr>
      <t>10 Gram</t>
    </r>
    <r>
      <rPr>
        <b/>
        <sz val="10"/>
        <color theme="1"/>
        <rFont val="Arial Narrow"/>
        <family val="2"/>
      </rPr>
      <t>) TAB</t>
    </r>
  </si>
  <si>
    <r>
      <t>SOLUCAL (</t>
    </r>
    <r>
      <rPr>
        <b/>
        <sz val="10"/>
        <color rgb="FF800000"/>
        <rFont val="Arial Narrow"/>
        <family val="2"/>
      </rPr>
      <t>AHP Division</t>
    </r>
    <r>
      <rPr>
        <b/>
        <sz val="10"/>
        <color theme="1"/>
        <rFont val="Arial Narrow"/>
        <family val="2"/>
      </rPr>
      <t>)</t>
    </r>
  </si>
  <si>
    <t>R</t>
  </si>
  <si>
    <r>
      <t>ND(G-13)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>LPAI (</t>
    </r>
    <r>
      <rPr>
        <b/>
        <sz val="10"/>
        <color rgb="FF0000FF"/>
        <rFont val="Arial Narrow"/>
        <family val="2"/>
      </rPr>
      <t>Encivax B-Cap</t>
    </r>
    <r>
      <rPr>
        <b/>
        <sz val="10"/>
        <color theme="1"/>
        <rFont val="Arial Narrow"/>
        <family val="2"/>
      </rPr>
      <t>) (</t>
    </r>
    <r>
      <rPr>
        <b/>
        <sz val="10"/>
        <color rgb="FF800000"/>
        <rFont val="Arial Narrow"/>
        <family val="2"/>
      </rPr>
      <t>Indovax</t>
    </r>
    <r>
      <rPr>
        <b/>
        <sz val="10"/>
        <color theme="1"/>
        <rFont val="Arial Narrow"/>
        <family val="2"/>
      </rPr>
      <t>)</t>
    </r>
  </si>
  <si>
    <t>Order by P K Das</t>
  </si>
  <si>
    <r>
      <t>MYCOSORB A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 xml:space="preserve"> (</t>
    </r>
    <r>
      <rPr>
        <b/>
        <sz val="10"/>
        <color rgb="FF800000"/>
        <rFont val="Arial Narrow"/>
        <family val="2"/>
      </rPr>
      <t>Alltech</t>
    </r>
    <r>
      <rPr>
        <b/>
        <sz val="10"/>
        <color theme="1"/>
        <rFont val="Arial Narrow"/>
        <family val="2"/>
      </rPr>
      <t>)</t>
    </r>
  </si>
  <si>
    <r>
      <t>AQUA-SECURE - 888 (</t>
    </r>
    <r>
      <rPr>
        <b/>
        <sz val="10"/>
        <color rgb="FF800000"/>
        <rFont val="Arial Narrow"/>
        <family val="2"/>
      </rPr>
      <t>Bhabani Bio</t>
    </r>
    <r>
      <rPr>
        <b/>
        <sz val="10"/>
        <color theme="1"/>
        <rFont val="Arial Narrow"/>
        <family val="2"/>
      </rPr>
      <t>)</t>
    </r>
  </si>
  <si>
    <r>
      <t>QV-SHIELD - 888 (</t>
    </r>
    <r>
      <rPr>
        <b/>
        <sz val="10"/>
        <color rgb="FF800000"/>
        <rFont val="Arial Narrow"/>
        <family val="2"/>
      </rPr>
      <t>Bhabani Bio</t>
    </r>
    <r>
      <rPr>
        <b/>
        <sz val="10"/>
        <color theme="1"/>
        <rFont val="Arial Narrow"/>
        <family val="2"/>
      </rPr>
      <t>)</t>
    </r>
  </si>
  <si>
    <r>
      <t>Oxytetracycline-LA Injection (</t>
    </r>
    <r>
      <rPr>
        <b/>
        <sz val="10"/>
        <color rgb="FF800000"/>
        <rFont val="Arial Narrow"/>
        <family val="2"/>
      </rPr>
      <t>Zenex</t>
    </r>
    <r>
      <rPr>
        <b/>
        <sz val="10"/>
        <color theme="1"/>
        <rFont val="Arial Narrow"/>
        <family val="2"/>
      </rPr>
      <t>)</t>
    </r>
  </si>
  <si>
    <r>
      <t>MICROVIT-E PROMIX-50 (</t>
    </r>
    <r>
      <rPr>
        <b/>
        <sz val="10"/>
        <color rgb="FF800000"/>
        <rFont val="Arial Narrow"/>
        <family val="2"/>
      </rPr>
      <t>Adisseo</t>
    </r>
    <r>
      <rPr>
        <b/>
        <sz val="10"/>
        <color theme="1"/>
        <rFont val="Arial Narrow"/>
        <family val="2"/>
      </rPr>
      <t>)</t>
    </r>
  </si>
  <si>
    <r>
      <t>VES CHOL 60% (</t>
    </r>
    <r>
      <rPr>
        <b/>
        <sz val="10"/>
        <color rgb="FF800000"/>
        <rFont val="Arial Narrow"/>
        <family val="2"/>
      </rPr>
      <t>Vespe</t>
    </r>
    <r>
      <rPr>
        <b/>
        <sz val="10"/>
        <color theme="1"/>
        <rFont val="Arial Narrow"/>
        <family val="2"/>
      </rPr>
      <t>r)</t>
    </r>
  </si>
  <si>
    <r>
      <t xml:space="preserve">K-OXISHIELD 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 xml:space="preserve"> 888 (</t>
    </r>
    <r>
      <rPr>
        <b/>
        <sz val="10"/>
        <color rgb="FF800000"/>
        <rFont val="Arial Narrow"/>
        <family val="2"/>
      </rPr>
      <t>Bhabani Bio</t>
    </r>
    <r>
      <rPr>
        <b/>
        <sz val="10"/>
        <color theme="1"/>
        <rFont val="Arial Narrow"/>
        <family val="2"/>
      </rPr>
      <t>)</t>
    </r>
  </si>
  <si>
    <r>
      <t>LENEODOX (</t>
    </r>
    <r>
      <rPr>
        <b/>
        <sz val="10"/>
        <color rgb="FF800000"/>
        <rFont val="Arial Narrow"/>
        <family val="2"/>
      </rPr>
      <t>RRVHC</t>
    </r>
    <r>
      <rPr>
        <b/>
        <sz val="10"/>
        <color theme="1"/>
        <rFont val="Arial Narrow"/>
        <family val="2"/>
      </rPr>
      <t>)</t>
    </r>
  </si>
  <si>
    <t xml:space="preserve">RR Veterianary Health Care </t>
  </si>
  <si>
    <r>
      <t>GENOLIV (</t>
    </r>
    <r>
      <rPr>
        <b/>
        <sz val="10"/>
        <color rgb="FF800000"/>
        <rFont val="Arial Narrow"/>
        <family val="2"/>
      </rPr>
      <t>Phygeno</t>
    </r>
    <r>
      <rPr>
        <b/>
        <sz val="10"/>
        <color theme="1"/>
        <rFont val="Arial Narrow"/>
        <family val="2"/>
      </rPr>
      <t>)</t>
    </r>
  </si>
  <si>
    <r>
      <t>Hivit Injection (</t>
    </r>
    <r>
      <rPr>
        <b/>
        <sz val="10"/>
        <color rgb="FF800000"/>
        <rFont val="Arial Narrow"/>
        <family val="2"/>
      </rPr>
      <t>Zene-AH</t>
    </r>
    <r>
      <rPr>
        <b/>
        <sz val="10"/>
        <color theme="1"/>
        <rFont val="Arial Narrow"/>
        <family val="2"/>
      </rPr>
      <t>)</t>
    </r>
  </si>
  <si>
    <r>
      <t>IMMUTAS PLUS (</t>
    </r>
    <r>
      <rPr>
        <b/>
        <sz val="10"/>
        <color rgb="FF800000"/>
        <rFont val="Arial Narrow"/>
        <family val="2"/>
      </rPr>
      <t>Intas</t>
    </r>
    <r>
      <rPr>
        <b/>
        <sz val="10"/>
        <color theme="1"/>
        <rFont val="Arial Narrow"/>
        <family val="2"/>
      </rPr>
      <t>)</t>
    </r>
  </si>
  <si>
    <r>
      <t>TOXO - XL (</t>
    </r>
    <r>
      <rPr>
        <b/>
        <sz val="10"/>
        <color rgb="FF800000"/>
        <rFont val="Arial Narrow"/>
        <family val="2"/>
      </rPr>
      <t>Trouw Nutrition</t>
    </r>
    <r>
      <rPr>
        <b/>
        <sz val="10"/>
        <color theme="1"/>
        <rFont val="Arial Narrow"/>
        <family val="2"/>
      </rPr>
      <t>)</t>
    </r>
  </si>
  <si>
    <r>
      <t>BB - EVEECT- 8 (</t>
    </r>
    <r>
      <rPr>
        <b/>
        <sz val="10"/>
        <color rgb="FF800000"/>
        <rFont val="Arial Narrow"/>
        <family val="2"/>
      </rPr>
      <t>Bhabani Bio</t>
    </r>
    <r>
      <rPr>
        <b/>
        <sz val="10"/>
        <color theme="1"/>
        <rFont val="Arial Narrow"/>
        <family val="2"/>
      </rPr>
      <t>)</t>
    </r>
  </si>
  <si>
    <r>
      <t>RECEPTAL VET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</si>
  <si>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Bhavani Veterianary Medical</t>
  </si>
  <si>
    <r>
      <t>TYLOMAX Injection (</t>
    </r>
    <r>
      <rPr>
        <b/>
        <sz val="10"/>
        <color rgb="FF800000"/>
        <rFont val="Arial Narrow"/>
        <family val="2"/>
      </rPr>
      <t>Inta</t>
    </r>
    <r>
      <rPr>
        <b/>
        <sz val="10"/>
        <color theme="1"/>
        <rFont val="Arial Narrow"/>
        <family val="2"/>
      </rPr>
      <t>s)</t>
    </r>
  </si>
  <si>
    <r>
      <t>IB (</t>
    </r>
    <r>
      <rPr>
        <b/>
        <sz val="10"/>
        <color rgb="FF800000"/>
        <rFont val="Arial Narrow"/>
        <family val="2"/>
      </rPr>
      <t>Mass Type</t>
    </r>
    <r>
      <rPr>
        <b/>
        <sz val="10"/>
        <color theme="1"/>
        <rFont val="Arial Narrow"/>
        <family val="2"/>
      </rPr>
      <t>) Live Vaccine</t>
    </r>
  </si>
  <si>
    <r>
      <t>TOXOL LIQUID (</t>
    </r>
    <r>
      <rPr>
        <b/>
        <sz val="10"/>
        <color rgb="FF800000"/>
        <rFont val="Arial Narrow"/>
        <family val="2"/>
      </rPr>
      <t>Vesper</t>
    </r>
    <r>
      <rPr>
        <b/>
        <sz val="10"/>
        <color theme="1"/>
        <rFont val="Arial Narrow"/>
        <family val="2"/>
      </rPr>
      <t>)</t>
    </r>
  </si>
  <si>
    <t>Cancell</t>
  </si>
  <si>
    <r>
      <t>INORGANIC TRACE MINERALS (</t>
    </r>
    <r>
      <rPr>
        <b/>
        <sz val="10"/>
        <color rgb="FF800000"/>
        <rFont val="Arial Narrow"/>
        <family val="2"/>
      </rPr>
      <t>Trouw</t>
    </r>
    <r>
      <rPr>
        <b/>
        <sz val="10"/>
        <color theme="1"/>
        <rFont val="Arial Narrow"/>
        <family val="2"/>
      </rPr>
      <t>)</t>
    </r>
  </si>
  <si>
    <r>
      <t>Nobilis IB MA-5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>Clone-30 Live Vac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</si>
  <si>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PO / NBF / 301024 / 120</t>
  </si>
  <si>
    <t>PO / NBF / 301024 / 121</t>
  </si>
  <si>
    <t>PO / NBF / 080424 / 01</t>
  </si>
  <si>
    <t>PO / NBF / 080424 / 02</t>
  </si>
  <si>
    <t>PO / NBF / 080424 / 03</t>
  </si>
  <si>
    <t>PO / NBF / 080424 / 04</t>
  </si>
  <si>
    <t>PO / NBF / 120424 / 05</t>
  </si>
  <si>
    <t>PO / NBF / 120424 / 06</t>
  </si>
  <si>
    <t>PO / NBF / 120424 / 07</t>
  </si>
  <si>
    <t>PO / NBF / 120424 / 08</t>
  </si>
  <si>
    <t>PO / NBF / 170424 / 09</t>
  </si>
  <si>
    <t>PO / NBF / 170424 / 10</t>
  </si>
  <si>
    <t>PO / NBF / 180424 / 11</t>
  </si>
  <si>
    <t>PO / NBF / 300424 / 12</t>
  </si>
  <si>
    <t>PO / NBF / 300424 / 13</t>
  </si>
  <si>
    <t>PO / NBF / 300424 / 14</t>
  </si>
  <si>
    <t>PO / NBF / 300424 / 15</t>
  </si>
  <si>
    <t>PO / NBF / 300424 / 16</t>
  </si>
  <si>
    <t>PO / NBF / 060524 / 17</t>
  </si>
  <si>
    <t>PO / NBF / 100524 / 18</t>
  </si>
  <si>
    <t>PO / NBF / 100524 / 19</t>
  </si>
  <si>
    <t>PO / NBF / 100524 / 20</t>
  </si>
  <si>
    <t>PO / NBF / 100524 / 21</t>
  </si>
  <si>
    <t>PO / NBF / 130524 / 22</t>
  </si>
  <si>
    <t>PO / NBF / 180524 / 23</t>
  </si>
  <si>
    <t>PO / NBF / 200524 / 24</t>
  </si>
  <si>
    <t>PO / NBF / 200524 / 25</t>
  </si>
  <si>
    <t>PO / NBF / 230524 / 26</t>
  </si>
  <si>
    <t>PO / NBF / 230524 / 27</t>
  </si>
  <si>
    <t>PO / NBF / 230524 / 28</t>
  </si>
  <si>
    <t>PO / NBF / 230524 / 29</t>
  </si>
  <si>
    <t>PO / NBF / 280524 / 30</t>
  </si>
  <si>
    <t>PO / NBF / 280524 / 31</t>
  </si>
  <si>
    <t>PO / NBF / 280524 / 32</t>
  </si>
  <si>
    <t>PO / NBF / 310524 / 33</t>
  </si>
  <si>
    <t>PO / NBF / 030624 / 34</t>
  </si>
  <si>
    <t>PO / NBF / 030624 / 35</t>
  </si>
  <si>
    <t>PO / NBF / 030624 / 36</t>
  </si>
  <si>
    <t>PO / NBF / 040624 / 37</t>
  </si>
  <si>
    <t>PO / NBF / 040624 / 38</t>
  </si>
  <si>
    <t>PO / NBF / 040624 / 39</t>
  </si>
  <si>
    <t>PO / NBF / 080624 / 40</t>
  </si>
  <si>
    <t>PO / NBF / 100624 / 41</t>
  </si>
  <si>
    <t>PO / NBF / 100624 / 42</t>
  </si>
  <si>
    <t>PO / NBF / 150624 / 43</t>
  </si>
  <si>
    <t>PO / NBF / 150624 / 44</t>
  </si>
  <si>
    <t>PO / NBF / 190624 / 45</t>
  </si>
  <si>
    <t>PO / NBF / 190624 / 46</t>
  </si>
  <si>
    <t>PO / NBF / 210624 / 47</t>
  </si>
  <si>
    <t>PO / NBF / 250624 / 48</t>
  </si>
  <si>
    <t>PO / NBF / 250624 / 49</t>
  </si>
  <si>
    <t>PO / NBF / 250624 / 50</t>
  </si>
  <si>
    <t>PO / NBF / 270624 / 51</t>
  </si>
  <si>
    <t>PO / NBF / 270624 / 52</t>
  </si>
  <si>
    <t>PO / NBF / 040724 / 53</t>
  </si>
  <si>
    <t>PO / NBF / 040724 / 54</t>
  </si>
  <si>
    <t>PO / NBF / 100724 / 55</t>
  </si>
  <si>
    <t>PO / NBF / 170724 / 56</t>
  </si>
  <si>
    <t>PO / NBF / 240724 / 57</t>
  </si>
  <si>
    <t>PO / NBF / 050824 / 58</t>
  </si>
  <si>
    <t>PO / NBF / 050824 / 59</t>
  </si>
  <si>
    <t>PO / NBF / 080824 / 60</t>
  </si>
  <si>
    <t>PO / NBF / 080824 / 61</t>
  </si>
  <si>
    <t>PO / NBF / 080824 / 62</t>
  </si>
  <si>
    <t>PO / NBF / 080824 / 63</t>
  </si>
  <si>
    <t>PO / NBF / 100824 / 64</t>
  </si>
  <si>
    <t>PO / NBF / 100824 / 65</t>
  </si>
  <si>
    <t>PO / NBF / 100824 / 66</t>
  </si>
  <si>
    <t>PO / NBF / 100824 / 67</t>
  </si>
  <si>
    <t>PO / NBF / 100824 / 68</t>
  </si>
  <si>
    <t>PO / NBF / 100824 / 69</t>
  </si>
  <si>
    <t>PO / NBF / 100824 / 70</t>
  </si>
  <si>
    <t>PO / NBF / 100824 / 71</t>
  </si>
  <si>
    <t>PO / NBF / 140824 / 72</t>
  </si>
  <si>
    <t>PO / NBF / 140824 / 73</t>
  </si>
  <si>
    <t>PO / NBF / 220824 / 74</t>
  </si>
  <si>
    <t>PO / NBF / 220824 / 75</t>
  </si>
  <si>
    <t>PO / NBF / 220824 / 76</t>
  </si>
  <si>
    <t>PO / NBF / 220824 / 77</t>
  </si>
  <si>
    <t>PO / NBF / 220824 / 78</t>
  </si>
  <si>
    <t>PO / NBF / 270824 / 79</t>
  </si>
  <si>
    <t>PO / NBF / 270824 / 80</t>
  </si>
  <si>
    <t>PO / NBF / 270824 / 81</t>
  </si>
  <si>
    <t>PO / NBF / 290824 / 82</t>
  </si>
  <si>
    <t>PO / NBF / 020924 / 83</t>
  </si>
  <si>
    <t>PO / NBF / 160924 / 84</t>
  </si>
  <si>
    <t>PO / NBF / 160924 / 85</t>
  </si>
  <si>
    <t>PO / NBF / 160924 / 86</t>
  </si>
  <si>
    <t>PO / NBF / 160924 / 87</t>
  </si>
  <si>
    <t>PO / NBF / 190924 / 88</t>
  </si>
  <si>
    <t>PO / NBF / 190924 / 89</t>
  </si>
  <si>
    <t>PO / NBF / 190924 / 90</t>
  </si>
  <si>
    <t>PO / NBF / 190924 / 91</t>
  </si>
  <si>
    <t>PO / NBF / 190924 / 92</t>
  </si>
  <si>
    <t>PO / NBF / 200924 / 93</t>
  </si>
  <si>
    <t>PO / NBF / 200924 / 94</t>
  </si>
  <si>
    <t>PO / NBF / 200924 / 95</t>
  </si>
  <si>
    <t>PO / NBF / 200924 / 96</t>
  </si>
  <si>
    <t>PO / NBF / 280924 / 97</t>
  </si>
  <si>
    <t>PO / NBF / 280924 / 98</t>
  </si>
  <si>
    <t>PO / NBF / 300924 / 99</t>
  </si>
  <si>
    <t>PO / NBF / 300924 / 100</t>
  </si>
  <si>
    <t>PO / NBF / 300924 / 101</t>
  </si>
  <si>
    <t>PO / NBF / 300924 / 102</t>
  </si>
  <si>
    <t>PO / NBF / 300924 / 103</t>
  </si>
  <si>
    <t>PO / NBF / 300924 / 104</t>
  </si>
  <si>
    <t>PO / NBF / 081024 / 105</t>
  </si>
  <si>
    <t>PO / NBF / 081024 / 106</t>
  </si>
  <si>
    <t>PO / NBF / 141024 / 107</t>
  </si>
  <si>
    <t>PO / NBF / 151024 / 108</t>
  </si>
  <si>
    <t>PO / NBF / 151024 / 109</t>
  </si>
  <si>
    <t>PO / NBF / 151024 / 110</t>
  </si>
  <si>
    <t>PO / NBF / 151024 / 111</t>
  </si>
  <si>
    <t>PO / NBF / 151024 / 112</t>
  </si>
  <si>
    <t>PO / NBF / 151024 / 113</t>
  </si>
  <si>
    <t>PO / NBF / 151024 / 114</t>
  </si>
  <si>
    <t>PO / NBF / 181024 / 115</t>
  </si>
  <si>
    <t>PO / NBF / 211024 / 116</t>
  </si>
  <si>
    <t>PO / NBF / 261024 / 117</t>
  </si>
  <si>
    <t>PO / NBF / 261024 / 118</t>
  </si>
  <si>
    <t>PO / NBF / 301024 / 119</t>
  </si>
  <si>
    <r>
      <t>VALOSIN (</t>
    </r>
    <r>
      <rPr>
        <b/>
        <sz val="10"/>
        <color rgb="FF800000"/>
        <rFont val="Arial Narrow"/>
        <family val="2"/>
      </rPr>
      <t>Timoeva Wellness</t>
    </r>
    <r>
      <rPr>
        <b/>
        <sz val="10"/>
        <color theme="1"/>
        <rFont val="Arial Narrow"/>
        <family val="2"/>
      </rPr>
      <t>)</t>
    </r>
  </si>
  <si>
    <t>PO / NBF / 151124 / 122</t>
  </si>
  <si>
    <t>PO / NBF / 291124 / 123</t>
  </si>
  <si>
    <t>PO / NBF / 291124 / 124</t>
  </si>
  <si>
    <t>PO / NBF / 041224 / 125</t>
  </si>
  <si>
    <r>
      <t>SPERMED-M (</t>
    </r>
    <r>
      <rPr>
        <b/>
        <sz val="10"/>
        <color rgb="FF800000"/>
        <rFont val="Arial Narrow"/>
        <family val="2"/>
      </rPr>
      <t>Medichem Product</t>
    </r>
    <r>
      <rPr>
        <b/>
        <sz val="10"/>
        <color theme="1"/>
        <rFont val="Arial Narrow"/>
        <family val="2"/>
      </rPr>
      <t>)</t>
    </r>
  </si>
  <si>
    <t>PO / NBF / 041224 / 126</t>
  </si>
  <si>
    <t>PO / NBF / 041224 / 127</t>
  </si>
  <si>
    <t>PO / NBF / 041224 / 128</t>
  </si>
  <si>
    <t>PO / NBF / 161224 / 129</t>
  </si>
  <si>
    <r>
      <t>AMBIPLEX (</t>
    </r>
    <r>
      <rPr>
        <b/>
        <sz val="10"/>
        <color rgb="FF800000"/>
        <rFont val="Arial Narrow"/>
        <family val="2"/>
      </rPr>
      <t>Brihans</t>
    </r>
    <r>
      <rPr>
        <b/>
        <sz val="10"/>
        <color theme="1"/>
        <rFont val="Arial Narrow"/>
        <family val="2"/>
      </rPr>
      <t>)</t>
    </r>
  </si>
  <si>
    <t>PO / NBF / 161224 / 130</t>
  </si>
  <si>
    <t>PO / NBF / 161224 / 131</t>
  </si>
  <si>
    <t>PO / NBF / 161224 / 132</t>
  </si>
  <si>
    <t>PO / NBF / 070125 / 133</t>
  </si>
  <si>
    <t>PO / NBF / 240125 / 134</t>
  </si>
  <si>
    <t>PO / NBF / 280125 / 135</t>
  </si>
  <si>
    <t>PO / NBF / 280125 / 136</t>
  </si>
  <si>
    <r>
      <t>ENROCIN-10% (</t>
    </r>
    <r>
      <rPr>
        <b/>
        <sz val="10"/>
        <color rgb="FF800000"/>
        <rFont val="Arial Narrow"/>
        <family val="2"/>
      </rPr>
      <t>Zoetis</t>
    </r>
    <r>
      <rPr>
        <b/>
        <sz val="10"/>
        <color theme="1"/>
        <rFont val="Arial Narrow"/>
        <family val="2"/>
      </rPr>
      <t>)</t>
    </r>
  </si>
  <si>
    <r>
      <t>PULMOTIL-AC (</t>
    </r>
    <r>
      <rPr>
        <b/>
        <sz val="10"/>
        <color rgb="FF800000"/>
        <rFont val="Arial Narrow"/>
        <family val="2"/>
      </rPr>
      <t>Elanco</t>
    </r>
    <r>
      <rPr>
        <b/>
        <sz val="10"/>
        <color theme="1"/>
        <rFont val="Arial Narrow"/>
        <family val="2"/>
      </rPr>
      <t>)</t>
    </r>
  </si>
  <si>
    <t>PO / NBF / 050225 / 137</t>
  </si>
  <si>
    <t>PO / NBF / 050225 / 138</t>
  </si>
  <si>
    <t>PO / NBF / 060225 / 139</t>
  </si>
  <si>
    <r>
      <t>Inactivated Pullet ND (</t>
    </r>
    <r>
      <rPr>
        <b/>
        <sz val="10"/>
        <color rgb="FF800000"/>
        <rFont val="Arial Narrow"/>
        <family val="2"/>
      </rPr>
      <t>LPAI</t>
    </r>
    <r>
      <rPr>
        <b/>
        <sz val="10"/>
        <color theme="1"/>
        <rFont val="Arial Narrow"/>
        <family val="2"/>
      </rPr>
      <t>) VAC</t>
    </r>
  </si>
  <si>
    <r>
      <t>Inactivated Pullet ND (</t>
    </r>
    <r>
      <rPr>
        <b/>
        <sz val="10"/>
        <color rgb="FF800000"/>
        <rFont val="Arial Narrow"/>
        <family val="2"/>
      </rPr>
      <t>HPAI</t>
    </r>
    <r>
      <rPr>
        <b/>
        <sz val="10"/>
        <color theme="1"/>
        <rFont val="Arial Narrow"/>
        <family val="2"/>
      </rPr>
      <t>) VAC</t>
    </r>
  </si>
  <si>
    <t>PO / NBF / 060225 / 140</t>
  </si>
  <si>
    <t>PO / NBF / 060225 / 141</t>
  </si>
  <si>
    <r>
      <t>IBD Intermediate (</t>
    </r>
    <r>
      <rPr>
        <b/>
        <sz val="10"/>
        <color rgb="FF800000"/>
        <rFont val="Arial Narrow"/>
        <family val="2"/>
      </rPr>
      <t>PlusType</t>
    </r>
    <r>
      <rPr>
        <b/>
        <sz val="10"/>
        <color theme="1"/>
        <rFont val="Arial Narrow"/>
        <family val="2"/>
      </rPr>
      <t>) Live</t>
    </r>
  </si>
  <si>
    <r>
      <t>IB (</t>
    </r>
    <r>
      <rPr>
        <b/>
        <sz val="10"/>
        <color rgb="FF800000"/>
        <rFont val="Arial Narrow"/>
        <family val="2"/>
      </rPr>
      <t>MassType</t>
    </r>
    <r>
      <rPr>
        <b/>
        <sz val="10"/>
        <color theme="1"/>
        <rFont val="Arial Narrow"/>
        <family val="2"/>
      </rPr>
      <t>) Live Vacine</t>
    </r>
  </si>
  <si>
    <r>
      <t>VENNEW BRO (</t>
    </r>
    <r>
      <rPr>
        <b/>
        <sz val="10"/>
        <color rgb="FF800000"/>
        <rFont val="Arial Narrow"/>
        <family val="2"/>
      </rPr>
      <t>ND+IB Multi</t>
    </r>
    <r>
      <rPr>
        <b/>
        <sz val="10"/>
        <color theme="1"/>
        <rFont val="Arial Narrow"/>
        <family val="2"/>
      </rPr>
      <t>) KILLED</t>
    </r>
  </si>
  <si>
    <r>
      <t>VH CORE-4 (</t>
    </r>
    <r>
      <rPr>
        <b/>
        <sz val="10"/>
        <color rgb="FF800000"/>
        <rFont val="Arial Narrow"/>
        <family val="2"/>
      </rPr>
      <t>Coryza+ORT</t>
    </r>
    <r>
      <rPr>
        <b/>
        <sz val="10"/>
        <color theme="1"/>
        <rFont val="Arial Narrow"/>
        <family val="2"/>
      </rPr>
      <t xml:space="preserve">) KILLED </t>
    </r>
  </si>
  <si>
    <r>
      <t>VH FC-3 (</t>
    </r>
    <r>
      <rPr>
        <b/>
        <sz val="10"/>
        <color rgb="FF800000"/>
        <rFont val="Arial Narrow"/>
        <family val="2"/>
      </rPr>
      <t>Fowl Cholera</t>
    </r>
    <r>
      <rPr>
        <b/>
        <sz val="10"/>
        <color theme="1"/>
        <rFont val="Arial Narrow"/>
        <family val="2"/>
      </rPr>
      <t>) KILLED VAC</t>
    </r>
  </si>
  <si>
    <t>PO / NBF / 060225 / 142</t>
  </si>
  <si>
    <t>PO / NBF / 060225 / 143</t>
  </si>
  <si>
    <t>PO / NBF / 060225 / 144</t>
  </si>
  <si>
    <r>
      <t>R</t>
    </r>
    <r>
      <rPr>
        <b/>
        <sz val="10"/>
        <color rgb="FF800000"/>
        <rFont val="Arial Narrow"/>
        <family val="2"/>
      </rPr>
      <t>2</t>
    </r>
    <r>
      <rPr>
        <b/>
        <sz val="10"/>
        <color theme="1"/>
        <rFont val="Arial Narrow"/>
        <family val="2"/>
      </rPr>
      <t>B Live Vaccine</t>
    </r>
  </si>
  <si>
    <r>
      <t xml:space="preserve">Nobilis IB </t>
    </r>
    <r>
      <rPr>
        <b/>
        <sz val="10"/>
        <color rgb="FF800000"/>
        <rFont val="Arial Narrow"/>
        <family val="2"/>
      </rPr>
      <t>MA-5</t>
    </r>
    <r>
      <rPr>
        <b/>
        <sz val="10"/>
        <color theme="1"/>
        <rFont val="Arial Narrow"/>
        <family val="2"/>
      </rPr>
      <t xml:space="preserve"> Live Vaccine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</si>
  <si>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r>
      <t xml:space="preserve">Nobilis REO </t>
    </r>
    <r>
      <rPr>
        <b/>
        <sz val="10"/>
        <color rgb="FF800000"/>
        <rFont val="Arial Narrow"/>
        <family val="2"/>
      </rPr>
      <t>1133</t>
    </r>
    <r>
      <rPr>
        <b/>
        <sz val="10"/>
        <color theme="1"/>
        <rFont val="Arial Narrow"/>
        <family val="2"/>
      </rPr>
      <t xml:space="preserve"> Live Vaccine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</si>
  <si>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PO / NBF / 080225 / 145</t>
  </si>
  <si>
    <t>PO / NBF / 200225 / 146</t>
  </si>
  <si>
    <t>PO / NBF / 260225 / 147</t>
  </si>
  <si>
    <t>PO / NBF / 260225 / 148</t>
  </si>
  <si>
    <r>
      <t>AVITROL (</t>
    </r>
    <r>
      <rPr>
        <b/>
        <sz val="10"/>
        <color rgb="FF800000"/>
        <rFont val="Arial Narrow"/>
        <family val="2"/>
      </rPr>
      <t>Phygeno</t>
    </r>
    <r>
      <rPr>
        <b/>
        <sz val="10"/>
        <color theme="1"/>
        <rFont val="Arial Narrow"/>
        <family val="2"/>
      </rPr>
      <t>)</t>
    </r>
  </si>
  <si>
    <t>PO / NBF / 060325 / 149</t>
  </si>
  <si>
    <r>
      <t>LIVGROW-DS (</t>
    </r>
    <r>
      <rPr>
        <b/>
        <sz val="10"/>
        <color rgb="FF800000"/>
        <rFont val="Arial Narrow"/>
        <family val="2"/>
      </rPr>
      <t>Natural Herbs</t>
    </r>
    <r>
      <rPr>
        <b/>
        <sz val="10"/>
        <color theme="1"/>
        <rFont val="Arial Narrow"/>
        <family val="2"/>
      </rPr>
      <t>)</t>
    </r>
  </si>
  <si>
    <t>PO / NBF / 060325 / 150</t>
  </si>
  <si>
    <t>Natural Herbs Formulation Pvt Ltd</t>
  </si>
  <si>
    <t>PO / NBF / 060325 / 151</t>
  </si>
  <si>
    <t>Order by Sourav</t>
  </si>
  <si>
    <r>
      <t>IB-4/91 (</t>
    </r>
    <r>
      <rPr>
        <b/>
        <sz val="10"/>
        <color rgb="FF800000"/>
        <rFont val="Arial Narrow"/>
        <family val="2"/>
      </rPr>
      <t>FG/LIV/0027</t>
    </r>
    <r>
      <rPr>
        <b/>
        <sz val="10"/>
        <color theme="1"/>
        <rFont val="Arial Narrow"/>
        <family val="2"/>
      </rPr>
      <t>) Live Vaccine</t>
    </r>
  </si>
  <si>
    <t>PO / NBF / 100325 / 152</t>
  </si>
  <si>
    <r>
      <t>VITAPLUS-A (</t>
    </r>
    <r>
      <rPr>
        <b/>
        <sz val="10"/>
        <color rgb="FF800000"/>
        <rFont val="Arial Narrow"/>
        <family val="2"/>
      </rPr>
      <t>Natural Herbs</t>
    </r>
    <r>
      <rPr>
        <b/>
        <sz val="10"/>
        <color theme="1"/>
        <rFont val="Arial Narrow"/>
        <family val="2"/>
      </rPr>
      <t>)</t>
    </r>
  </si>
  <si>
    <t>PO / NBF / 100325 / 153</t>
  </si>
  <si>
    <r>
      <t>HEPAWELL-P (</t>
    </r>
    <r>
      <rPr>
        <b/>
        <sz val="10"/>
        <color rgb="FF800000"/>
        <rFont val="Arial Narrow"/>
        <family val="2"/>
      </rPr>
      <t>AHP Division</t>
    </r>
    <r>
      <rPr>
        <b/>
        <sz val="10"/>
        <color theme="1"/>
        <rFont val="Arial Narrow"/>
        <family val="2"/>
      </rPr>
      <t>)</t>
    </r>
  </si>
  <si>
    <t>PO / NBF / 100325 / 154</t>
  </si>
  <si>
    <t>PO / NBF / 140325 / 155</t>
  </si>
  <si>
    <t>PO / NBF / 180325 / 156</t>
  </si>
  <si>
    <t>PO / NBF / 180325 / 157</t>
  </si>
  <si>
    <r>
      <t>TOXI CARE PLUS (</t>
    </r>
    <r>
      <rPr>
        <b/>
        <sz val="10"/>
        <color rgb="FF800000"/>
        <rFont val="Arial Narrow"/>
        <family val="2"/>
      </rPr>
      <t>AY Herbocare</t>
    </r>
    <r>
      <rPr>
        <b/>
        <sz val="10"/>
        <color theme="1"/>
        <rFont val="Arial Narrow"/>
        <family val="2"/>
      </rPr>
      <t>)</t>
    </r>
  </si>
  <si>
    <t>PO / NBF / 180325 / 158</t>
  </si>
  <si>
    <t>New Neela Traders Hyderabad</t>
  </si>
  <si>
    <r>
      <t>VH V- 4K (</t>
    </r>
    <r>
      <rPr>
        <b/>
        <sz val="10"/>
        <color rgb="FF800000"/>
        <rFont val="Arial Narrow"/>
        <family val="2"/>
      </rPr>
      <t>4wa</t>
    </r>
    <r>
      <rPr>
        <b/>
        <sz val="10"/>
        <color theme="1"/>
        <rFont val="Arial Narrow"/>
        <family val="2"/>
      </rPr>
      <t xml:space="preserve">y) KILLED VAC </t>
    </r>
  </si>
  <si>
    <r>
      <t>ND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>IBD KILLED VAC (</t>
    </r>
    <r>
      <rPr>
        <b/>
        <sz val="10"/>
        <color rgb="FF800000"/>
        <rFont val="Arial Narrow"/>
        <family val="2"/>
      </rPr>
      <t>Venkys</t>
    </r>
    <r>
      <rPr>
        <b/>
        <sz val="10"/>
        <color theme="1"/>
        <rFont val="Arial Narrow"/>
        <family val="2"/>
      </rPr>
      <t>)</t>
    </r>
  </si>
  <si>
    <r>
      <t>IBH KILLED VAC (</t>
    </r>
    <r>
      <rPr>
        <b/>
        <sz val="10"/>
        <color rgb="FF800000"/>
        <rFont val="Arial Narrow"/>
        <family val="2"/>
      </rPr>
      <t>Venkys</t>
    </r>
    <r>
      <rPr>
        <b/>
        <sz val="10"/>
        <color theme="1"/>
        <rFont val="Arial Narrow"/>
        <family val="2"/>
      </rPr>
      <t>)</t>
    </r>
  </si>
  <si>
    <t>PO / NBF / 180325 / 159</t>
  </si>
  <si>
    <t>PO / NBF / 180325 / 160</t>
  </si>
  <si>
    <t>PO / NBF / 210325 / 161</t>
  </si>
  <si>
    <t>PO / NBF / 210325 / 162</t>
  </si>
  <si>
    <t>PO / NBF / 220325 / 163</t>
  </si>
  <si>
    <t>PO / NBF / 270325 / 164</t>
  </si>
  <si>
    <t>PO / NBF / 270325 / 165</t>
  </si>
  <si>
    <t>Global Checmicals Ltd Kolkata</t>
  </si>
  <si>
    <t xml:space="preserve"> ITEM DESCRIPTION</t>
  </si>
  <si>
    <t>NARAENDRA FARMS</t>
  </si>
  <si>
    <t>PO CODE DATE &amp; PO NO</t>
  </si>
  <si>
    <t>PO CODE DATE / NO</t>
  </si>
  <si>
    <t>ACCOUNT DETAILS AS PER PO OF NARAENDRA BREEDING FARMS</t>
  </si>
  <si>
    <t xml:space="preserve">DATE OF PAYMENT </t>
  </si>
  <si>
    <t>Update as on 29.03.2025</t>
  </si>
  <si>
    <t>PO / NBF / 300325 / 166</t>
  </si>
  <si>
    <t>Sterile Diluent for Live Vaccine</t>
  </si>
  <si>
    <r>
      <t>VH CORE-4 (</t>
    </r>
    <r>
      <rPr>
        <b/>
        <sz val="10"/>
        <color rgb="FF800000"/>
        <rFont val="Arial Narrow"/>
        <family val="2"/>
      </rPr>
      <t>Coryza</t>
    </r>
    <r>
      <rPr>
        <b/>
        <sz val="10"/>
        <color rgb="FF002060"/>
        <rFont val="Arial Narrow"/>
        <family val="2"/>
      </rPr>
      <t>+</t>
    </r>
    <r>
      <rPr>
        <b/>
        <sz val="10"/>
        <color rgb="FF800000"/>
        <rFont val="Arial Narrow"/>
        <family val="2"/>
      </rPr>
      <t>ORT</t>
    </r>
    <r>
      <rPr>
        <b/>
        <sz val="10"/>
        <color theme="1"/>
        <rFont val="Arial Narrow"/>
        <family val="2"/>
      </rPr>
      <t xml:space="preserve">) KILLED </t>
    </r>
  </si>
  <si>
    <r>
      <t>VVND (</t>
    </r>
    <r>
      <rPr>
        <b/>
        <sz val="10"/>
        <color rgb="FF800000"/>
        <rFont val="Arial Narrow"/>
        <family val="2"/>
      </rPr>
      <t>VENGEM-9</t>
    </r>
    <r>
      <rPr>
        <b/>
        <sz val="10"/>
        <color theme="1"/>
        <rFont val="Arial Narrow"/>
        <family val="2"/>
      </rPr>
      <t>) KILLED VAC</t>
    </r>
  </si>
  <si>
    <r>
      <t>Nobilis REO INAC KILLED VAC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</si>
  <si>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Not Issued by mistake</t>
  </si>
  <si>
    <t>APC Nutrients Pvt Ltd Hyderabad</t>
  </si>
  <si>
    <r>
      <t>LIV-52 PROTEC Powder (</t>
    </r>
    <r>
      <rPr>
        <b/>
        <sz val="10"/>
        <color rgb="FF800000"/>
        <rFont val="Arial Narrow"/>
        <family val="2"/>
      </rPr>
      <t>Himalaya</t>
    </r>
    <r>
      <rPr>
        <b/>
        <sz val="10"/>
        <color theme="1"/>
        <rFont val="Arial Narrow"/>
        <family val="2"/>
      </rPr>
      <t>)</t>
    </r>
  </si>
  <si>
    <r>
      <t>KEMZYME - XPF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</si>
  <si>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r>
      <t>BVCLO2 (</t>
    </r>
    <r>
      <rPr>
        <b/>
        <sz val="10"/>
        <color rgb="FF800000"/>
        <rFont val="Arial Narrow"/>
        <family val="2"/>
      </rPr>
      <t>10 Gram</t>
    </r>
    <r>
      <rPr>
        <b/>
        <sz val="10"/>
        <color theme="1"/>
        <rFont val="Arial Narrow"/>
        <family val="2"/>
      </rPr>
      <t>) TAB</t>
    </r>
  </si>
  <si>
    <r>
      <t>BB - SCALONIL- 888 (</t>
    </r>
    <r>
      <rPr>
        <b/>
        <sz val="10"/>
        <color rgb="FF800000"/>
        <rFont val="Arial Narrow"/>
        <family val="2"/>
      </rPr>
      <t>B B Security</t>
    </r>
    <r>
      <rPr>
        <b/>
        <sz val="10"/>
        <color theme="1"/>
        <rFont val="Arial Narrow"/>
        <family val="2"/>
      </rPr>
      <t>)</t>
    </r>
  </si>
  <si>
    <t>Bhabani Bio Security Orisha</t>
  </si>
  <si>
    <r>
      <t>Hivit Injection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</si>
  <si>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t>We Care Animal Health Bengal</t>
  </si>
  <si>
    <r>
      <t>MEDVIT PLUS (</t>
    </r>
    <r>
      <rPr>
        <b/>
        <sz val="10"/>
        <color rgb="FF800000"/>
        <rFont val="Arial Narrow"/>
        <family val="2"/>
      </rPr>
      <t>Medichem Product</t>
    </r>
    <r>
      <rPr>
        <b/>
        <sz val="10"/>
        <color theme="1"/>
        <rFont val="Arial Narrow"/>
        <family val="2"/>
      </rPr>
      <t>)</t>
    </r>
  </si>
  <si>
    <t>Healers Associates Vijayawada AP</t>
  </si>
  <si>
    <t>Blue Print Brahmapur, Odisha</t>
  </si>
  <si>
    <t>U</t>
  </si>
  <si>
    <r>
      <t>HIPRAVIAR BPL-2 KILLED (</t>
    </r>
    <r>
      <rPr>
        <b/>
        <sz val="10"/>
        <color rgb="FF800000"/>
        <rFont val="Arial Narrow"/>
        <family val="2"/>
      </rPr>
      <t>Hipra</t>
    </r>
    <r>
      <rPr>
        <b/>
        <sz val="10"/>
        <color theme="1"/>
        <rFont val="Arial Narrow"/>
        <family val="2"/>
      </rPr>
      <t>)</t>
    </r>
  </si>
  <si>
    <r>
      <t>TRI REO KILLED VAC (</t>
    </r>
    <r>
      <rPr>
        <b/>
        <sz val="10"/>
        <color rgb="FF800000"/>
        <rFont val="Arial Narrow"/>
        <family val="2"/>
      </rPr>
      <t>Zoetis</t>
    </r>
    <r>
      <rPr>
        <b/>
        <sz val="10"/>
        <color theme="1"/>
        <rFont val="Arial Narrow"/>
        <family val="2"/>
      </rPr>
      <t>)</t>
    </r>
  </si>
  <si>
    <t>EDS KILLED VAC</t>
  </si>
  <si>
    <t>Hester Biosciences Limited Hyd</t>
  </si>
  <si>
    <t>Sterile Diluent for Pigeon Pox Live</t>
  </si>
  <si>
    <r>
      <t>Fowl Pox (</t>
    </r>
    <r>
      <rPr>
        <b/>
        <sz val="10"/>
        <color rgb="FF800000"/>
        <rFont val="Arial Narrow"/>
        <family val="2"/>
      </rPr>
      <t>Pigeon IP</t>
    </r>
    <r>
      <rPr>
        <b/>
        <sz val="10"/>
        <color theme="1"/>
        <rFont val="Arial Narrow"/>
        <family val="2"/>
      </rPr>
      <t>) Live Vaccine</t>
    </r>
  </si>
  <si>
    <r>
      <t>VH CORE-4 (Coryza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 xml:space="preserve">ORT) KILLED </t>
    </r>
  </si>
  <si>
    <r>
      <t>VH V-4K (</t>
    </r>
    <r>
      <rPr>
        <b/>
        <sz val="10"/>
        <color rgb="FF800000"/>
        <rFont val="Arial Narrow"/>
        <family val="2"/>
      </rPr>
      <t>4way</t>
    </r>
    <r>
      <rPr>
        <b/>
        <sz val="10"/>
        <color theme="1"/>
        <rFont val="Arial Narrow"/>
        <family val="2"/>
      </rPr>
      <t>) KILLED VAC</t>
    </r>
  </si>
  <si>
    <r>
      <t>VENNEW BRO (ND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>IB Multi) KILLED</t>
    </r>
  </si>
  <si>
    <r>
      <t>Nobilis Sg</t>
    </r>
    <r>
      <rPr>
        <b/>
        <sz val="10"/>
        <color rgb="FF800000"/>
        <rFont val="Arial Narrow"/>
        <family val="2"/>
      </rPr>
      <t>9</t>
    </r>
    <r>
      <rPr>
        <b/>
        <sz val="10"/>
        <color theme="1"/>
        <rFont val="Arial Narrow"/>
        <family val="2"/>
      </rPr>
      <t>R (Salmonella) Live Vac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</si>
  <si>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PO / NBF / 080425 / 001</t>
  </si>
  <si>
    <t>PO / NBF / 100425 / 002</t>
  </si>
  <si>
    <t>PO / NBF / 100425 / 003</t>
  </si>
  <si>
    <t>PO / NBF / 100425 / 004</t>
  </si>
  <si>
    <t>PO / NBF / 100425 / 005</t>
  </si>
  <si>
    <t>PO / NBF / 300425 / 006</t>
  </si>
  <si>
    <t>PO / NBF / 300425 / 007</t>
  </si>
  <si>
    <t>PO / NBF / 300425 / 008</t>
  </si>
  <si>
    <t>PO / NBF / 300425 / 009</t>
  </si>
  <si>
    <t>PO / NBF / 300425 / 010</t>
  </si>
  <si>
    <t>PO / NBF / 300425 / 011</t>
  </si>
  <si>
    <t>PO / NBF / 030525 / 012</t>
  </si>
  <si>
    <t>PO / NBF / 030525 / 013</t>
  </si>
  <si>
    <t>PO / NBF / 030525 / 014</t>
  </si>
  <si>
    <t>PO / NBF / 030525 / 015</t>
  </si>
  <si>
    <t>PO / NBF / 030525 / 016</t>
  </si>
  <si>
    <t>PO / NBF / 030525 / 017</t>
  </si>
  <si>
    <t>PO / NBF / 070525 / 018</t>
  </si>
  <si>
    <t>PO / NBF / 200525 / 019</t>
  </si>
  <si>
    <t>PO / NBF / 200525 / 020</t>
  </si>
  <si>
    <t>PO / NBF / 210525 / 021</t>
  </si>
  <si>
    <t>PO / NBF / 210525 / 022</t>
  </si>
  <si>
    <t>PO / NBF / 210525 / 023</t>
  </si>
  <si>
    <t>PO / NBF / 210525 / 024</t>
  </si>
  <si>
    <t>PO / NBF / 210525 / 025</t>
  </si>
  <si>
    <t>PO / NBF / 220525 / 026</t>
  </si>
  <si>
    <t>PO / NBF / 220525 / 027</t>
  </si>
  <si>
    <t>PO / NBF / 220525 / 028</t>
  </si>
  <si>
    <t>PO / NBF / 270525 / 029</t>
  </si>
  <si>
    <r>
      <t>INORGANIC TRACE MINERALS (</t>
    </r>
    <r>
      <rPr>
        <b/>
        <sz val="10"/>
        <color rgb="FF800000"/>
        <rFont val="Arial Narrow"/>
        <family val="2"/>
      </rPr>
      <t>Custom</t>
    </r>
    <r>
      <rPr>
        <b/>
        <sz val="10"/>
        <color theme="1"/>
        <rFont val="Arial Narrow"/>
        <family val="2"/>
      </rPr>
      <t>)</t>
    </r>
  </si>
  <si>
    <t>PO / NBF / 270525 / 030</t>
  </si>
  <si>
    <t>PO / NBF / 040625 / 031</t>
  </si>
  <si>
    <t>Bhavani Veterianary Medical Hyd</t>
  </si>
  <si>
    <t>PO / NBF / 040625 / 032</t>
  </si>
  <si>
    <r>
      <t>VENDOX-N (</t>
    </r>
    <r>
      <rPr>
        <b/>
        <sz val="10"/>
        <color rgb="FF800000"/>
        <rFont val="Arial Narrow"/>
        <family val="2"/>
      </rPr>
      <t>AHP Division</t>
    </r>
    <r>
      <rPr>
        <b/>
        <sz val="10"/>
        <color theme="1"/>
        <rFont val="Arial Narrow"/>
        <family val="2"/>
      </rPr>
      <t>)</t>
    </r>
  </si>
  <si>
    <t>PO / NBF / 040625 / 033</t>
  </si>
  <si>
    <t>Venkys India Limited - AHP Division</t>
  </si>
  <si>
    <t>Order By R.S Roy</t>
  </si>
  <si>
    <t>Order By Sumit Das</t>
  </si>
  <si>
    <r>
      <t>TRUE ACTIVE D-3 (</t>
    </r>
    <r>
      <rPr>
        <b/>
        <sz val="10"/>
        <color rgb="FF800000"/>
        <rFont val="Arial Narrow"/>
        <family val="2"/>
      </rPr>
      <t>Sapience</t>
    </r>
    <r>
      <rPr>
        <b/>
        <sz val="10"/>
        <color theme="1"/>
        <rFont val="Arial Narrow"/>
        <family val="2"/>
      </rPr>
      <t>)</t>
    </r>
  </si>
  <si>
    <t>Quest Agrovet Services Pvt Ltd</t>
  </si>
  <si>
    <t>PO / NBF / 060625/ 034</t>
  </si>
  <si>
    <t>PO / NBF / 130625/ 035</t>
  </si>
  <si>
    <t>PO / NBF / 160625/ 036</t>
  </si>
  <si>
    <t>PO / NBF / 160625/ 037</t>
  </si>
  <si>
    <r>
      <t>CUOXINE (</t>
    </r>
    <r>
      <rPr>
        <b/>
        <sz val="10"/>
        <color rgb="FF800000"/>
        <rFont val="Arial Narrow"/>
        <family val="2"/>
      </rPr>
      <t>Nutridian</t>
    </r>
    <r>
      <rPr>
        <b/>
        <sz val="10"/>
        <color theme="1"/>
        <rFont val="Arial Narrow"/>
        <family val="2"/>
      </rPr>
      <t>)</t>
    </r>
  </si>
  <si>
    <t>Nutridian Animal Health Thane M</t>
  </si>
  <si>
    <r>
      <t>OVULANTA-P (</t>
    </r>
    <r>
      <rPr>
        <b/>
        <sz val="10"/>
        <color rgb="FF800000"/>
        <rFont val="Arial Narrow"/>
        <family val="2"/>
      </rPr>
      <t>Mankind</t>
    </r>
    <r>
      <rPr>
        <b/>
        <sz val="10"/>
        <color theme="1"/>
        <rFont val="Arial Narrow"/>
        <family val="2"/>
      </rPr>
      <t>)</t>
    </r>
  </si>
  <si>
    <t>PO / NBF / 170625/ 038</t>
  </si>
  <si>
    <t>PO / NBF / 180625/ 039</t>
  </si>
  <si>
    <t>PO / NBF / 200625/ 040</t>
  </si>
  <si>
    <t>PO / NBF / 240625/ 041</t>
  </si>
  <si>
    <t>Global Chemicals Ltd Kolkata</t>
  </si>
  <si>
    <t>PO / NBF / 250625/ 042</t>
  </si>
  <si>
    <t>PO / NBF / 280625/ 043</t>
  </si>
  <si>
    <t>EMERGENCY</t>
  </si>
  <si>
    <r>
      <t>ROVIMIX OVN BREEDER (</t>
    </r>
    <r>
      <rPr>
        <b/>
        <sz val="10"/>
        <color rgb="FF800000"/>
        <rFont val="Arial Narrow"/>
        <family val="2"/>
      </rPr>
      <t>DSM</t>
    </r>
    <r>
      <rPr>
        <b/>
        <sz val="10"/>
        <color theme="1"/>
        <rFont val="Arial Narrow"/>
        <family val="2"/>
      </rPr>
      <t>)</t>
    </r>
  </si>
  <si>
    <t>PO / NBF / 020725/ 044</t>
  </si>
  <si>
    <t>PO / NBF / 050725/ 045</t>
  </si>
  <si>
    <t>PO / NBF / 050725/ 046</t>
  </si>
  <si>
    <t>PO / NBF / 110725/ 047</t>
  </si>
  <si>
    <r>
      <t>ENROCIN 10% (</t>
    </r>
    <r>
      <rPr>
        <b/>
        <sz val="10"/>
        <color rgb="FF800000"/>
        <rFont val="Arial Narrow"/>
        <family val="2"/>
      </rPr>
      <t>Zoetis</t>
    </r>
    <r>
      <rPr>
        <b/>
        <sz val="10"/>
        <color theme="1"/>
        <rFont val="Arial Narrow"/>
        <family val="2"/>
      </rPr>
      <t>)</t>
    </r>
  </si>
  <si>
    <r>
      <t>LIV-52 PROTEC PFS (</t>
    </r>
    <r>
      <rPr>
        <b/>
        <sz val="10"/>
        <color rgb="FF800000"/>
        <rFont val="Arial Narrow"/>
        <family val="2"/>
      </rPr>
      <t>Himalaya</t>
    </r>
    <r>
      <rPr>
        <b/>
        <sz val="10"/>
        <color theme="1"/>
        <rFont val="Arial Narrow"/>
        <family val="2"/>
      </rPr>
      <t>)</t>
    </r>
  </si>
  <si>
    <r>
      <t>Oxytetracycline-LA Inje.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</si>
  <si>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t>PO / NBF / 110725/ 048</t>
  </si>
  <si>
    <t>PO / NBF / 110725/ 049</t>
  </si>
  <si>
    <t>PO / NBF / 110725/ 050</t>
  </si>
  <si>
    <t>PO / NBF / 290725/ 051</t>
  </si>
  <si>
    <t>PO / NBF / 310725/ 052</t>
  </si>
  <si>
    <t>PO / NBF / 310725/ 053</t>
  </si>
  <si>
    <t>Hester Biosciences Ltd Hyderabad</t>
  </si>
  <si>
    <r>
      <t>VH NEW BRO (</t>
    </r>
    <r>
      <rPr>
        <b/>
        <sz val="10"/>
        <color rgb="FF800000"/>
        <rFont val="Arial Narrow"/>
        <family val="2"/>
      </rPr>
      <t>ND+IB Multi</t>
    </r>
    <r>
      <rPr>
        <b/>
        <sz val="10"/>
        <color theme="1"/>
        <rFont val="Arial Narrow"/>
        <family val="2"/>
      </rPr>
      <t>) KILLED</t>
    </r>
  </si>
  <si>
    <r>
      <t>VH CORE-4 (</t>
    </r>
    <r>
      <rPr>
        <b/>
        <sz val="10"/>
        <color rgb="FF800000"/>
        <rFont val="Arial Narrow"/>
        <family val="2"/>
      </rPr>
      <t>Coryza</t>
    </r>
    <r>
      <rPr>
        <b/>
        <sz val="10"/>
        <color rgb="FF0000FF"/>
        <rFont val="Arial Narrow"/>
        <family val="2"/>
      </rPr>
      <t>+</t>
    </r>
    <r>
      <rPr>
        <b/>
        <sz val="10"/>
        <color rgb="FF800000"/>
        <rFont val="Arial Narrow"/>
        <family val="2"/>
      </rPr>
      <t>ORT</t>
    </r>
    <r>
      <rPr>
        <b/>
        <sz val="10"/>
        <color theme="1"/>
        <rFont val="Arial Narrow"/>
        <family val="2"/>
      </rPr>
      <t xml:space="preserve">) KILLED </t>
    </r>
  </si>
  <si>
    <t>PO / NBF / 310725/ 054</t>
  </si>
  <si>
    <t>PO / NBF / 310725/ 055</t>
  </si>
  <si>
    <r>
      <t>MICROVIT-E 50% (</t>
    </r>
    <r>
      <rPr>
        <b/>
        <sz val="10"/>
        <color rgb="FF800000"/>
        <rFont val="Arial Narrow"/>
        <family val="2"/>
      </rPr>
      <t>Adisseo</t>
    </r>
    <r>
      <rPr>
        <b/>
        <sz val="10"/>
        <color theme="1"/>
        <rFont val="Arial Narrow"/>
        <family val="2"/>
      </rPr>
      <t>)</t>
    </r>
  </si>
  <si>
    <t>PO / NBF / 010825/ 056</t>
  </si>
  <si>
    <t>Jeco Nutri Products Pvt Ltd Kolkata</t>
  </si>
  <si>
    <t>PO / NBF / 080825/ 057</t>
  </si>
  <si>
    <t>PO / NBF / 080825/ 058</t>
  </si>
  <si>
    <t>PO / NBF / 080825/ 059</t>
  </si>
  <si>
    <t>Ves ~ Spa Barasat, 24-Parganas</t>
  </si>
  <si>
    <r>
      <t>RUNEON (</t>
    </r>
    <r>
      <rPr>
        <b/>
        <sz val="10"/>
        <color rgb="FF800000"/>
        <rFont val="Arial Narrow"/>
        <family val="2"/>
      </rPr>
      <t>Intas Pharma</t>
    </r>
    <r>
      <rPr>
        <b/>
        <sz val="10"/>
        <color theme="1"/>
        <rFont val="Arial Narrow"/>
        <family val="2"/>
      </rPr>
      <t>)</t>
    </r>
  </si>
  <si>
    <t>PO / NBF / 080825/ 060</t>
  </si>
  <si>
    <t>Order by Sumit Das</t>
  </si>
  <si>
    <t>PO / NBF / 110825/ 061</t>
  </si>
  <si>
    <t>PO / NBF / 110825/ 062</t>
  </si>
  <si>
    <t>PO / NBF / 120825/ 063</t>
  </si>
  <si>
    <t>PO / NBF / 130825/ 064</t>
  </si>
  <si>
    <t>PO / NBF / 220825/ 065</t>
  </si>
  <si>
    <t>Natural Herbs Formulations Pvt Ltd</t>
  </si>
  <si>
    <r>
      <t>BUTI PEARL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</si>
  <si>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r>
      <t>ENDOX-T DRY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</si>
  <si>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r>
      <t>KEMTRACE SUPREME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</si>
  <si>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r>
      <t>PHYGEST-10000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</si>
  <si>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r>
      <t>TOXFIN-360 DRY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</si>
  <si>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t>PO / NBF / 030925/ 066</t>
  </si>
  <si>
    <r>
      <t>AMINO GABA-20% (</t>
    </r>
    <r>
      <rPr>
        <b/>
        <sz val="10"/>
        <color rgb="FF800000"/>
        <rFont val="Arial Narrow"/>
        <family val="2"/>
      </rPr>
      <t>CP Bio</t>
    </r>
    <r>
      <rPr>
        <b/>
        <sz val="10"/>
        <color theme="1"/>
        <rFont val="Arial Narrow"/>
        <family val="2"/>
      </rPr>
      <t>)</t>
    </r>
  </si>
  <si>
    <t>PO / NBF / 030925/ 067</t>
  </si>
  <si>
    <t>More Than Solutions Pvt Ltd HYD</t>
  </si>
  <si>
    <r>
      <t>MICROVIT-C 35% (</t>
    </r>
    <r>
      <rPr>
        <b/>
        <sz val="10"/>
        <color rgb="FF800000"/>
        <rFont val="Arial Narrow"/>
        <family val="2"/>
      </rPr>
      <t>Adisseo</t>
    </r>
    <r>
      <rPr>
        <b/>
        <sz val="10"/>
        <color theme="1"/>
        <rFont val="Arial Narrow"/>
        <family val="2"/>
      </rPr>
      <t>)</t>
    </r>
  </si>
  <si>
    <t>PO / NBF / 030925/ 068</t>
  </si>
  <si>
    <t>PO / NBF / 060925/ 069</t>
  </si>
  <si>
    <r>
      <t>OREGOSTIM-1X (</t>
    </r>
    <r>
      <rPr>
        <b/>
        <sz val="10"/>
        <color rgb="FF800000"/>
        <rFont val="Arial Narrow"/>
        <family val="2"/>
      </rPr>
      <t>Saife Vet</t>
    </r>
    <r>
      <rPr>
        <b/>
        <sz val="10"/>
        <color theme="1"/>
        <rFont val="Arial Narrow"/>
        <family val="2"/>
      </rPr>
      <t>)</t>
    </r>
  </si>
  <si>
    <t>PO / NBF / 080925/ 070</t>
  </si>
  <si>
    <t>Agrioma Life Sciences Kolkata</t>
  </si>
  <si>
    <r>
      <t>SAF MANANS (</t>
    </r>
    <r>
      <rPr>
        <b/>
        <sz val="10"/>
        <color rgb="FF800000"/>
        <rFont val="Arial Narrow"/>
        <family val="2"/>
      </rPr>
      <t>Phileo</t>
    </r>
    <r>
      <rPr>
        <b/>
        <sz val="10"/>
        <color theme="1"/>
        <rFont val="Arial Narrow"/>
        <family val="2"/>
      </rPr>
      <t>)</t>
    </r>
  </si>
  <si>
    <t>PO / NBF / 080925/ 071</t>
  </si>
  <si>
    <t>Bengal Agrovet Pvt Ltd Kolkata</t>
  </si>
  <si>
    <r>
      <t>NEOLINC (</t>
    </r>
    <r>
      <rPr>
        <b/>
        <sz val="10"/>
        <color rgb="FF800000"/>
        <rFont val="Arial Narrow"/>
        <family val="2"/>
      </rPr>
      <t>Lincomycin+Neomycin-10%</t>
    </r>
    <r>
      <rPr>
        <b/>
        <sz val="10"/>
        <color theme="1"/>
        <rFont val="Arial Narrow"/>
        <family val="2"/>
      </rPr>
      <t>)</t>
    </r>
  </si>
  <si>
    <t>PO / NBF / 090925/ 072</t>
  </si>
  <si>
    <t>Ravioza Biotech, Indore MP</t>
  </si>
  <si>
    <r>
      <t>Hipraviar Clon-79 (</t>
    </r>
    <r>
      <rPr>
        <b/>
        <sz val="10"/>
        <color rgb="FF800000"/>
        <rFont val="Arial Narrow"/>
        <family val="2"/>
      </rPr>
      <t>Hipra</t>
    </r>
    <r>
      <rPr>
        <b/>
        <sz val="10"/>
        <color theme="1"/>
        <rFont val="Arial Narrow"/>
        <family val="2"/>
      </rPr>
      <t>)</t>
    </r>
  </si>
  <si>
    <t>PO / NBF / 110925/ 073</t>
  </si>
  <si>
    <t>PO / NBF / 110925/ 074</t>
  </si>
  <si>
    <r>
      <t>LARVEND GOLD PLUS (</t>
    </r>
    <r>
      <rPr>
        <b/>
        <sz val="10"/>
        <color rgb="FF800000"/>
        <rFont val="Arial Narrow"/>
        <family val="2"/>
      </rPr>
      <t>RRVHC</t>
    </r>
    <r>
      <rPr>
        <b/>
        <sz val="10"/>
        <color theme="1"/>
        <rFont val="Arial Narrow"/>
        <family val="2"/>
      </rPr>
      <t>)</t>
    </r>
  </si>
  <si>
    <t>PO / NBF / 110925/ 075</t>
  </si>
  <si>
    <t>RR Veterianary Health Care Pvt Ltd</t>
  </si>
  <si>
    <t>PO / NBF / 110925/ 076</t>
  </si>
  <si>
    <r>
      <t>Nobilis SALENVAC Inactivated Vac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</si>
  <si>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PO / NBF / 110925/ 077</t>
  </si>
  <si>
    <t>PO / NBF / 110925/ 078</t>
  </si>
  <si>
    <r>
      <t>ROVIMIX OVN BREEDER Hy-D VP (</t>
    </r>
    <r>
      <rPr>
        <b/>
        <sz val="10"/>
        <color rgb="FF800000"/>
        <rFont val="Arial Narrow"/>
        <family val="2"/>
      </rPr>
      <t>DSM</t>
    </r>
    <r>
      <rPr>
        <b/>
        <sz val="10"/>
        <color theme="1"/>
        <rFont val="Arial Narrow"/>
        <family val="2"/>
      </rPr>
      <t>)</t>
    </r>
  </si>
  <si>
    <t>PO / NBF / 140925/ 079</t>
  </si>
  <si>
    <t>PO / NBF / 190925/ 080</t>
  </si>
  <si>
    <t>PO / NBF / 190925/ 081</t>
  </si>
  <si>
    <t>PO / NBF / 190925/ 082</t>
  </si>
  <si>
    <r>
      <t>KEMZYME PROTEASE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</si>
  <si>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t>PO / NBF / 190925/ 083</t>
  </si>
  <si>
    <r>
      <t>CITIFAC (</t>
    </r>
    <r>
      <rPr>
        <b/>
        <sz val="10"/>
        <color rgb="FF800000"/>
        <rFont val="Arial Narrow"/>
        <family val="2"/>
      </rPr>
      <t>Chlortetracyclin-15%</t>
    </r>
    <r>
      <rPr>
        <b/>
        <sz val="10"/>
        <color theme="1"/>
        <rFont val="Arial Narrow"/>
        <family val="2"/>
      </rPr>
      <t>)</t>
    </r>
  </si>
  <si>
    <t>PO / NBF / 190925/ 084</t>
  </si>
  <si>
    <t>PO / NBF / 190925/ 085</t>
  </si>
  <si>
    <t>PO / NBF / 190925/ 086</t>
  </si>
  <si>
    <r>
      <t>RESPOTYL-62.5% (</t>
    </r>
    <r>
      <rPr>
        <b/>
        <sz val="10"/>
        <color rgb="FF800000"/>
        <rFont val="Arial Narrow"/>
        <family val="2"/>
      </rPr>
      <t>AHP Division</t>
    </r>
    <r>
      <rPr>
        <b/>
        <sz val="10"/>
        <color theme="1"/>
        <rFont val="Arial Narrow"/>
        <family val="2"/>
      </rPr>
      <t>)</t>
    </r>
  </si>
  <si>
    <t>PO / NBF / 190925/ 087</t>
  </si>
  <si>
    <t>PO / NBF / 220925/ 088</t>
  </si>
  <si>
    <t>Varsha Multitech Bangalore</t>
  </si>
  <si>
    <r>
      <t>MCP (</t>
    </r>
    <r>
      <rPr>
        <b/>
        <sz val="10"/>
        <color rgb="FF800000"/>
        <rFont val="Arial Narrow"/>
        <family val="2"/>
      </rPr>
      <t>Timab</t>
    </r>
    <r>
      <rPr>
        <b/>
        <sz val="10"/>
        <color theme="1"/>
        <rFont val="Arial Narrow"/>
        <family val="2"/>
      </rPr>
      <t>)</t>
    </r>
  </si>
  <si>
    <t>PO / NBF / 241025/ 089</t>
  </si>
  <si>
    <t>Stats Speciality Products Pvt Ltd</t>
  </si>
  <si>
    <t>PO / NBF / 251025/ 090</t>
  </si>
  <si>
    <t>PO / NBF / 251025/ 091</t>
  </si>
  <si>
    <t>PO / NBF / 251025/ 092</t>
  </si>
  <si>
    <t>PO / NBF / 251025/ 093</t>
  </si>
  <si>
    <t>PO / NBF / 251025/ 094</t>
  </si>
  <si>
    <t>PO / NBF / 251025/ 095</t>
  </si>
  <si>
    <t>PO / NBF / 251025/ 096</t>
  </si>
  <si>
    <r>
      <t>BB-EVVECT-8 (</t>
    </r>
    <r>
      <rPr>
        <b/>
        <sz val="10"/>
        <color rgb="FF800000"/>
        <rFont val="Arial Narrow"/>
        <family val="2"/>
      </rPr>
      <t>Bhabani Bio</t>
    </r>
    <r>
      <rPr>
        <b/>
        <sz val="10"/>
        <color theme="1"/>
        <rFont val="Arial Narrow"/>
        <family val="2"/>
      </rPr>
      <t>)</t>
    </r>
  </si>
  <si>
    <t>PO / NBF / 281025/ 097</t>
  </si>
  <si>
    <t>Oxytetracycline-LA Inje. (Zenex-AH)</t>
  </si>
  <si>
    <t>SELVO-BH (Alivira)</t>
  </si>
  <si>
    <t>Dicrysticin-S Injection (Zenex-AH)</t>
  </si>
  <si>
    <t>Gram</t>
  </si>
  <si>
    <t>PO / NBF / 281025/ 098</t>
  </si>
  <si>
    <t>PO / NBF / 281025/ 099</t>
  </si>
  <si>
    <t>PO / NBF / 281025/ 100</t>
  </si>
  <si>
    <r>
      <t>Nobilis IB MA-5+Clone-30 Live Vac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</si>
  <si>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PO / NBF / 281025/ 101</t>
  </si>
  <si>
    <t>PO / NBF / 281025/ 102</t>
  </si>
  <si>
    <r>
      <t>ANICHOL-60 (</t>
    </r>
    <r>
      <rPr>
        <b/>
        <sz val="10"/>
        <color rgb="FF800000"/>
        <rFont val="Arial Narrow"/>
        <family val="2"/>
      </rPr>
      <t>Jubilan</t>
    </r>
    <r>
      <rPr>
        <b/>
        <sz val="10"/>
        <color theme="1"/>
        <rFont val="Arial Narrow"/>
        <family val="2"/>
      </rPr>
      <t>t)</t>
    </r>
  </si>
  <si>
    <t>PO / NBF / 051125/ 103</t>
  </si>
  <si>
    <t>Supreme Vet Chem Pvt Ltd Secunderabad</t>
  </si>
  <si>
    <t>PO / NBF / 221125/ 104</t>
  </si>
  <si>
    <t>PO / NBF / 221125/ 105</t>
  </si>
  <si>
    <t>PO / NBF / 221125/ 106</t>
  </si>
  <si>
    <t>PO / NBF / 221125/ 107</t>
  </si>
  <si>
    <t>PO / NBF / 241125/ 108</t>
  </si>
  <si>
    <t>PO / NBF / 241125/ 109</t>
  </si>
  <si>
    <t>PO / NBF / 241125/ 110</t>
  </si>
  <si>
    <t>PO / NBF / 241125/ 111</t>
  </si>
  <si>
    <r>
      <t>Hipraviar Clon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>H-120 (</t>
    </r>
    <r>
      <rPr>
        <b/>
        <sz val="10"/>
        <color rgb="FF800000"/>
        <rFont val="Arial Narrow"/>
        <family val="2"/>
      </rPr>
      <t>Hipra</t>
    </r>
    <r>
      <rPr>
        <b/>
        <sz val="10"/>
        <color theme="1"/>
        <rFont val="Arial Narrow"/>
        <family val="2"/>
      </rPr>
      <t>)</t>
    </r>
  </si>
  <si>
    <t xml:space="preserve"> Kg </t>
  </si>
  <si>
    <t>PO / NBF / 041225/ 112</t>
  </si>
  <si>
    <t>PO / NBF / 041225/ 113</t>
  </si>
  <si>
    <t>PO / NBF / 171225/ 114</t>
  </si>
  <si>
    <t>PO / NBF / 171225/ 115</t>
  </si>
  <si>
    <t>PO / NBF / 171225/ 116</t>
  </si>
  <si>
    <t>PO / NBF / 171225/ 117</t>
  </si>
  <si>
    <t>PO / NBF / 171225/ 118</t>
  </si>
  <si>
    <t>PO / NBF / 171225/ 119</t>
  </si>
  <si>
    <t>PO / NBF / 181225/ 120</t>
  </si>
  <si>
    <r>
      <t>BIO BUSTER PLUS (</t>
    </r>
    <r>
      <rPr>
        <b/>
        <sz val="10"/>
        <color rgb="FF800000"/>
        <rFont val="Arial Narrow"/>
        <family val="2"/>
      </rPr>
      <t>BV Biocrop</t>
    </r>
    <r>
      <rPr>
        <b/>
        <sz val="10"/>
        <color theme="1"/>
        <rFont val="Arial Narrow"/>
        <family val="2"/>
      </rPr>
      <t>)</t>
    </r>
  </si>
  <si>
    <r>
      <t>VAC-SURE (</t>
    </r>
    <r>
      <rPr>
        <b/>
        <sz val="10"/>
        <color rgb="FF800000"/>
        <rFont val="Arial Narrow"/>
        <family val="2"/>
      </rPr>
      <t>20 Gram</t>
    </r>
    <r>
      <rPr>
        <b/>
        <sz val="10"/>
        <color theme="1"/>
        <rFont val="Arial Narrow"/>
        <family val="2"/>
      </rPr>
      <t>) TAB</t>
    </r>
  </si>
  <si>
    <t>PO / NBF / 301225/ 121</t>
  </si>
  <si>
    <t>PO / NBF / 301225/ 122</t>
  </si>
  <si>
    <t>PO / NBF / 301225/ 123</t>
  </si>
  <si>
    <r>
      <t>BDR MIN HTF(</t>
    </r>
    <r>
      <rPr>
        <b/>
        <sz val="10"/>
        <color rgb="FF800000"/>
        <rFont val="Arial Narrow"/>
        <family val="2"/>
      </rPr>
      <t>Inorganic Trace Minera</t>
    </r>
    <r>
      <rPr>
        <b/>
        <sz val="10"/>
        <color theme="1"/>
        <rFont val="Arial Narrow"/>
        <family val="2"/>
      </rPr>
      <t>l)</t>
    </r>
  </si>
  <si>
    <t>PO / NBF / 100126 / 124</t>
  </si>
  <si>
    <t>PO / NBF / 100126 / 125</t>
  </si>
  <si>
    <t>PO / NBF / 100126 / 126</t>
  </si>
  <si>
    <t>PO / NBF / 100126 / 127</t>
  </si>
  <si>
    <t>PO / NBF / 130126 / 128</t>
  </si>
  <si>
    <t>PO / NBF / 300126 / 129</t>
  </si>
  <si>
    <t>PO / NBF / 300126 / 130</t>
  </si>
  <si>
    <t>ND+IBD KILLED VAC</t>
  </si>
  <si>
    <r>
      <t>IBH (</t>
    </r>
    <r>
      <rPr>
        <b/>
        <sz val="10"/>
        <color rgb="FF800000"/>
        <rFont val="Arial Narrow"/>
        <family val="2"/>
      </rPr>
      <t>VH-HPEA</t>
    </r>
    <r>
      <rPr>
        <b/>
        <sz val="10"/>
        <color theme="1"/>
        <rFont val="Arial Narrow"/>
        <family val="2"/>
      </rPr>
      <t>) KILLED VAC</t>
    </r>
  </si>
  <si>
    <t>PO / NBF / 300126 / 131</t>
  </si>
  <si>
    <t>PO / NBF / 300126 / 132</t>
  </si>
  <si>
    <t>PO / NBF / 300126 / 133</t>
  </si>
  <si>
    <r>
      <t>LARVADEX (</t>
    </r>
    <r>
      <rPr>
        <b/>
        <sz val="10"/>
        <color rgb="FF800000"/>
        <rFont val="Arial Narrow"/>
        <family val="2"/>
      </rPr>
      <t>Elanco</t>
    </r>
    <r>
      <rPr>
        <b/>
        <sz val="10"/>
        <color theme="1"/>
        <rFont val="Arial Narrow"/>
        <family val="2"/>
      </rPr>
      <t>)</t>
    </r>
  </si>
  <si>
    <t>PO / NBF / 060226 / 134</t>
  </si>
  <si>
    <t>Elanco India Pvt Ltd, Vijayawada</t>
  </si>
  <si>
    <r>
      <t>VIRKON's (</t>
    </r>
    <r>
      <rPr>
        <b/>
        <sz val="10"/>
        <color rgb="FF800000"/>
        <rFont val="Arial Narrow"/>
        <family val="2"/>
      </rPr>
      <t>Zoetis</t>
    </r>
    <r>
      <rPr>
        <b/>
        <sz val="10"/>
        <color theme="1"/>
        <rFont val="Arial Narrow"/>
        <family val="2"/>
      </rPr>
      <t>)</t>
    </r>
  </si>
  <si>
    <r>
      <t>Oxytetracycline-LA Injection (</t>
    </r>
    <r>
      <rPr>
        <b/>
        <sz val="10"/>
        <color rgb="FF800000"/>
        <rFont val="Arial Narrow"/>
        <family val="2"/>
      </rPr>
      <t>Zenex-AH</t>
    </r>
    <r>
      <rPr>
        <b/>
        <sz val="10"/>
        <color theme="1"/>
        <rFont val="Arial Narrow"/>
        <family val="2"/>
      </rPr>
      <t>)</t>
    </r>
  </si>
  <si>
    <t>PO / NBF / 050226 / 135</t>
  </si>
  <si>
    <t>PO / NBF / 050226 / 136</t>
  </si>
  <si>
    <t>PO / NBF / 050226 / 137</t>
  </si>
  <si>
    <t>PO / NBF / 050226 / 138</t>
  </si>
  <si>
    <t>PO / NBF / 050226 / 139</t>
  </si>
  <si>
    <t>PO / NBF / 060226 / 140</t>
  </si>
  <si>
    <r>
      <t>EKTOMIN-100 EC (</t>
    </r>
    <r>
      <rPr>
        <b/>
        <sz val="10"/>
        <color rgb="FF800000"/>
        <rFont val="Arial Narrow"/>
        <family val="2"/>
      </rPr>
      <t>Elanco</t>
    </r>
    <r>
      <rPr>
        <b/>
        <sz val="10"/>
        <color theme="1"/>
        <rFont val="Arial Narrow"/>
        <family val="2"/>
      </rPr>
      <t>)</t>
    </r>
  </si>
  <si>
    <t>PO / NBF / 060226 / 141</t>
  </si>
  <si>
    <t>PO / NBF / 100226 / 142</t>
  </si>
  <si>
    <t>PO / NBF / 100226 / 143</t>
  </si>
  <si>
    <t>PO / NBF / 100226 / 144</t>
  </si>
  <si>
    <r>
      <t>ANICHOL-60 (</t>
    </r>
    <r>
      <rPr>
        <b/>
        <sz val="10"/>
        <color rgb="FF800000"/>
        <rFont val="Arial Narrow"/>
        <family val="2"/>
      </rPr>
      <t>Jubilant</t>
    </r>
    <r>
      <rPr>
        <b/>
        <sz val="10"/>
        <color theme="1"/>
        <rFont val="Arial Narrow"/>
        <family val="2"/>
      </rPr>
      <t>)</t>
    </r>
  </si>
  <si>
    <t>PO / NBF / 120226 / 145</t>
  </si>
  <si>
    <r>
      <t>BB EVEECT (</t>
    </r>
    <r>
      <rPr>
        <b/>
        <sz val="10"/>
        <color rgb="FF800000"/>
        <rFont val="Arial Narrow"/>
        <family val="2"/>
      </rPr>
      <t>Bhabani Bio</t>
    </r>
    <r>
      <rPr>
        <b/>
        <sz val="10"/>
        <color theme="1"/>
        <rFont val="Arial Narrow"/>
        <family val="2"/>
      </rPr>
      <t>)</t>
    </r>
  </si>
  <si>
    <t>PO / NBF / 180226 / 146</t>
  </si>
  <si>
    <t>PO / NBF / 180226 / 147</t>
  </si>
  <si>
    <t>PO / NBF / 180226 / 148</t>
  </si>
  <si>
    <r>
      <t>BIOSPARK GOLD (</t>
    </r>
    <r>
      <rPr>
        <b/>
        <sz val="10"/>
        <color rgb="FF800000"/>
        <rFont val="Arial Narrow"/>
        <family val="2"/>
      </rPr>
      <t>AHP DIV</t>
    </r>
    <r>
      <rPr>
        <b/>
        <sz val="10"/>
        <color theme="1"/>
        <rFont val="Arial Narrow"/>
        <family val="2"/>
      </rPr>
      <t>)</t>
    </r>
  </si>
  <si>
    <r>
      <t>LAYVIT REGULAR (</t>
    </r>
    <r>
      <rPr>
        <b/>
        <sz val="10"/>
        <color rgb="FF800000"/>
        <rFont val="Arial Narrow"/>
        <family val="2"/>
      </rPr>
      <t>AHP DIV</t>
    </r>
    <r>
      <rPr>
        <b/>
        <sz val="10"/>
        <color theme="1"/>
        <rFont val="Arial Narrow"/>
        <family val="2"/>
      </rPr>
      <t>)</t>
    </r>
  </si>
  <si>
    <r>
      <t>SOLEX-M (</t>
    </r>
    <r>
      <rPr>
        <b/>
        <sz val="10"/>
        <color rgb="FF800000"/>
        <rFont val="Arial Narrow"/>
        <family val="2"/>
      </rPr>
      <t>AHP DIV</t>
    </r>
    <r>
      <rPr>
        <b/>
        <sz val="10"/>
        <color theme="1"/>
        <rFont val="Arial Narrow"/>
        <family val="2"/>
      </rPr>
      <t>)</t>
    </r>
  </si>
  <si>
    <r>
      <t>VENTRIPLEX-M (</t>
    </r>
    <r>
      <rPr>
        <b/>
        <sz val="10"/>
        <color rgb="FF800000"/>
        <rFont val="Arial Narrow"/>
        <family val="2"/>
      </rPr>
      <t>AHP DIV</t>
    </r>
    <r>
      <rPr>
        <b/>
        <sz val="10"/>
        <color theme="1"/>
        <rFont val="Arial Narrow"/>
        <family val="2"/>
      </rPr>
      <t>)</t>
    </r>
  </si>
  <si>
    <t>PO / NBF / 180226 / 149</t>
  </si>
  <si>
    <r>
      <t>Desofur Injection (</t>
    </r>
    <r>
      <rPr>
        <b/>
        <sz val="10"/>
        <color rgb="FF800000"/>
        <rFont val="Arial Narrow"/>
        <family val="2"/>
      </rPr>
      <t>Intas</t>
    </r>
    <r>
      <rPr>
        <b/>
        <sz val="10"/>
        <color theme="1"/>
        <rFont val="Arial Narrow"/>
        <family val="2"/>
      </rPr>
      <t>)</t>
    </r>
  </si>
  <si>
    <t>PO / NBF / 240226 / 150</t>
  </si>
  <si>
    <r>
      <t>ROVIMIX OVN BREEDER CBY (</t>
    </r>
    <r>
      <rPr>
        <b/>
        <sz val="10"/>
        <color rgb="FF800000"/>
        <rFont val="Arial Narrow"/>
        <family val="2"/>
      </rPr>
      <t>DSM</t>
    </r>
    <r>
      <rPr>
        <b/>
        <sz val="10"/>
        <color theme="1"/>
        <rFont val="Arial Narrow"/>
        <family val="2"/>
      </rPr>
      <t>)</t>
    </r>
  </si>
  <si>
    <t>PO / NBF / 260226 / 151</t>
  </si>
  <si>
    <t>For Stop Gap</t>
  </si>
  <si>
    <t>Last update as on 31.03.2026</t>
  </si>
  <si>
    <r>
      <t>SPERMED (</t>
    </r>
    <r>
      <rPr>
        <b/>
        <sz val="10"/>
        <color rgb="FF800000"/>
        <rFont val="Arial Narrow"/>
        <family val="2"/>
      </rPr>
      <t>Medichem Product</t>
    </r>
    <r>
      <rPr>
        <b/>
        <sz val="10"/>
        <rFont val="Arial Narrow"/>
        <family val="2"/>
      </rPr>
      <t>)</t>
    </r>
  </si>
  <si>
    <t>PO / NBF / 140426 / 001</t>
  </si>
  <si>
    <r>
      <t>VH HPEA (</t>
    </r>
    <r>
      <rPr>
        <b/>
        <sz val="10"/>
        <color rgb="FF800000"/>
        <rFont val="Arial Narrow"/>
        <family val="2"/>
      </rPr>
      <t>IBH</t>
    </r>
    <r>
      <rPr>
        <b/>
        <sz val="10"/>
        <color theme="1"/>
        <rFont val="Arial Narrow"/>
        <family val="2"/>
      </rPr>
      <t>) KILLED VAC</t>
    </r>
  </si>
  <si>
    <t>PO / NBF / 270426 / 002</t>
  </si>
  <si>
    <t>PO / NBF / 300426 / 003</t>
  </si>
  <si>
    <r>
      <t>VH VVND (</t>
    </r>
    <r>
      <rPr>
        <b/>
        <sz val="10"/>
        <color rgb="FF800000"/>
        <rFont val="Arial Narrow"/>
        <family val="2"/>
      </rPr>
      <t>VENGEM-9</t>
    </r>
    <r>
      <rPr>
        <b/>
        <sz val="10"/>
        <color theme="1"/>
        <rFont val="Arial Narrow"/>
        <family val="2"/>
      </rPr>
      <t>) KILLED VAC</t>
    </r>
  </si>
  <si>
    <t>PO / NBF / 300426 / 004</t>
  </si>
  <si>
    <r>
      <t>Nobilis IB 4/91 Live Vac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</si>
  <si>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r>
      <t>Nobilis IB MA-5 Live Vac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</si>
  <si>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r>
      <t>Nobilis ND Clone-30 Live Vac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</si>
  <si>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r>
      <t>Nobilis REO-1133 Live Vaccine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</si>
  <si>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PO / NBF / 300426 / 005</t>
  </si>
  <si>
    <t>Venkateshwara Marketing HYD</t>
  </si>
  <si>
    <r>
      <t>PREVEXXION MAREK's Vac (</t>
    </r>
    <r>
      <rPr>
        <b/>
        <sz val="10"/>
        <color rgb="FF800000"/>
        <rFont val="Arial Narrow"/>
        <family val="2"/>
      </rPr>
      <t>Boehringer</t>
    </r>
    <r>
      <rPr>
        <b/>
        <sz val="10"/>
        <color theme="1"/>
        <rFont val="Arial Narrow"/>
        <family val="2"/>
      </rPr>
      <t>)</t>
    </r>
  </si>
  <si>
    <t>PO / NBF / 020526 / 006</t>
  </si>
  <si>
    <r>
      <t>Hipraviar TRT VAC (</t>
    </r>
    <r>
      <rPr>
        <b/>
        <sz val="10"/>
        <color rgb="FF800000"/>
        <rFont val="Arial Narrow"/>
        <family val="2"/>
      </rPr>
      <t>Hipra</t>
    </r>
    <r>
      <rPr>
        <b/>
        <sz val="10"/>
        <color theme="1"/>
        <rFont val="Arial Narrow"/>
        <family val="2"/>
      </rPr>
      <t>)</t>
    </r>
  </si>
  <si>
    <t>PO / NBF / 080526 / 007</t>
  </si>
  <si>
    <t>PO / NBF / 080526 / 008</t>
  </si>
  <si>
    <t>Das Drug Centre Pvt Ltd W Bengal</t>
  </si>
  <si>
    <t>PO / NBF / 110526 / 009</t>
  </si>
  <si>
    <t>Jeco Nutri Chem Pvt Ltd Kolkata</t>
  </si>
  <si>
    <r>
      <t>CORYZA KILLED VAC (</t>
    </r>
    <r>
      <rPr>
        <b/>
        <sz val="10"/>
        <color rgb="FF800000"/>
        <rFont val="Arial Narrow"/>
        <family val="2"/>
      </rPr>
      <t>Boehringer</t>
    </r>
    <r>
      <rPr>
        <b/>
        <sz val="10"/>
        <color theme="1"/>
        <rFont val="Arial Narrow"/>
        <family val="2"/>
      </rPr>
      <t>)</t>
    </r>
  </si>
  <si>
    <t>PO / NBF / 120526 / 010</t>
  </si>
  <si>
    <t>PO / NBF / 120526 / 011</t>
  </si>
  <si>
    <r>
      <t>Nobilis IB MA-5</t>
    </r>
    <r>
      <rPr>
        <b/>
        <sz val="10"/>
        <color rgb="FF800000"/>
        <rFont val="Arial Narrow"/>
        <family val="2"/>
      </rPr>
      <t>+</t>
    </r>
    <r>
      <rPr>
        <b/>
        <sz val="10"/>
        <color theme="1"/>
        <rFont val="Arial Narrow"/>
        <family val="2"/>
      </rPr>
      <t>ND Clone-30 Live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</si>
  <si>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r>
      <t>Nobilis Sg9R (</t>
    </r>
    <r>
      <rPr>
        <b/>
        <sz val="10"/>
        <color rgb="FF800000"/>
        <rFont val="Arial Narrow"/>
        <family val="2"/>
      </rPr>
      <t>Salmonella</t>
    </r>
    <r>
      <rPr>
        <b/>
        <sz val="10"/>
        <color theme="1"/>
        <rFont val="Arial Narrow"/>
        <family val="2"/>
      </rPr>
      <t>) Live Vac (</t>
    </r>
    <r>
      <rPr>
        <b/>
        <sz val="10"/>
        <color rgb="FF800000"/>
        <rFont val="Arial Narrow"/>
        <family val="2"/>
      </rPr>
      <t>MSD</t>
    </r>
    <r>
      <rPr>
        <b/>
        <sz val="10"/>
        <color theme="1"/>
        <rFont val="Arial Narrow"/>
        <family val="2"/>
      </rPr>
      <t>)</t>
    </r>
  </si>
  <si>
    <t>PO / NBF / 120526 / 012</t>
  </si>
  <si>
    <t>PO / NBF / 120526 / 013</t>
  </si>
  <si>
    <r>
      <t>LAYVIT REGULAR (</t>
    </r>
    <r>
      <rPr>
        <b/>
        <sz val="10"/>
        <color rgb="FF800000"/>
        <rFont val="Arial Narrow"/>
        <family val="2"/>
      </rPr>
      <t>Hitech Div</t>
    </r>
    <r>
      <rPr>
        <b/>
        <sz val="10"/>
        <color theme="1"/>
        <rFont val="Arial Narrow"/>
        <family val="2"/>
      </rPr>
      <t>)</t>
    </r>
  </si>
  <si>
    <t>PO / NBF / 120526 / 014</t>
  </si>
  <si>
    <t>PO / NBF / 200526 / 015</t>
  </si>
  <si>
    <t xml:space="preserve">Varsha Multitech Bangalore </t>
  </si>
  <si>
    <t>PO / NBF / 040626 / 016</t>
  </si>
  <si>
    <t>Agrioma Life Science - Kolkata</t>
  </si>
  <si>
    <t>PO / NBF / 040626 / 017</t>
  </si>
  <si>
    <t>Bengal Agrovet Pvt Ltd - Kolkata</t>
  </si>
  <si>
    <r>
      <t>BUTI GEM (</t>
    </r>
    <r>
      <rPr>
        <b/>
        <sz val="10"/>
        <color rgb="FF800000"/>
        <rFont val="Arial Narrow"/>
        <family val="2"/>
      </rPr>
      <t>Kemin</t>
    </r>
    <r>
      <rPr>
        <b/>
        <sz val="10"/>
        <color theme="1"/>
        <rFont val="Arial Narrow"/>
        <family val="2"/>
      </rPr>
      <t>)</t>
    </r>
  </si>
  <si>
    <t>PO / NBF / 040626 / 018</t>
  </si>
  <si>
    <t>PO / NBF / 050626 / 019</t>
  </si>
  <si>
    <t>PO / NBF / 060626 / 020</t>
  </si>
  <si>
    <t>Last update as on 06.06.2026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</si>
</sst>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0.0"/>
    <numFmt numFmtId="166" formatCode="_(* #,##0.00_);_(* \(#,##0.00\);_(* &quot;-&quot;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14"/>
      <color theme="0"/>
      <name val="Arial Narrow"/>
      <family val="2"/>
    </font>
    <font>
      <sz val="9"/>
      <color theme="0" tint="-0.499984740745262"/>
      <name val="Arial Narrow"/>
      <family val="2"/>
    </font>
    <font>
      <b/>
      <i/>
      <sz val="12"/>
      <color theme="0"/>
      <name val="Arial Narrow"/>
      <family val="2"/>
    </font>
    <font>
      <b/>
      <i/>
      <sz val="11"/>
      <color theme="0"/>
      <name val="Arial Narrow"/>
      <family val="2"/>
    </font>
    <font>
      <b/>
      <sz val="9"/>
      <color rgb="FF0000FF"/>
      <name val="Arial Narrow"/>
      <family val="2"/>
    </font>
    <font>
      <b/>
      <sz val="10"/>
      <color theme="1"/>
      <name val="Arial Narrow"/>
      <family val="2"/>
    </font>
    <font>
      <b/>
      <sz val="10"/>
      <color rgb="FF800000"/>
      <name val="Arial Narrow"/>
      <family val="2"/>
    </font>
    <font>
      <b/>
      <sz val="11"/>
      <color theme="1"/>
      <name val="Arial Narrow"/>
      <family val="2"/>
    </font>
    <font>
      <b/>
      <sz val="10"/>
      <color rgb="FF002060"/>
      <name val="Arial Narrow"/>
      <family val="2"/>
    </font>
    <font>
      <sz val="9"/>
      <color rgb="FF002060"/>
      <name val="Arial Narrow"/>
      <family val="2"/>
    </font>
    <font>
      <sz val="10"/>
      <color theme="1"/>
      <name val="Arial Narrow"/>
      <family val="2"/>
    </font>
    <font>
      <b/>
      <sz val="9"/>
      <color indexed="81"/>
      <name val="Tahoma"/>
      <family val="2"/>
    </font>
    <font>
      <sz val="11"/>
      <color theme="1"/>
      <name val="Arial Narrow"/>
      <family val="2"/>
    </font>
    <font>
      <b/>
      <i/>
      <sz val="16"/>
      <color theme="2" tint="-0.89999084444715716"/>
      <name val="Arial Narrow"/>
      <family val="2"/>
    </font>
    <font>
      <b/>
      <i/>
      <sz val="9"/>
      <color rgb="FF800000"/>
      <name val="Arial Narrow"/>
      <family val="2"/>
    </font>
    <font>
      <b/>
      <i/>
      <sz val="10"/>
      <color rgb="FF800000"/>
      <name val="Arial Narrow"/>
      <family val="2"/>
    </font>
    <font>
      <b/>
      <i/>
      <sz val="11"/>
      <color rgb="FF800000"/>
      <name val="Arial Narrow"/>
      <family val="2"/>
    </font>
    <font>
      <b/>
      <i/>
      <sz val="12"/>
      <color theme="1"/>
      <name val="Arial Narrow"/>
      <family val="2"/>
    </font>
    <font>
      <sz val="9"/>
      <color indexed="81"/>
      <name val="Tahoma"/>
      <family val="2"/>
    </font>
    <font>
      <b/>
      <i/>
      <sz val="12"/>
      <color rgb="FF800000"/>
      <name val="Arial Narrow"/>
      <family val="2"/>
    </font>
    <font>
      <sz val="9"/>
      <color rgb="FF800000"/>
      <name val="Arial Narrow"/>
      <family val="2"/>
    </font>
    <font>
      <b/>
      <i/>
      <sz val="16"/>
      <color rgb="FF800000"/>
      <name val="Arial Narrow"/>
      <family val="2"/>
    </font>
    <font>
      <sz val="11"/>
      <color rgb="FF800000"/>
      <name val="Arial Narrow"/>
      <family val="2"/>
    </font>
    <font>
      <b/>
      <sz val="10"/>
      <name val="Arial Narrow"/>
      <family val="2"/>
    </font>
    <font>
      <b/>
      <sz val="12"/>
      <color rgb="FF800000"/>
      <name val="Arial Narrow"/>
      <family val="2"/>
    </font>
    <font>
      <b/>
      <sz val="10"/>
      <color rgb="FF0000FF"/>
      <name val="Arial Narrow"/>
      <family val="2"/>
    </font>
    <font>
      <b/>
      <i/>
      <sz val="12"/>
      <color rgb="FF00206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800000"/>
      <name val="Arial Narrow"/>
      <family val="2"/>
    </font>
    <font>
      <b/>
      <sz val="11"/>
      <color rgb="FF800000"/>
      <name val="Arial Narrow"/>
      <family val="2"/>
    </font>
    <font>
      <b/>
      <sz val="12"/>
      <color rgb="FF002060"/>
      <name val="Arial Narrow"/>
      <family val="2"/>
    </font>
    <font>
      <sz val="10"/>
      <color rgb="FF800000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1">
    <xf numFmtId="0" fontId="0" fillId="0" borderId="0" xfId="0"/>
    <xf numFmtId="0" fontId="2" fillId="3" borderId="0" xfId="0" applyFont="1" applyFill="1"/>
    <xf numFmtId="164" fontId="2" fillId="3" borderId="0" xfId="0" applyNumberFormat="1" applyFont="1" applyFill="1"/>
    <xf numFmtId="2" fontId="3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2" fontId="2" fillId="3" borderId="0" xfId="0" applyNumberFormat="1" applyFont="1" applyFill="1"/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9" fillId="3" borderId="0" xfId="0" applyFont="1" applyFill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/>
    </xf>
    <xf numFmtId="9" fontId="9" fillId="7" borderId="1" xfId="0" applyNumberFormat="1" applyFon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14" fillId="3" borderId="0" xfId="0" applyFont="1" applyFill="1" applyAlignment="1">
      <alignment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41" fontId="9" fillId="3" borderId="1" xfId="1" applyNumberFormat="1" applyFont="1" applyFill="1" applyBorder="1" applyAlignment="1">
      <alignment vertical="center"/>
    </xf>
    <xf numFmtId="0" fontId="12" fillId="3" borderId="0" xfId="0" applyFont="1" applyFill="1" applyAlignment="1">
      <alignment horizontal="center" vertical="center"/>
    </xf>
    <xf numFmtId="2" fontId="9" fillId="3" borderId="1" xfId="0" applyNumberFormat="1" applyFont="1" applyFill="1" applyBorder="1" applyAlignment="1">
      <alignment vertical="center"/>
    </xf>
    <xf numFmtId="9" fontId="9" fillId="3" borderId="1" xfId="1" applyNumberFormat="1" applyFont="1" applyFill="1" applyBorder="1" applyAlignment="1">
      <alignment horizontal="center" vertical="center"/>
    </xf>
    <xf numFmtId="2" fontId="9" fillId="3" borderId="1" xfId="1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164" fontId="2" fillId="3" borderId="0" xfId="0" applyNumberFormat="1" applyFont="1" applyFill="1" applyAlignment="1">
      <alignment horizontal="center"/>
    </xf>
    <xf numFmtId="0" fontId="16" fillId="2" borderId="0" xfId="0" applyFont="1" applyFill="1"/>
    <xf numFmtId="0" fontId="17" fillId="3" borderId="2" xfId="0" applyFont="1" applyFill="1" applyBorder="1" applyAlignment="1">
      <alignment vertical="center"/>
    </xf>
    <xf numFmtId="0" fontId="17" fillId="3" borderId="0" xfId="0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0" fontId="14" fillId="2" borderId="0" xfId="0" applyFont="1" applyFill="1"/>
    <xf numFmtId="0" fontId="9" fillId="7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 wrapText="1"/>
    </xf>
    <xf numFmtId="0" fontId="16" fillId="3" borderId="0" xfId="0" applyFont="1" applyFill="1"/>
    <xf numFmtId="0" fontId="14" fillId="3" borderId="0" xfId="0" applyFont="1" applyFill="1"/>
    <xf numFmtId="164" fontId="9" fillId="3" borderId="1" xfId="0" applyNumberFormat="1" applyFont="1" applyFill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16" fillId="2" borderId="6" xfId="0" applyFont="1" applyFill="1" applyBorder="1"/>
    <xf numFmtId="0" fontId="16" fillId="2" borderId="6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24" fillId="3" borderId="0" xfId="0" applyFont="1" applyFill="1"/>
    <xf numFmtId="0" fontId="25" fillId="3" borderId="2" xfId="0" applyFont="1" applyFill="1" applyBorder="1" applyAlignment="1">
      <alignment vertical="center"/>
    </xf>
    <xf numFmtId="0" fontId="24" fillId="3" borderId="0" xfId="0" applyFont="1" applyFill="1" applyAlignment="1">
      <alignment wrapText="1"/>
    </xf>
    <xf numFmtId="0" fontId="10" fillId="7" borderId="1" xfId="0" applyFont="1" applyFill="1" applyBorder="1" applyAlignment="1">
      <alignment horizontal="center" vertical="center" wrapText="1"/>
    </xf>
    <xf numFmtId="0" fontId="26" fillId="2" borderId="0" xfId="0" applyFont="1" applyFill="1"/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164" fontId="9" fillId="3" borderId="0" xfId="0" applyNumberFormat="1" applyFont="1" applyFill="1" applyBorder="1" applyAlignment="1">
      <alignment horizontal="center" vertical="center"/>
    </xf>
    <xf numFmtId="164" fontId="27" fillId="10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64" fontId="27" fillId="0" borderId="1" xfId="0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2" fontId="9" fillId="10" borderId="1" xfId="0" applyNumberFormat="1" applyFont="1" applyFill="1" applyBorder="1" applyAlignment="1">
      <alignment vertical="center"/>
    </xf>
    <xf numFmtId="0" fontId="9" fillId="16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vertical="center"/>
    </xf>
    <xf numFmtId="9" fontId="9" fillId="0" borderId="1" xfId="1" applyNumberFormat="1" applyFont="1" applyFill="1" applyBorder="1" applyAlignment="1">
      <alignment horizontal="center" vertical="center"/>
    </xf>
    <xf numFmtId="41" fontId="9" fillId="10" borderId="1" xfId="1" applyNumberFormat="1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9" fillId="0" borderId="1" xfId="0" applyFont="1" applyFill="1" applyBorder="1" applyAlignment="1">
      <alignment vertical="center"/>
    </xf>
    <xf numFmtId="166" fontId="16" fillId="2" borderId="6" xfId="0" applyNumberFormat="1" applyFont="1" applyFill="1" applyBorder="1"/>
    <xf numFmtId="166" fontId="2" fillId="3" borderId="0" xfId="0" applyNumberFormat="1" applyFont="1" applyFill="1"/>
    <xf numFmtId="166" fontId="17" fillId="3" borderId="2" xfId="0" applyNumberFormat="1" applyFont="1" applyFill="1" applyBorder="1" applyAlignment="1">
      <alignment vertical="center"/>
    </xf>
    <xf numFmtId="166" fontId="9" fillId="7" borderId="1" xfId="0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vertical="center"/>
    </xf>
    <xf numFmtId="166" fontId="16" fillId="2" borderId="0" xfId="0" applyNumberFormat="1" applyFont="1" applyFill="1"/>
    <xf numFmtId="0" fontId="9" fillId="17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41" fontId="16" fillId="2" borderId="6" xfId="0" applyNumberFormat="1" applyFont="1" applyFill="1" applyBorder="1"/>
    <xf numFmtId="41" fontId="2" fillId="3" borderId="0" xfId="0" applyNumberFormat="1" applyFont="1" applyFill="1"/>
    <xf numFmtId="41" fontId="17" fillId="3" borderId="2" xfId="0" applyNumberFormat="1" applyFont="1" applyFill="1" applyBorder="1" applyAlignment="1">
      <alignment vertical="center"/>
    </xf>
    <xf numFmtId="41" fontId="9" fillId="7" borderId="1" xfId="0" applyNumberFormat="1" applyFont="1" applyFill="1" applyBorder="1" applyAlignment="1">
      <alignment horizontal="center" vertical="center" wrapText="1"/>
    </xf>
    <xf numFmtId="41" fontId="16" fillId="2" borderId="0" xfId="0" applyNumberFormat="1" applyFont="1" applyFill="1"/>
    <xf numFmtId="2" fontId="9" fillId="9" borderId="1" xfId="0" applyNumberFormat="1" applyFont="1" applyFill="1" applyBorder="1" applyAlignment="1">
      <alignment vertical="center"/>
    </xf>
    <xf numFmtId="0" fontId="28" fillId="9" borderId="0" xfId="0" applyFont="1" applyFill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/>
    </xf>
    <xf numFmtId="41" fontId="10" fillId="3" borderId="1" xfId="1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9" fillId="3" borderId="1" xfId="0" applyNumberFormat="1" applyFont="1" applyFill="1" applyBorder="1" applyAlignment="1">
      <alignment horizontal="left"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41" fontId="9" fillId="7" borderId="11" xfId="0" applyNumberFormat="1" applyFont="1" applyFill="1" applyBorder="1" applyAlignment="1">
      <alignment horizontal="center" vertical="center" wrapText="1"/>
    </xf>
    <xf numFmtId="164" fontId="9" fillId="7" borderId="13" xfId="0" applyNumberFormat="1" applyFont="1" applyFill="1" applyBorder="1" applyAlignment="1">
      <alignment horizontal="center" vertical="center" wrapText="1"/>
    </xf>
    <xf numFmtId="164" fontId="6" fillId="4" borderId="7" xfId="0" applyNumberFormat="1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 wrapText="1"/>
    </xf>
    <xf numFmtId="2" fontId="9" fillId="7" borderId="13" xfId="0" applyNumberFormat="1" applyFont="1" applyFill="1" applyBorder="1" applyAlignment="1">
      <alignment horizontal="center" vertical="center"/>
    </xf>
    <xf numFmtId="9" fontId="9" fillId="7" borderId="10" xfId="0" applyNumberFormat="1" applyFont="1" applyFill="1" applyBorder="1" applyAlignment="1">
      <alignment horizontal="center" vertical="center"/>
    </xf>
    <xf numFmtId="2" fontId="9" fillId="7" borderId="10" xfId="0" applyNumberFormat="1" applyFont="1" applyFill="1" applyBorder="1" applyAlignment="1">
      <alignment horizontal="center" vertical="center" wrapText="1"/>
    </xf>
    <xf numFmtId="2" fontId="9" fillId="7" borderId="11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wrapText="1"/>
    </xf>
    <xf numFmtId="164" fontId="4" fillId="6" borderId="7" xfId="0" applyNumberFormat="1" applyFont="1" applyFill="1" applyBorder="1" applyAlignment="1">
      <alignment horizontal="center" vertical="center" wrapText="1"/>
    </xf>
    <xf numFmtId="164" fontId="16" fillId="2" borderId="6" xfId="0" applyNumberFormat="1" applyFont="1" applyFill="1" applyBorder="1"/>
    <xf numFmtId="164" fontId="9" fillId="7" borderId="11" xfId="0" applyNumberFormat="1" applyFont="1" applyFill="1" applyBorder="1" applyAlignment="1">
      <alignment horizontal="center" vertical="center" wrapText="1"/>
    </xf>
    <xf numFmtId="164" fontId="9" fillId="3" borderId="1" xfId="1" applyNumberFormat="1" applyFont="1" applyFill="1" applyBorder="1" applyAlignment="1">
      <alignment vertical="center"/>
    </xf>
    <xf numFmtId="164" fontId="16" fillId="2" borderId="0" xfId="0" applyNumberFormat="1" applyFont="1" applyFill="1"/>
    <xf numFmtId="2" fontId="16" fillId="2" borderId="6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41" fontId="10" fillId="0" borderId="1" xfId="1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/>
    </xf>
    <xf numFmtId="0" fontId="32" fillId="3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/>
    </xf>
    <xf numFmtId="0" fontId="33" fillId="3" borderId="0" xfId="0" applyFont="1" applyFill="1"/>
    <xf numFmtId="0" fontId="28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33" fillId="2" borderId="0" xfId="0" applyFont="1" applyFill="1"/>
    <xf numFmtId="0" fontId="31" fillId="3" borderId="0" xfId="0" applyFont="1" applyFill="1"/>
    <xf numFmtId="164" fontId="32" fillId="0" borderId="0" xfId="0" applyNumberFormat="1" applyFont="1" applyFill="1" applyBorder="1" applyAlignment="1">
      <alignment horizontal="center" vertical="center"/>
    </xf>
    <xf numFmtId="0" fontId="31" fillId="2" borderId="0" xfId="0" applyFont="1" applyFill="1"/>
    <xf numFmtId="0" fontId="34" fillId="0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16" fillId="0" borderId="0" xfId="0" applyFont="1" applyFill="1"/>
    <xf numFmtId="0" fontId="23" fillId="10" borderId="1" xfId="0" applyFont="1" applyFill="1" applyBorder="1" applyAlignment="1">
      <alignment horizontal="center" vertical="center"/>
    </xf>
    <xf numFmtId="9" fontId="9" fillId="9" borderId="1" xfId="1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vertical="center"/>
    </xf>
    <xf numFmtId="9" fontId="10" fillId="3" borderId="1" xfId="1" applyNumberFormat="1" applyFont="1" applyFill="1" applyBorder="1" applyAlignment="1">
      <alignment horizontal="center" vertical="center"/>
    </xf>
    <xf numFmtId="2" fontId="10" fillId="3" borderId="1" xfId="1" applyNumberFormat="1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36" fillId="3" borderId="0" xfId="0" applyFont="1" applyFill="1" applyAlignment="1">
      <alignment vertical="center"/>
    </xf>
    <xf numFmtId="0" fontId="37" fillId="0" borderId="0" xfId="0" applyFont="1" applyFill="1" applyAlignment="1">
      <alignment horizontal="center" vertical="center"/>
    </xf>
    <xf numFmtId="0" fontId="27" fillId="3" borderId="1" xfId="0" applyFont="1" applyFill="1" applyBorder="1" applyAlignment="1">
      <alignment vertical="center"/>
    </xf>
    <xf numFmtId="0" fontId="27" fillId="0" borderId="1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2" fontId="27" fillId="3" borderId="1" xfId="0" applyNumberFormat="1" applyFont="1" applyFill="1" applyBorder="1" applyAlignment="1">
      <alignment vertical="center"/>
    </xf>
    <xf numFmtId="9" fontId="27" fillId="3" borderId="1" xfId="1" applyNumberFormat="1" applyFont="1" applyFill="1" applyBorder="1" applyAlignment="1">
      <alignment horizontal="center" vertical="center"/>
    </xf>
    <xf numFmtId="2" fontId="27" fillId="3" borderId="1" xfId="1" applyNumberFormat="1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27" fillId="3" borderId="1" xfId="0" applyFont="1" applyFill="1" applyBorder="1" applyAlignment="1">
      <alignment horizontal="center" vertical="center"/>
    </xf>
    <xf numFmtId="0" fontId="38" fillId="3" borderId="0" xfId="0" applyFont="1" applyFill="1" applyAlignment="1">
      <alignment vertical="center"/>
    </xf>
    <xf numFmtId="41" fontId="9" fillId="3" borderId="1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2" fontId="9" fillId="3" borderId="3" xfId="0" applyNumberFormat="1" applyFont="1" applyFill="1" applyBorder="1" applyAlignment="1">
      <alignment horizontal="center" vertical="center"/>
    </xf>
    <xf numFmtId="2" fontId="9" fillId="3" borderId="5" xfId="0" applyNumberFormat="1" applyFont="1" applyFill="1" applyBorder="1" applyAlignment="1">
      <alignment horizontal="center" vertical="center"/>
    </xf>
    <xf numFmtId="2" fontId="9" fillId="3" borderId="4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2" fontId="9" fillId="7" borderId="3" xfId="0" applyNumberFormat="1" applyFont="1" applyFill="1" applyBorder="1" applyAlignment="1">
      <alignment horizontal="center" vertical="center"/>
    </xf>
    <xf numFmtId="2" fontId="9" fillId="7" borderId="5" xfId="0" applyNumberFormat="1" applyFont="1" applyFill="1" applyBorder="1" applyAlignment="1">
      <alignment horizontal="center" vertical="center"/>
    </xf>
    <xf numFmtId="2" fontId="9" fillId="7" borderId="4" xfId="0" applyNumberFormat="1" applyFont="1" applyFill="1" applyBorder="1" applyAlignment="1">
      <alignment horizontal="center" vertical="center"/>
    </xf>
    <xf numFmtId="0" fontId="23" fillId="10" borderId="5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9" fillId="3" borderId="3" xfId="0" applyNumberFormat="1" applyFont="1" applyFill="1" applyBorder="1" applyAlignment="1">
      <alignment horizontal="center" vertical="center"/>
    </xf>
    <xf numFmtId="0" fontId="9" fillId="3" borderId="5" xfId="0" applyNumberFormat="1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/>
    </xf>
    <xf numFmtId="0" fontId="30" fillId="10" borderId="3" xfId="0" applyFont="1" applyFill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/>
    </xf>
    <xf numFmtId="0" fontId="30" fillId="10" borderId="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2" fontId="9" fillId="7" borderId="8" xfId="0" applyNumberFormat="1" applyFont="1" applyFill="1" applyBorder="1" applyAlignment="1">
      <alignment horizontal="center" vertical="center"/>
    </xf>
    <xf numFmtId="2" fontId="9" fillId="7" borderId="12" xfId="0" applyNumberFormat="1" applyFont="1" applyFill="1" applyBorder="1" applyAlignment="1">
      <alignment horizontal="center" vertical="center"/>
    </xf>
    <xf numFmtId="2" fontId="9" fillId="7" borderId="9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800000"/>
      <color rgb="FF0000FF"/>
      <color rgb="FF660033"/>
      <color rgb="FFFFFF99"/>
      <color rgb="FF0033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U510"/>
  <sheetViews>
    <sheetView workbookViewId="0">
      <pane ySplit="7" topLeftCell="A8" activePane="bottomLeft" state="frozen"/>
      <selection pane="bottomLeft" activeCell="D511" sqref="D511"/>
    </sheetView>
  </sheetViews>
  <sheetFormatPr defaultRowHeight="16.5" x14ac:dyDescent="0.3"/>
  <cols>
    <col min="1" max="1" width="4.140625" style="45" customWidth="1"/>
    <col min="2" max="2" width="10.5703125" style="35" customWidth="1"/>
    <col min="3" max="3" width="2.85546875" style="35" customWidth="1"/>
    <col min="4" max="4" width="25.85546875" style="35" customWidth="1"/>
    <col min="5" max="5" width="3.140625" style="35" customWidth="1"/>
    <col min="6" max="6" width="9.140625" style="35" customWidth="1"/>
    <col min="7" max="7" width="6.42578125" style="73" customWidth="1"/>
    <col min="8" max="8" width="6.42578125" style="35" customWidth="1"/>
    <col min="9" max="9" width="9" style="35" customWidth="1"/>
    <col min="10" max="10" width="3.42578125" style="35" customWidth="1"/>
    <col min="11" max="11" width="8.5703125" style="35" customWidth="1"/>
    <col min="12" max="12" width="6.85546875" style="35" customWidth="1"/>
    <col min="13" max="13" width="7.5703125" style="35" customWidth="1"/>
    <col min="14" max="14" width="9.140625" style="35"/>
    <col min="15" max="15" width="3.5703125" style="35" customWidth="1"/>
    <col min="16" max="16" width="10.7109375" style="38" customWidth="1"/>
    <col min="17" max="17" width="3" style="35" customWidth="1"/>
    <col min="18" max="18" width="17.85546875" style="35" customWidth="1"/>
    <col min="19" max="19" width="3.140625" style="35" customWidth="1"/>
    <col min="20" max="20" width="23.42578125" style="35" customWidth="1"/>
    <col min="21" max="21" width="3.42578125" style="35" customWidth="1"/>
    <col min="22" max="16384" width="9.140625" style="35"/>
  </cols>
  <sheetData>
    <row r="2" spans="1:21" x14ac:dyDescent="0.3">
      <c r="A2" s="43"/>
      <c r="B2" s="2"/>
      <c r="C2" s="1"/>
      <c r="D2" s="1"/>
      <c r="E2" s="1"/>
      <c r="F2" s="1"/>
      <c r="G2" s="69"/>
      <c r="H2" s="1"/>
      <c r="I2" s="1"/>
      <c r="J2" s="1"/>
      <c r="K2" s="3"/>
      <c r="L2" s="4"/>
      <c r="M2" s="5"/>
      <c r="N2" s="5"/>
      <c r="O2" s="1"/>
      <c r="P2" s="34"/>
      <c r="Q2" s="1"/>
      <c r="R2" s="1"/>
      <c r="S2" s="1"/>
      <c r="T2" s="1"/>
      <c r="U2" s="1"/>
    </row>
    <row r="3" spans="1:21" ht="20.100000000000001" customHeight="1" thickBot="1" x14ac:dyDescent="0.35">
      <c r="A3" s="43"/>
      <c r="B3" s="42" t="s">
        <v>15</v>
      </c>
      <c r="C3" s="1"/>
      <c r="D3" s="1"/>
      <c r="E3" s="36" t="s">
        <v>34</v>
      </c>
      <c r="F3" s="36"/>
      <c r="G3" s="70"/>
      <c r="H3" s="36"/>
      <c r="I3" s="36"/>
      <c r="J3" s="36"/>
      <c r="K3" s="36"/>
      <c r="L3" s="36"/>
      <c r="M3" s="36"/>
      <c r="N3" s="36"/>
      <c r="O3" s="36"/>
      <c r="P3" s="36"/>
      <c r="Q3" s="37"/>
      <c r="R3" s="37"/>
      <c r="S3" s="181" t="s">
        <v>301</v>
      </c>
      <c r="T3" s="182"/>
      <c r="U3" s="60"/>
    </row>
    <row r="4" spans="1:21" ht="17.25" thickTop="1" x14ac:dyDescent="0.3">
      <c r="A4" s="43"/>
      <c r="B4" s="2"/>
      <c r="C4" s="1"/>
      <c r="D4" s="1"/>
      <c r="E4" s="1"/>
      <c r="F4" s="1"/>
      <c r="G4" s="69"/>
      <c r="H4" s="6"/>
      <c r="I4" s="6"/>
      <c r="J4" s="1"/>
      <c r="K4" s="3"/>
      <c r="L4" s="4"/>
      <c r="M4" s="5"/>
      <c r="N4" s="5"/>
      <c r="O4" s="1"/>
      <c r="P4" s="34"/>
      <c r="Q4" s="1"/>
      <c r="R4" s="1"/>
      <c r="S4" s="1"/>
      <c r="T4" s="1"/>
      <c r="U4" s="1"/>
    </row>
    <row r="5" spans="1:21" ht="30" customHeight="1" x14ac:dyDescent="0.3">
      <c r="A5" s="43"/>
      <c r="B5" s="8" t="s">
        <v>0</v>
      </c>
      <c r="C5" s="7"/>
      <c r="D5" s="41" t="s">
        <v>14</v>
      </c>
      <c r="E5" s="7"/>
      <c r="F5" s="178" t="s">
        <v>76</v>
      </c>
      <c r="G5" s="178"/>
      <c r="H5" s="178"/>
      <c r="I5" s="178"/>
      <c r="J5" s="9"/>
      <c r="K5" s="179" t="s">
        <v>78</v>
      </c>
      <c r="L5" s="179"/>
      <c r="M5" s="179"/>
      <c r="N5" s="179"/>
      <c r="O5" s="7"/>
      <c r="P5" s="180" t="s">
        <v>77</v>
      </c>
      <c r="Q5" s="180"/>
      <c r="R5" s="180"/>
      <c r="S5" s="180"/>
      <c r="T5" s="180"/>
      <c r="U5" s="7"/>
    </row>
    <row r="6" spans="1:21" x14ac:dyDescent="0.3">
      <c r="A6" s="43"/>
      <c r="B6" s="2"/>
      <c r="C6" s="1"/>
      <c r="D6" s="1"/>
      <c r="E6" s="1"/>
      <c r="F6" s="10"/>
      <c r="G6" s="71"/>
      <c r="H6" s="1"/>
      <c r="I6" s="1"/>
      <c r="J6" s="1"/>
      <c r="K6" s="3"/>
      <c r="L6" s="4"/>
      <c r="M6" s="5"/>
      <c r="N6" s="5"/>
      <c r="O6" s="1"/>
      <c r="P6" s="34"/>
      <c r="Q6" s="1"/>
      <c r="R6" s="1"/>
      <c r="S6" s="1"/>
      <c r="T6" s="1"/>
      <c r="U6" s="1"/>
    </row>
    <row r="7" spans="1:21" ht="30" customHeight="1" x14ac:dyDescent="0.3">
      <c r="A7" s="44"/>
      <c r="B7" s="12" t="s">
        <v>1</v>
      </c>
      <c r="C7" s="13"/>
      <c r="D7" s="14" t="s">
        <v>2</v>
      </c>
      <c r="E7" s="11"/>
      <c r="F7" s="15" t="s">
        <v>3</v>
      </c>
      <c r="G7" s="72" t="s">
        <v>4</v>
      </c>
      <c r="H7" s="15" t="s">
        <v>5</v>
      </c>
      <c r="I7" s="15" t="s">
        <v>6</v>
      </c>
      <c r="J7" s="16"/>
      <c r="K7" s="17" t="s">
        <v>7</v>
      </c>
      <c r="L7" s="18" t="s">
        <v>8</v>
      </c>
      <c r="M7" s="19" t="s">
        <v>9</v>
      </c>
      <c r="N7" s="17" t="s">
        <v>31</v>
      </c>
      <c r="O7" s="11"/>
      <c r="P7" s="12" t="s">
        <v>10</v>
      </c>
      <c r="Q7" s="11"/>
      <c r="R7" s="14" t="s">
        <v>11</v>
      </c>
      <c r="S7" s="46"/>
      <c r="T7" s="14" t="s">
        <v>12</v>
      </c>
      <c r="U7" s="11"/>
    </row>
    <row r="8" spans="1:21" x14ac:dyDescent="0.3">
      <c r="A8" s="43"/>
      <c r="B8" s="2"/>
      <c r="C8" s="1"/>
      <c r="D8" s="1"/>
      <c r="E8" s="1"/>
      <c r="F8" s="1"/>
      <c r="G8" s="69"/>
      <c r="H8" s="1"/>
      <c r="I8" s="1"/>
      <c r="J8" s="20"/>
      <c r="K8" s="3"/>
      <c r="L8" s="4"/>
      <c r="M8" s="5"/>
      <c r="N8" s="5"/>
      <c r="O8" s="1"/>
      <c r="P8" s="34"/>
      <c r="Q8" s="1"/>
      <c r="R8" s="1"/>
      <c r="S8" s="1"/>
      <c r="T8" s="1"/>
      <c r="U8" s="1"/>
    </row>
    <row r="9" spans="1:21" ht="20.100000000000001" customHeight="1" x14ac:dyDescent="0.3">
      <c r="A9" s="44">
        <v>1</v>
      </c>
      <c r="B9" s="22" t="s">
        <v>16</v>
      </c>
      <c r="C9" s="23"/>
      <c r="D9" s="24" t="s">
        <v>17</v>
      </c>
      <c r="E9" s="25"/>
      <c r="F9" s="26">
        <v>70</v>
      </c>
      <c r="G9" s="62" t="s">
        <v>18</v>
      </c>
      <c r="H9" s="26">
        <v>1</v>
      </c>
      <c r="I9" s="27">
        <f t="shared" ref="I9" si="0">F9*H9</f>
        <v>70</v>
      </c>
      <c r="J9" s="28"/>
      <c r="K9" s="29">
        <v>720</v>
      </c>
      <c r="L9" s="30"/>
      <c r="M9" s="31">
        <f t="shared" ref="M9" si="1">K9*L9</f>
        <v>0</v>
      </c>
      <c r="N9" s="31">
        <f t="shared" ref="N9" si="2">K9+M9</f>
        <v>720</v>
      </c>
      <c r="O9" s="25"/>
      <c r="P9" s="22">
        <v>44803</v>
      </c>
      <c r="Q9" s="25"/>
      <c r="R9" s="32" t="s">
        <v>20</v>
      </c>
      <c r="S9" s="21"/>
      <c r="T9" s="32" t="s">
        <v>19</v>
      </c>
      <c r="U9" s="21"/>
    </row>
    <row r="10" spans="1:21" ht="20.100000000000001" customHeight="1" x14ac:dyDescent="0.3">
      <c r="A10" s="44">
        <v>2</v>
      </c>
      <c r="B10" s="22">
        <v>44803</v>
      </c>
      <c r="C10" s="23"/>
      <c r="D10" s="24" t="s">
        <v>21</v>
      </c>
      <c r="E10" s="25"/>
      <c r="F10" s="26">
        <v>20</v>
      </c>
      <c r="G10" s="62" t="s">
        <v>18</v>
      </c>
      <c r="H10" s="26">
        <v>25</v>
      </c>
      <c r="I10" s="27">
        <f t="shared" ref="I10:I21" si="3">F10*H10</f>
        <v>500</v>
      </c>
      <c r="J10" s="28"/>
      <c r="K10" s="29"/>
      <c r="L10" s="30"/>
      <c r="M10" s="31">
        <f t="shared" ref="M10:M21" si="4">K10*L10</f>
        <v>0</v>
      </c>
      <c r="N10" s="31">
        <f t="shared" ref="N10:N21" si="5">K10+M10</f>
        <v>0</v>
      </c>
      <c r="O10" s="25"/>
      <c r="P10" s="22"/>
      <c r="Q10" s="25"/>
      <c r="R10" s="32" t="s">
        <v>13</v>
      </c>
      <c r="S10" s="21"/>
      <c r="T10" s="33" t="s">
        <v>24</v>
      </c>
      <c r="U10" s="21"/>
    </row>
    <row r="11" spans="1:21" ht="20.100000000000001" customHeight="1" x14ac:dyDescent="0.3">
      <c r="A11" s="44">
        <v>3</v>
      </c>
      <c r="B11" s="22">
        <v>44803</v>
      </c>
      <c r="C11" s="23"/>
      <c r="D11" s="24" t="s">
        <v>23</v>
      </c>
      <c r="E11" s="25"/>
      <c r="F11" s="26">
        <v>20</v>
      </c>
      <c r="G11" s="62" t="s">
        <v>18</v>
      </c>
      <c r="H11" s="26">
        <v>25</v>
      </c>
      <c r="I11" s="27">
        <f t="shared" si="3"/>
        <v>500</v>
      </c>
      <c r="J11" s="28"/>
      <c r="K11" s="29">
        <v>18100</v>
      </c>
      <c r="L11" s="30"/>
      <c r="M11" s="31">
        <f t="shared" si="4"/>
        <v>0</v>
      </c>
      <c r="N11" s="31">
        <f t="shared" si="5"/>
        <v>18100</v>
      </c>
      <c r="O11" s="25"/>
      <c r="P11" s="22">
        <v>44810</v>
      </c>
      <c r="Q11" s="25"/>
      <c r="R11" s="32" t="s">
        <v>25</v>
      </c>
      <c r="S11" s="21"/>
      <c r="T11" s="32" t="s">
        <v>26</v>
      </c>
      <c r="U11" s="21"/>
    </row>
    <row r="12" spans="1:21" ht="20.100000000000001" customHeight="1" x14ac:dyDescent="0.3">
      <c r="A12" s="44">
        <v>4</v>
      </c>
      <c r="B12" s="22">
        <v>44809</v>
      </c>
      <c r="C12" s="23"/>
      <c r="D12" s="24" t="s">
        <v>54</v>
      </c>
      <c r="E12" s="25"/>
      <c r="F12" s="63">
        <v>30</v>
      </c>
      <c r="G12" s="62" t="s">
        <v>18</v>
      </c>
      <c r="H12" s="26">
        <v>50</v>
      </c>
      <c r="I12" s="27">
        <f t="shared" si="3"/>
        <v>1500</v>
      </c>
      <c r="J12" s="28"/>
      <c r="K12" s="29"/>
      <c r="L12" s="30"/>
      <c r="M12" s="31">
        <f t="shared" si="4"/>
        <v>0</v>
      </c>
      <c r="N12" s="31">
        <f t="shared" si="5"/>
        <v>0</v>
      </c>
      <c r="O12" s="25"/>
      <c r="P12" s="22"/>
      <c r="Q12" s="25"/>
      <c r="R12" s="32" t="s">
        <v>13</v>
      </c>
      <c r="S12" s="21"/>
      <c r="T12" s="33" t="s">
        <v>24</v>
      </c>
      <c r="U12" s="21"/>
    </row>
    <row r="13" spans="1:21" ht="20.100000000000001" customHeight="1" x14ac:dyDescent="0.3">
      <c r="A13" s="44">
        <v>5</v>
      </c>
      <c r="B13" s="22">
        <v>44809</v>
      </c>
      <c r="C13" s="23"/>
      <c r="D13" s="24" t="s">
        <v>33</v>
      </c>
      <c r="E13" s="25"/>
      <c r="F13" s="26">
        <v>4</v>
      </c>
      <c r="G13" s="62" t="s">
        <v>18</v>
      </c>
      <c r="H13" s="26">
        <v>25</v>
      </c>
      <c r="I13" s="27">
        <f t="shared" si="3"/>
        <v>100</v>
      </c>
      <c r="J13" s="28"/>
      <c r="K13" s="29">
        <v>6500</v>
      </c>
      <c r="L13" s="30"/>
      <c r="M13" s="31">
        <f t="shared" si="4"/>
        <v>0</v>
      </c>
      <c r="N13" s="31">
        <f t="shared" si="5"/>
        <v>6500</v>
      </c>
      <c r="O13" s="25"/>
      <c r="P13" s="22">
        <v>44810</v>
      </c>
      <c r="Q13" s="25"/>
      <c r="R13" s="32" t="s">
        <v>29</v>
      </c>
      <c r="S13" s="21"/>
      <c r="T13" s="32" t="s">
        <v>30</v>
      </c>
      <c r="U13" s="21"/>
    </row>
    <row r="14" spans="1:21" ht="20.100000000000001" customHeight="1" x14ac:dyDescent="0.3">
      <c r="A14" s="44">
        <v>6</v>
      </c>
      <c r="B14" s="22">
        <v>44809</v>
      </c>
      <c r="C14" s="23"/>
      <c r="D14" s="24" t="s">
        <v>22</v>
      </c>
      <c r="E14" s="25"/>
      <c r="F14" s="63">
        <v>8</v>
      </c>
      <c r="G14" s="62" t="s">
        <v>18</v>
      </c>
      <c r="H14" s="26">
        <v>25</v>
      </c>
      <c r="I14" s="27">
        <f t="shared" si="3"/>
        <v>200</v>
      </c>
      <c r="J14" s="28"/>
      <c r="K14" s="29"/>
      <c r="L14" s="30"/>
      <c r="M14" s="31">
        <f t="shared" si="4"/>
        <v>0</v>
      </c>
      <c r="N14" s="31">
        <f t="shared" si="5"/>
        <v>0</v>
      </c>
      <c r="O14" s="25"/>
      <c r="P14" s="22"/>
      <c r="Q14" s="25"/>
      <c r="R14" s="32" t="s">
        <v>13</v>
      </c>
      <c r="S14" s="21"/>
      <c r="T14" s="33" t="s">
        <v>24</v>
      </c>
      <c r="U14" s="21"/>
    </row>
    <row r="15" spans="1:21" ht="20.100000000000001" customHeight="1" x14ac:dyDescent="0.3">
      <c r="A15" s="44">
        <v>7</v>
      </c>
      <c r="B15" s="22">
        <v>44809</v>
      </c>
      <c r="C15" s="23"/>
      <c r="D15" s="24" t="s">
        <v>32</v>
      </c>
      <c r="E15" s="25"/>
      <c r="F15" s="26">
        <v>20</v>
      </c>
      <c r="G15" s="62" t="s">
        <v>18</v>
      </c>
      <c r="H15" s="26">
        <v>25</v>
      </c>
      <c r="I15" s="27">
        <f t="shared" si="3"/>
        <v>500</v>
      </c>
      <c r="J15" s="28"/>
      <c r="K15" s="29">
        <v>1750</v>
      </c>
      <c r="L15" s="30"/>
      <c r="M15" s="31">
        <f t="shared" si="4"/>
        <v>0</v>
      </c>
      <c r="N15" s="31">
        <f t="shared" si="5"/>
        <v>1750</v>
      </c>
      <c r="O15" s="25"/>
      <c r="P15" s="22">
        <v>44810</v>
      </c>
      <c r="Q15" s="25"/>
      <c r="R15" s="32" t="s">
        <v>27</v>
      </c>
      <c r="S15" s="21"/>
      <c r="T15" s="32" t="s">
        <v>28</v>
      </c>
      <c r="U15" s="21"/>
    </row>
    <row r="16" spans="1:21" s="39" customFormat="1" ht="20.100000000000001" customHeight="1" x14ac:dyDescent="0.2">
      <c r="A16" s="44">
        <v>8</v>
      </c>
      <c r="B16" s="22">
        <v>44817</v>
      </c>
      <c r="C16" s="23"/>
      <c r="D16" s="24" t="s">
        <v>204</v>
      </c>
      <c r="E16" s="25"/>
      <c r="F16" s="26">
        <f>500/25</f>
        <v>20</v>
      </c>
      <c r="G16" s="62" t="s">
        <v>18</v>
      </c>
      <c r="H16" s="26">
        <v>25</v>
      </c>
      <c r="I16" s="27">
        <f t="shared" si="3"/>
        <v>500</v>
      </c>
      <c r="J16" s="28"/>
      <c r="K16" s="29">
        <v>1750</v>
      </c>
      <c r="L16" s="30"/>
      <c r="M16" s="31">
        <f t="shared" si="4"/>
        <v>0</v>
      </c>
      <c r="N16" s="31">
        <f t="shared" si="5"/>
        <v>1750</v>
      </c>
      <c r="O16" s="25"/>
      <c r="P16" s="22">
        <v>44818</v>
      </c>
      <c r="Q16" s="25"/>
      <c r="R16" s="32" t="s">
        <v>38</v>
      </c>
      <c r="S16" s="21"/>
      <c r="T16" s="32" t="s">
        <v>68</v>
      </c>
      <c r="U16" s="21"/>
    </row>
    <row r="17" spans="1:21" s="39" customFormat="1" ht="20.100000000000001" customHeight="1" x14ac:dyDescent="0.2">
      <c r="A17" s="44">
        <v>9</v>
      </c>
      <c r="B17" s="22">
        <v>44817</v>
      </c>
      <c r="C17" s="23"/>
      <c r="D17" s="40" t="s">
        <v>151</v>
      </c>
      <c r="E17" s="25"/>
      <c r="F17" s="26">
        <v>8</v>
      </c>
      <c r="G17" s="62" t="s">
        <v>18</v>
      </c>
      <c r="H17" s="26">
        <v>25</v>
      </c>
      <c r="I17" s="27">
        <f t="shared" si="3"/>
        <v>200</v>
      </c>
      <c r="J17" s="28"/>
      <c r="K17" s="29">
        <v>6500</v>
      </c>
      <c r="L17" s="30"/>
      <c r="M17" s="31">
        <f t="shared" si="4"/>
        <v>0</v>
      </c>
      <c r="N17" s="31">
        <f t="shared" si="5"/>
        <v>6500</v>
      </c>
      <c r="O17" s="25"/>
      <c r="P17" s="22">
        <v>44818</v>
      </c>
      <c r="Q17" s="25"/>
      <c r="R17" s="32" t="s">
        <v>13</v>
      </c>
      <c r="S17" s="21"/>
      <c r="T17" s="33" t="s">
        <v>42</v>
      </c>
      <c r="U17" s="21"/>
    </row>
    <row r="18" spans="1:21" s="39" customFormat="1" ht="20.100000000000001" customHeight="1" x14ac:dyDescent="0.2">
      <c r="A18" s="44">
        <v>10</v>
      </c>
      <c r="B18" s="22">
        <v>44817</v>
      </c>
      <c r="C18" s="23"/>
      <c r="D18" s="24" t="s">
        <v>35</v>
      </c>
      <c r="E18" s="25"/>
      <c r="F18" s="26">
        <v>20</v>
      </c>
      <c r="G18" s="62" t="s">
        <v>18</v>
      </c>
      <c r="H18" s="26">
        <v>10</v>
      </c>
      <c r="I18" s="27">
        <f t="shared" si="3"/>
        <v>200</v>
      </c>
      <c r="J18" s="28"/>
      <c r="K18" s="29">
        <v>4000</v>
      </c>
      <c r="L18" s="30"/>
      <c r="M18" s="31">
        <f t="shared" si="4"/>
        <v>0</v>
      </c>
      <c r="N18" s="31">
        <f t="shared" si="5"/>
        <v>4000</v>
      </c>
      <c r="O18" s="25"/>
      <c r="P18" s="22">
        <v>44818</v>
      </c>
      <c r="Q18" s="25"/>
      <c r="R18" s="32" t="s">
        <v>39</v>
      </c>
      <c r="S18" s="21"/>
      <c r="T18" s="32" t="s">
        <v>40</v>
      </c>
      <c r="U18" s="21"/>
    </row>
    <row r="19" spans="1:21" s="39" customFormat="1" ht="20.100000000000001" customHeight="1" x14ac:dyDescent="0.2">
      <c r="A19" s="44">
        <v>11</v>
      </c>
      <c r="B19" s="22">
        <v>44817</v>
      </c>
      <c r="C19" s="23"/>
      <c r="D19" s="24" t="s">
        <v>36</v>
      </c>
      <c r="E19" s="25"/>
      <c r="F19" s="26">
        <v>300</v>
      </c>
      <c r="G19" s="62" t="s">
        <v>18</v>
      </c>
      <c r="H19" s="26">
        <v>1</v>
      </c>
      <c r="I19" s="27">
        <f t="shared" si="3"/>
        <v>300</v>
      </c>
      <c r="J19" s="28"/>
      <c r="K19" s="29">
        <v>400</v>
      </c>
      <c r="L19" s="30"/>
      <c r="M19" s="31">
        <f t="shared" si="4"/>
        <v>0</v>
      </c>
      <c r="N19" s="31">
        <f t="shared" si="5"/>
        <v>400</v>
      </c>
      <c r="O19" s="25"/>
      <c r="P19" s="22">
        <v>44818</v>
      </c>
      <c r="Q19" s="25"/>
      <c r="R19" s="32" t="s">
        <v>37</v>
      </c>
      <c r="S19" s="21"/>
      <c r="T19" s="32" t="s">
        <v>41</v>
      </c>
      <c r="U19" s="21"/>
    </row>
    <row r="20" spans="1:21" ht="20.100000000000001" customHeight="1" x14ac:dyDescent="0.3">
      <c r="A20" s="44">
        <v>12</v>
      </c>
      <c r="B20" s="22">
        <v>44824</v>
      </c>
      <c r="C20" s="23"/>
      <c r="D20" s="24" t="s">
        <v>43</v>
      </c>
      <c r="E20" s="25"/>
      <c r="F20" s="26">
        <v>12</v>
      </c>
      <c r="G20" s="62" t="s">
        <v>18</v>
      </c>
      <c r="H20" s="26">
        <v>25</v>
      </c>
      <c r="I20" s="27">
        <f t="shared" si="3"/>
        <v>300</v>
      </c>
      <c r="J20" s="28"/>
      <c r="K20" s="29">
        <v>14250</v>
      </c>
      <c r="L20" s="30"/>
      <c r="M20" s="31">
        <f t="shared" si="4"/>
        <v>0</v>
      </c>
      <c r="N20" s="31">
        <f t="shared" si="5"/>
        <v>14250</v>
      </c>
      <c r="O20" s="25"/>
      <c r="P20" s="22">
        <v>44826</v>
      </c>
      <c r="Q20" s="25"/>
      <c r="R20" s="32" t="s">
        <v>44</v>
      </c>
      <c r="S20" s="21"/>
      <c r="T20" s="32" t="s">
        <v>45</v>
      </c>
      <c r="U20" s="21"/>
    </row>
    <row r="21" spans="1:21" ht="20.100000000000001" customHeight="1" x14ac:dyDescent="0.3">
      <c r="A21" s="44">
        <v>13</v>
      </c>
      <c r="B21" s="22">
        <v>44824</v>
      </c>
      <c r="C21" s="23"/>
      <c r="D21" s="24" t="s">
        <v>46</v>
      </c>
      <c r="E21" s="25"/>
      <c r="F21" s="26">
        <v>12</v>
      </c>
      <c r="G21" s="62" t="s">
        <v>18</v>
      </c>
      <c r="H21" s="26">
        <v>25</v>
      </c>
      <c r="I21" s="27">
        <f t="shared" si="3"/>
        <v>300</v>
      </c>
      <c r="J21" s="28"/>
      <c r="K21" s="29">
        <v>1775</v>
      </c>
      <c r="L21" s="30"/>
      <c r="M21" s="31">
        <f t="shared" si="4"/>
        <v>0</v>
      </c>
      <c r="N21" s="31">
        <f t="shared" si="5"/>
        <v>1775</v>
      </c>
      <c r="O21" s="25"/>
      <c r="P21" s="22">
        <v>44826</v>
      </c>
      <c r="Q21" s="25"/>
      <c r="R21" s="32" t="s">
        <v>47</v>
      </c>
      <c r="S21" s="21"/>
      <c r="T21" s="32" t="s">
        <v>28</v>
      </c>
      <c r="U21" s="21"/>
    </row>
    <row r="22" spans="1:21" ht="20.100000000000001" customHeight="1" x14ac:dyDescent="0.3">
      <c r="A22" s="44">
        <v>14</v>
      </c>
      <c r="B22" s="22">
        <v>44825</v>
      </c>
      <c r="C22" s="23"/>
      <c r="D22" s="24" t="s">
        <v>50</v>
      </c>
      <c r="E22" s="25"/>
      <c r="F22" s="26">
        <v>40</v>
      </c>
      <c r="G22" s="62" t="s">
        <v>51</v>
      </c>
      <c r="H22" s="26">
        <v>2500</v>
      </c>
      <c r="I22" s="27">
        <f t="shared" ref="I22:I30" si="6">F22*H22</f>
        <v>100000</v>
      </c>
      <c r="J22" s="28"/>
      <c r="K22" s="29">
        <v>550</v>
      </c>
      <c r="L22" s="30">
        <v>0.05</v>
      </c>
      <c r="M22" s="31">
        <f t="shared" ref="M22:M30" si="7">K22*L22</f>
        <v>27.5</v>
      </c>
      <c r="N22" s="31">
        <f t="shared" ref="N22:N30" si="8">K22+M22</f>
        <v>577.5</v>
      </c>
      <c r="O22" s="25"/>
      <c r="P22" s="22">
        <v>44826</v>
      </c>
      <c r="Q22" s="25"/>
      <c r="R22" s="32" t="s">
        <v>48</v>
      </c>
      <c r="S22" s="21"/>
      <c r="T22" s="32" t="s">
        <v>49</v>
      </c>
      <c r="U22" s="21"/>
    </row>
    <row r="23" spans="1:21" ht="20.100000000000001" customHeight="1" x14ac:dyDescent="0.3">
      <c r="A23" s="44">
        <v>15</v>
      </c>
      <c r="B23" s="22">
        <v>44827</v>
      </c>
      <c r="C23" s="23"/>
      <c r="D23" s="24" t="s">
        <v>290</v>
      </c>
      <c r="E23" s="25"/>
      <c r="F23" s="26">
        <v>40</v>
      </c>
      <c r="G23" s="62" t="s">
        <v>52</v>
      </c>
      <c r="H23" s="26">
        <v>10</v>
      </c>
      <c r="I23" s="27">
        <f t="shared" si="6"/>
        <v>400</v>
      </c>
      <c r="J23" s="28"/>
      <c r="K23" s="29">
        <v>700</v>
      </c>
      <c r="L23" s="30"/>
      <c r="M23" s="31">
        <f t="shared" si="7"/>
        <v>0</v>
      </c>
      <c r="N23" s="31">
        <f t="shared" si="8"/>
        <v>700</v>
      </c>
      <c r="O23" s="25"/>
      <c r="P23" s="22">
        <v>44827</v>
      </c>
      <c r="Q23" s="25"/>
      <c r="R23" s="32" t="s">
        <v>53</v>
      </c>
      <c r="S23" s="21"/>
      <c r="T23" s="32" t="s">
        <v>30</v>
      </c>
      <c r="U23" s="21"/>
    </row>
    <row r="24" spans="1:21" ht="20.100000000000001" customHeight="1" x14ac:dyDescent="0.3">
      <c r="A24" s="44">
        <v>16</v>
      </c>
      <c r="B24" s="22">
        <v>44830</v>
      </c>
      <c r="C24" s="23"/>
      <c r="D24" s="24" t="s">
        <v>55</v>
      </c>
      <c r="E24" s="25"/>
      <c r="F24" s="26">
        <v>20</v>
      </c>
      <c r="G24" s="62" t="s">
        <v>56</v>
      </c>
      <c r="H24" s="26">
        <v>5</v>
      </c>
      <c r="I24" s="27">
        <f t="shared" si="6"/>
        <v>100</v>
      </c>
      <c r="J24" s="28"/>
      <c r="K24" s="29">
        <v>1398.3</v>
      </c>
      <c r="L24" s="30">
        <v>0.18</v>
      </c>
      <c r="M24" s="31">
        <f t="shared" si="7"/>
        <v>251.69399999999999</v>
      </c>
      <c r="N24" s="31">
        <f t="shared" si="8"/>
        <v>1649.9939999999999</v>
      </c>
      <c r="O24" s="25"/>
      <c r="P24" s="22">
        <v>44830</v>
      </c>
      <c r="Q24" s="25"/>
      <c r="R24" s="32" t="s">
        <v>57</v>
      </c>
      <c r="S24" s="21"/>
      <c r="T24" s="32" t="s">
        <v>58</v>
      </c>
      <c r="U24" s="21"/>
    </row>
    <row r="25" spans="1:21" ht="20.100000000000001" customHeight="1" x14ac:dyDescent="0.3">
      <c r="A25" s="44">
        <v>17</v>
      </c>
      <c r="B25" s="22">
        <v>44830</v>
      </c>
      <c r="C25" s="23"/>
      <c r="D25" s="24" t="s">
        <v>302</v>
      </c>
      <c r="E25" s="25"/>
      <c r="F25" s="26">
        <v>500</v>
      </c>
      <c r="G25" s="62" t="s">
        <v>52</v>
      </c>
      <c r="H25" s="26">
        <v>1</v>
      </c>
      <c r="I25" s="27">
        <f t="shared" si="6"/>
        <v>500</v>
      </c>
      <c r="J25" s="28"/>
      <c r="K25" s="29">
        <v>75</v>
      </c>
      <c r="L25" s="30">
        <v>0.12</v>
      </c>
      <c r="M25" s="31">
        <f t="shared" si="7"/>
        <v>9</v>
      </c>
      <c r="N25" s="31">
        <f t="shared" si="8"/>
        <v>84</v>
      </c>
      <c r="O25" s="25"/>
      <c r="P25" s="22">
        <v>44830</v>
      </c>
      <c r="Q25" s="25"/>
      <c r="R25" s="32" t="s">
        <v>59</v>
      </c>
      <c r="S25" s="21"/>
      <c r="T25" s="32" t="s">
        <v>41</v>
      </c>
      <c r="U25" s="21"/>
    </row>
    <row r="26" spans="1:21" ht="20.100000000000001" customHeight="1" x14ac:dyDescent="0.3">
      <c r="A26" s="44">
        <v>18</v>
      </c>
      <c r="B26" s="22">
        <v>44830</v>
      </c>
      <c r="C26" s="23"/>
      <c r="D26" s="24" t="s">
        <v>60</v>
      </c>
      <c r="E26" s="25"/>
      <c r="F26" s="26">
        <v>20</v>
      </c>
      <c r="G26" s="62" t="s">
        <v>56</v>
      </c>
      <c r="H26" s="26">
        <v>5</v>
      </c>
      <c r="I26" s="27">
        <f t="shared" si="6"/>
        <v>100</v>
      </c>
      <c r="J26" s="28"/>
      <c r="K26" s="29">
        <v>515</v>
      </c>
      <c r="L26" s="30"/>
      <c r="M26" s="31">
        <f t="shared" si="7"/>
        <v>0</v>
      </c>
      <c r="N26" s="31">
        <f t="shared" si="8"/>
        <v>515</v>
      </c>
      <c r="O26" s="25"/>
      <c r="P26" s="22">
        <v>44830</v>
      </c>
      <c r="Q26" s="25"/>
      <c r="R26" s="32" t="s">
        <v>62</v>
      </c>
      <c r="S26" s="21"/>
      <c r="T26" s="32" t="s">
        <v>28</v>
      </c>
      <c r="U26" s="21"/>
    </row>
    <row r="27" spans="1:21" ht="20.100000000000001" customHeight="1" x14ac:dyDescent="0.3">
      <c r="A27" s="44">
        <v>19</v>
      </c>
      <c r="B27" s="22">
        <v>44830</v>
      </c>
      <c r="C27" s="23"/>
      <c r="D27" s="24" t="s">
        <v>61</v>
      </c>
      <c r="E27" s="25"/>
      <c r="F27" s="26">
        <v>30</v>
      </c>
      <c r="G27" s="62" t="s">
        <v>52</v>
      </c>
      <c r="H27" s="26">
        <v>100</v>
      </c>
      <c r="I27" s="27">
        <f t="shared" si="6"/>
        <v>3000</v>
      </c>
      <c r="J27" s="28"/>
      <c r="K27" s="29">
        <v>319.24</v>
      </c>
      <c r="L27" s="30">
        <v>0.05</v>
      </c>
      <c r="M27" s="31">
        <f t="shared" si="7"/>
        <v>15.962000000000002</v>
      </c>
      <c r="N27" s="31">
        <f t="shared" si="8"/>
        <v>335.202</v>
      </c>
      <c r="O27" s="25"/>
      <c r="P27" s="22">
        <v>44830</v>
      </c>
      <c r="Q27" s="25"/>
      <c r="R27" s="32" t="s">
        <v>62</v>
      </c>
      <c r="S27" s="21"/>
      <c r="T27" s="32" t="s">
        <v>28</v>
      </c>
      <c r="U27" s="21"/>
    </row>
    <row r="28" spans="1:21" ht="20.100000000000001" customHeight="1" x14ac:dyDescent="0.3">
      <c r="A28" s="44">
        <v>20</v>
      </c>
      <c r="B28" s="22">
        <v>44830</v>
      </c>
      <c r="C28" s="23"/>
      <c r="D28" s="24" t="s">
        <v>63</v>
      </c>
      <c r="E28" s="25"/>
      <c r="F28" s="26">
        <v>40</v>
      </c>
      <c r="G28" s="62" t="s">
        <v>56</v>
      </c>
      <c r="H28" s="26">
        <v>5</v>
      </c>
      <c r="I28" s="27">
        <f t="shared" si="6"/>
        <v>200</v>
      </c>
      <c r="J28" s="28"/>
      <c r="K28" s="29">
        <v>457</v>
      </c>
      <c r="L28" s="30">
        <v>0.18</v>
      </c>
      <c r="M28" s="31">
        <f t="shared" si="7"/>
        <v>82.259999999999991</v>
      </c>
      <c r="N28" s="31">
        <f t="shared" si="8"/>
        <v>539.26</v>
      </c>
      <c r="O28" s="25"/>
      <c r="P28" s="22">
        <v>44830</v>
      </c>
      <c r="Q28" s="25"/>
      <c r="R28" s="32" t="s">
        <v>67</v>
      </c>
      <c r="S28" s="21"/>
      <c r="T28" s="32" t="s">
        <v>68</v>
      </c>
      <c r="U28" s="21"/>
    </row>
    <row r="29" spans="1:21" ht="20.100000000000001" customHeight="1" x14ac:dyDescent="0.3">
      <c r="A29" s="44">
        <v>21</v>
      </c>
      <c r="B29" s="22">
        <v>44830</v>
      </c>
      <c r="C29" s="23"/>
      <c r="D29" s="24" t="s">
        <v>64</v>
      </c>
      <c r="E29" s="25"/>
      <c r="F29" s="26">
        <v>12</v>
      </c>
      <c r="G29" s="62" t="s">
        <v>56</v>
      </c>
      <c r="H29" s="26">
        <v>5</v>
      </c>
      <c r="I29" s="27">
        <f t="shared" si="6"/>
        <v>60</v>
      </c>
      <c r="J29" s="28"/>
      <c r="K29" s="29">
        <v>3273</v>
      </c>
      <c r="L29" s="30">
        <v>0.18</v>
      </c>
      <c r="M29" s="31">
        <f t="shared" si="7"/>
        <v>589.14</v>
      </c>
      <c r="N29" s="31">
        <f t="shared" si="8"/>
        <v>3862.14</v>
      </c>
      <c r="O29" s="25"/>
      <c r="P29" s="22">
        <v>44830</v>
      </c>
      <c r="Q29" s="25"/>
      <c r="R29" s="32" t="s">
        <v>67</v>
      </c>
      <c r="S29" s="21"/>
      <c r="T29" s="32" t="s">
        <v>68</v>
      </c>
      <c r="U29" s="21"/>
    </row>
    <row r="30" spans="1:21" ht="20.100000000000001" customHeight="1" x14ac:dyDescent="0.3">
      <c r="A30" s="44">
        <v>22</v>
      </c>
      <c r="B30" s="22">
        <v>44830</v>
      </c>
      <c r="C30" s="23"/>
      <c r="D30" s="24" t="s">
        <v>65</v>
      </c>
      <c r="E30" s="25"/>
      <c r="F30" s="26">
        <v>12</v>
      </c>
      <c r="G30" s="62" t="s">
        <v>66</v>
      </c>
      <c r="H30" s="26">
        <v>500</v>
      </c>
      <c r="I30" s="27">
        <f t="shared" si="6"/>
        <v>6000</v>
      </c>
      <c r="J30" s="28"/>
      <c r="K30" s="29">
        <v>405</v>
      </c>
      <c r="L30" s="30">
        <v>0.18</v>
      </c>
      <c r="M30" s="31">
        <f t="shared" si="7"/>
        <v>72.899999999999991</v>
      </c>
      <c r="N30" s="31">
        <f t="shared" si="8"/>
        <v>477.9</v>
      </c>
      <c r="O30" s="25"/>
      <c r="P30" s="22">
        <v>44830</v>
      </c>
      <c r="Q30" s="25"/>
      <c r="R30" s="32" t="s">
        <v>67</v>
      </c>
      <c r="S30" s="21"/>
      <c r="T30" s="32" t="s">
        <v>68</v>
      </c>
      <c r="U30" s="21"/>
    </row>
    <row r="31" spans="1:21" ht="20.100000000000001" customHeight="1" x14ac:dyDescent="0.3">
      <c r="A31" s="44">
        <v>23</v>
      </c>
      <c r="B31" s="22">
        <v>44849</v>
      </c>
      <c r="C31" s="23"/>
      <c r="D31" s="24" t="s">
        <v>69</v>
      </c>
      <c r="E31" s="25"/>
      <c r="F31" s="26">
        <v>20</v>
      </c>
      <c r="G31" s="62" t="s">
        <v>18</v>
      </c>
      <c r="H31" s="26">
        <v>25</v>
      </c>
      <c r="I31" s="27">
        <f t="shared" ref="I31:I40" si="9">F31*H31</f>
        <v>500</v>
      </c>
      <c r="J31" s="28"/>
      <c r="K31" s="29">
        <v>5500</v>
      </c>
      <c r="L31" s="30"/>
      <c r="M31" s="31">
        <f t="shared" ref="M31:M40" si="10">K31*L31</f>
        <v>0</v>
      </c>
      <c r="N31" s="31">
        <f t="shared" ref="N31:N40" si="11">K31+M31</f>
        <v>5500</v>
      </c>
      <c r="O31" s="25"/>
      <c r="P31" s="22">
        <v>44851</v>
      </c>
      <c r="Q31" s="25"/>
      <c r="R31" s="32" t="s">
        <v>72</v>
      </c>
      <c r="S31" s="21"/>
      <c r="T31" s="32" t="s">
        <v>74</v>
      </c>
      <c r="U31" s="21"/>
    </row>
    <row r="32" spans="1:21" ht="20.100000000000001" customHeight="1" x14ac:dyDescent="0.3">
      <c r="A32" s="44">
        <v>24</v>
      </c>
      <c r="B32" s="22">
        <v>44849</v>
      </c>
      <c r="C32" s="23"/>
      <c r="D32" s="24" t="s">
        <v>200</v>
      </c>
      <c r="E32" s="25"/>
      <c r="F32" s="26">
        <v>4</v>
      </c>
      <c r="G32" s="62" t="s">
        <v>18</v>
      </c>
      <c r="H32" s="26">
        <v>25</v>
      </c>
      <c r="I32" s="27">
        <f t="shared" si="9"/>
        <v>100</v>
      </c>
      <c r="J32" s="28"/>
      <c r="K32" s="29">
        <v>14000</v>
      </c>
      <c r="L32" s="30"/>
      <c r="M32" s="31">
        <f t="shared" si="10"/>
        <v>0</v>
      </c>
      <c r="N32" s="31">
        <f t="shared" si="11"/>
        <v>14000</v>
      </c>
      <c r="O32" s="25"/>
      <c r="P32" s="22">
        <v>44851</v>
      </c>
      <c r="Q32" s="25"/>
      <c r="R32" s="32" t="s">
        <v>73</v>
      </c>
      <c r="S32" s="21"/>
      <c r="T32" s="32" t="s">
        <v>30</v>
      </c>
      <c r="U32" s="21"/>
    </row>
    <row r="33" spans="1:21" ht="20.100000000000001" customHeight="1" x14ac:dyDescent="0.3">
      <c r="A33" s="44">
        <v>25</v>
      </c>
      <c r="B33" s="22">
        <v>44849</v>
      </c>
      <c r="C33" s="23"/>
      <c r="D33" s="24" t="s">
        <v>33</v>
      </c>
      <c r="E33" s="25"/>
      <c r="F33" s="26">
        <v>4</v>
      </c>
      <c r="G33" s="62" t="s">
        <v>18</v>
      </c>
      <c r="H33" s="26">
        <v>25</v>
      </c>
      <c r="I33" s="27">
        <f t="shared" si="9"/>
        <v>100</v>
      </c>
      <c r="J33" s="28"/>
      <c r="K33" s="29">
        <v>6500</v>
      </c>
      <c r="L33" s="30"/>
      <c r="M33" s="31">
        <f t="shared" si="10"/>
        <v>0</v>
      </c>
      <c r="N33" s="31">
        <f t="shared" si="11"/>
        <v>6500</v>
      </c>
      <c r="O33" s="25"/>
      <c r="P33" s="22">
        <v>44851</v>
      </c>
      <c r="Q33" s="25"/>
      <c r="R33" s="32" t="s">
        <v>73</v>
      </c>
      <c r="S33" s="21"/>
      <c r="T33" s="32" t="s">
        <v>30</v>
      </c>
      <c r="U33" s="21"/>
    </row>
    <row r="34" spans="1:21" ht="20.100000000000001" customHeight="1" x14ac:dyDescent="0.3">
      <c r="A34" s="44">
        <v>26</v>
      </c>
      <c r="B34" s="22">
        <v>44849</v>
      </c>
      <c r="C34" s="23"/>
      <c r="D34" s="24" t="s">
        <v>70</v>
      </c>
      <c r="E34" s="25"/>
      <c r="F34" s="26">
        <v>20</v>
      </c>
      <c r="G34" s="62" t="s">
        <v>18</v>
      </c>
      <c r="H34" s="26">
        <v>25</v>
      </c>
      <c r="I34" s="27">
        <f t="shared" si="9"/>
        <v>500</v>
      </c>
      <c r="J34" s="28"/>
      <c r="K34" s="29">
        <v>3500</v>
      </c>
      <c r="L34" s="30"/>
      <c r="M34" s="31">
        <f t="shared" si="10"/>
        <v>0</v>
      </c>
      <c r="N34" s="31">
        <f t="shared" si="11"/>
        <v>3500</v>
      </c>
      <c r="O34" s="25"/>
      <c r="P34" s="22">
        <v>44851</v>
      </c>
      <c r="Q34" s="25"/>
      <c r="R34" s="32" t="s">
        <v>73</v>
      </c>
      <c r="S34" s="21"/>
      <c r="T34" s="32" t="s">
        <v>95</v>
      </c>
      <c r="U34" s="21"/>
    </row>
    <row r="35" spans="1:21" ht="20.100000000000001" customHeight="1" x14ac:dyDescent="0.3">
      <c r="A35" s="44">
        <v>27</v>
      </c>
      <c r="B35" s="22">
        <v>44849</v>
      </c>
      <c r="C35" s="23"/>
      <c r="D35" s="24" t="s">
        <v>71</v>
      </c>
      <c r="E35" s="25"/>
      <c r="F35" s="26"/>
      <c r="G35" s="62" t="s">
        <v>18</v>
      </c>
      <c r="H35" s="26"/>
      <c r="I35" s="27">
        <f t="shared" si="9"/>
        <v>0</v>
      </c>
      <c r="J35" s="28"/>
      <c r="K35" s="29"/>
      <c r="L35" s="30"/>
      <c r="M35" s="31">
        <f t="shared" si="10"/>
        <v>0</v>
      </c>
      <c r="N35" s="31">
        <f t="shared" si="11"/>
        <v>0</v>
      </c>
      <c r="O35" s="25"/>
      <c r="P35" s="22"/>
      <c r="Q35" s="25"/>
      <c r="R35" s="32" t="s">
        <v>13</v>
      </c>
      <c r="S35" s="21"/>
      <c r="T35" s="33" t="s">
        <v>75</v>
      </c>
      <c r="U35" s="21"/>
    </row>
    <row r="36" spans="1:21" ht="20.100000000000001" customHeight="1" x14ac:dyDescent="0.3">
      <c r="A36" s="44">
        <v>28</v>
      </c>
      <c r="B36" s="22" t="s">
        <v>94</v>
      </c>
      <c r="C36" s="23"/>
      <c r="D36" s="24" t="s">
        <v>96</v>
      </c>
      <c r="E36" s="25"/>
      <c r="F36" s="26">
        <v>20</v>
      </c>
      <c r="G36" s="62" t="s">
        <v>18</v>
      </c>
      <c r="H36" s="26">
        <v>25</v>
      </c>
      <c r="I36" s="27">
        <f t="shared" si="9"/>
        <v>500</v>
      </c>
      <c r="J36" s="28"/>
      <c r="K36" s="29">
        <v>5750</v>
      </c>
      <c r="L36" s="30"/>
      <c r="M36" s="31">
        <f t="shared" si="10"/>
        <v>0</v>
      </c>
      <c r="N36" s="31">
        <f t="shared" si="11"/>
        <v>5750</v>
      </c>
      <c r="O36" s="25"/>
      <c r="P36" s="22">
        <v>44856</v>
      </c>
      <c r="Q36" s="25"/>
      <c r="R36" s="32" t="s">
        <v>97</v>
      </c>
      <c r="S36" s="21"/>
      <c r="T36" s="32" t="s">
        <v>98</v>
      </c>
      <c r="U36" s="21"/>
    </row>
    <row r="37" spans="1:21" ht="20.100000000000001" customHeight="1" x14ac:dyDescent="0.3">
      <c r="A37" s="44">
        <v>29</v>
      </c>
      <c r="B37" s="22">
        <v>44859</v>
      </c>
      <c r="C37" s="23"/>
      <c r="D37" s="24" t="s">
        <v>99</v>
      </c>
      <c r="E37" s="25"/>
      <c r="F37" s="26">
        <v>20</v>
      </c>
      <c r="G37" s="62" t="s">
        <v>18</v>
      </c>
      <c r="H37" s="26">
        <v>10</v>
      </c>
      <c r="I37" s="27">
        <f t="shared" si="9"/>
        <v>200</v>
      </c>
      <c r="J37" s="28"/>
      <c r="K37" s="29">
        <v>7050</v>
      </c>
      <c r="L37" s="30"/>
      <c r="M37" s="31">
        <f t="shared" si="10"/>
        <v>0</v>
      </c>
      <c r="N37" s="31">
        <f t="shared" si="11"/>
        <v>7050</v>
      </c>
      <c r="O37" s="25"/>
      <c r="P37" s="22">
        <v>44860</v>
      </c>
      <c r="Q37" s="25"/>
      <c r="R37" s="32" t="s">
        <v>100</v>
      </c>
      <c r="S37" s="21"/>
      <c r="T37" s="32" t="s">
        <v>101</v>
      </c>
      <c r="U37" s="21"/>
    </row>
    <row r="38" spans="1:21" ht="20.100000000000001" customHeight="1" x14ac:dyDescent="0.3">
      <c r="A38" s="44">
        <v>30</v>
      </c>
      <c r="B38" s="22">
        <v>44862</v>
      </c>
      <c r="C38" s="23"/>
      <c r="D38" s="24" t="s">
        <v>102</v>
      </c>
      <c r="E38" s="25"/>
      <c r="F38" s="26">
        <v>18</v>
      </c>
      <c r="G38" s="62" t="s">
        <v>52</v>
      </c>
      <c r="H38" s="26">
        <v>960</v>
      </c>
      <c r="I38" s="27">
        <f t="shared" si="9"/>
        <v>17280</v>
      </c>
      <c r="J38" s="28"/>
      <c r="K38" s="29">
        <v>9300</v>
      </c>
      <c r="L38" s="30">
        <v>0.12</v>
      </c>
      <c r="M38" s="31">
        <f t="shared" si="10"/>
        <v>1116</v>
      </c>
      <c r="N38" s="31">
        <f t="shared" si="11"/>
        <v>10416</v>
      </c>
      <c r="O38" s="25"/>
      <c r="P38" s="22">
        <v>44867</v>
      </c>
      <c r="Q38" s="25"/>
      <c r="R38" s="32" t="s">
        <v>103</v>
      </c>
      <c r="S38" s="21"/>
      <c r="T38" s="32" t="s">
        <v>104</v>
      </c>
      <c r="U38" s="21"/>
    </row>
    <row r="39" spans="1:21" ht="20.100000000000001" customHeight="1" x14ac:dyDescent="0.3">
      <c r="A39" s="44">
        <v>31</v>
      </c>
      <c r="B39" s="22">
        <v>44862</v>
      </c>
      <c r="C39" s="23"/>
      <c r="D39" s="24" t="s">
        <v>105</v>
      </c>
      <c r="E39" s="25"/>
      <c r="F39" s="26">
        <v>10</v>
      </c>
      <c r="G39" s="62" t="s">
        <v>18</v>
      </c>
      <c r="H39" s="26">
        <v>1</v>
      </c>
      <c r="I39" s="27">
        <f t="shared" si="9"/>
        <v>10</v>
      </c>
      <c r="J39" s="28"/>
      <c r="K39" s="29">
        <v>2600</v>
      </c>
      <c r="L39" s="30">
        <v>0.18</v>
      </c>
      <c r="M39" s="31">
        <f t="shared" si="10"/>
        <v>468</v>
      </c>
      <c r="N39" s="31">
        <f t="shared" si="11"/>
        <v>3068</v>
      </c>
      <c r="O39" s="25"/>
      <c r="P39" s="22">
        <v>44867</v>
      </c>
      <c r="Q39" s="25"/>
      <c r="R39" s="32" t="s">
        <v>106</v>
      </c>
      <c r="S39" s="21"/>
      <c r="T39" s="32" t="s">
        <v>107</v>
      </c>
      <c r="U39" s="21"/>
    </row>
    <row r="40" spans="1:21" ht="20.100000000000001" customHeight="1" x14ac:dyDescent="0.3">
      <c r="A40" s="44">
        <v>32</v>
      </c>
      <c r="B40" s="22">
        <v>44862</v>
      </c>
      <c r="C40" s="23"/>
      <c r="D40" s="24" t="s">
        <v>108</v>
      </c>
      <c r="E40" s="25"/>
      <c r="F40" s="26">
        <v>20</v>
      </c>
      <c r="G40" s="62" t="s">
        <v>109</v>
      </c>
      <c r="H40" s="26">
        <v>50</v>
      </c>
      <c r="I40" s="27">
        <f t="shared" si="9"/>
        <v>1000</v>
      </c>
      <c r="J40" s="28"/>
      <c r="K40" s="29">
        <v>1100</v>
      </c>
      <c r="L40" s="30">
        <v>0.18</v>
      </c>
      <c r="M40" s="31">
        <f t="shared" si="10"/>
        <v>198</v>
      </c>
      <c r="N40" s="31">
        <f t="shared" si="11"/>
        <v>1298</v>
      </c>
      <c r="O40" s="25"/>
      <c r="P40" s="22">
        <v>44867</v>
      </c>
      <c r="Q40" s="25"/>
      <c r="R40" s="32" t="s">
        <v>112</v>
      </c>
      <c r="S40" s="21"/>
      <c r="T40" s="32" t="s">
        <v>68</v>
      </c>
      <c r="U40" s="21"/>
    </row>
    <row r="41" spans="1:21" ht="20.100000000000001" customHeight="1" x14ac:dyDescent="0.3">
      <c r="A41" s="44">
        <v>33</v>
      </c>
      <c r="B41" s="22">
        <v>44862</v>
      </c>
      <c r="C41" s="23"/>
      <c r="D41" s="24" t="s">
        <v>110</v>
      </c>
      <c r="E41" s="25"/>
      <c r="F41" s="26">
        <v>36</v>
      </c>
      <c r="G41" s="62" t="s">
        <v>66</v>
      </c>
      <c r="H41" s="26">
        <v>500</v>
      </c>
      <c r="I41" s="27">
        <f t="shared" ref="I41:I50" si="12">F41*H41</f>
        <v>18000</v>
      </c>
      <c r="J41" s="28"/>
      <c r="K41" s="29">
        <v>539</v>
      </c>
      <c r="L41" s="30"/>
      <c r="M41" s="31">
        <f t="shared" ref="M41:M50" si="13">K41*L41</f>
        <v>0</v>
      </c>
      <c r="N41" s="31">
        <f t="shared" ref="N41:N50" si="14">K41+M41</f>
        <v>539</v>
      </c>
      <c r="O41" s="25"/>
      <c r="P41" s="22">
        <v>44867</v>
      </c>
      <c r="Q41" s="25"/>
      <c r="R41" s="32" t="s">
        <v>113</v>
      </c>
      <c r="S41" s="21"/>
      <c r="T41" s="32" t="s">
        <v>114</v>
      </c>
      <c r="U41" s="21"/>
    </row>
    <row r="42" spans="1:21" ht="20.100000000000001" customHeight="1" x14ac:dyDescent="0.3">
      <c r="A42" s="44">
        <v>34</v>
      </c>
      <c r="B42" s="22">
        <v>44862</v>
      </c>
      <c r="C42" s="23"/>
      <c r="D42" s="24" t="s">
        <v>111</v>
      </c>
      <c r="E42" s="25"/>
      <c r="F42" s="26">
        <v>12</v>
      </c>
      <c r="G42" s="62" t="s">
        <v>56</v>
      </c>
      <c r="H42" s="26">
        <v>5</v>
      </c>
      <c r="I42" s="27">
        <f t="shared" si="12"/>
        <v>60</v>
      </c>
      <c r="J42" s="28"/>
      <c r="K42" s="29">
        <v>1238</v>
      </c>
      <c r="L42" s="30"/>
      <c r="M42" s="31">
        <f t="shared" si="13"/>
        <v>0</v>
      </c>
      <c r="N42" s="31">
        <f t="shared" si="14"/>
        <v>1238</v>
      </c>
      <c r="O42" s="25"/>
      <c r="P42" s="22">
        <v>44867</v>
      </c>
      <c r="Q42" s="25"/>
      <c r="R42" s="32" t="s">
        <v>113</v>
      </c>
      <c r="S42" s="21"/>
      <c r="T42" s="32" t="s">
        <v>114</v>
      </c>
      <c r="U42" s="21"/>
    </row>
    <row r="43" spans="1:21" ht="20.100000000000001" customHeight="1" x14ac:dyDescent="0.3">
      <c r="A43" s="44">
        <v>35</v>
      </c>
      <c r="B43" s="22">
        <v>44867</v>
      </c>
      <c r="C43" s="23"/>
      <c r="D43" s="24" t="s">
        <v>115</v>
      </c>
      <c r="E43" s="25"/>
      <c r="F43" s="26">
        <v>13</v>
      </c>
      <c r="G43" s="62" t="s">
        <v>51</v>
      </c>
      <c r="H43" s="26">
        <v>1000</v>
      </c>
      <c r="I43" s="27">
        <f t="shared" si="12"/>
        <v>13000</v>
      </c>
      <c r="J43" s="28"/>
      <c r="K43" s="29">
        <v>2772</v>
      </c>
      <c r="L43" s="30">
        <v>0.05</v>
      </c>
      <c r="M43" s="31">
        <f t="shared" si="13"/>
        <v>138.6</v>
      </c>
      <c r="N43" s="31">
        <f t="shared" si="14"/>
        <v>2910.6</v>
      </c>
      <c r="O43" s="25"/>
      <c r="P43" s="22">
        <v>44868</v>
      </c>
      <c r="Q43" s="25"/>
      <c r="R43" s="32" t="s">
        <v>116</v>
      </c>
      <c r="S43" s="21"/>
      <c r="T43" s="32" t="s">
        <v>117</v>
      </c>
      <c r="U43" s="21"/>
    </row>
    <row r="44" spans="1:21" ht="20.100000000000001" customHeight="1" x14ac:dyDescent="0.3">
      <c r="A44" s="44">
        <v>36</v>
      </c>
      <c r="B44" s="22">
        <v>44862</v>
      </c>
      <c r="C44" s="23"/>
      <c r="D44" s="24" t="s">
        <v>118</v>
      </c>
      <c r="E44" s="25"/>
      <c r="F44" s="26">
        <v>80</v>
      </c>
      <c r="G44" s="62" t="s">
        <v>66</v>
      </c>
      <c r="H44" s="26">
        <v>50</v>
      </c>
      <c r="I44" s="27">
        <f t="shared" si="12"/>
        <v>4000</v>
      </c>
      <c r="J44" s="28"/>
      <c r="K44" s="29">
        <v>65</v>
      </c>
      <c r="L44" s="30"/>
      <c r="M44" s="31">
        <f t="shared" si="13"/>
        <v>0</v>
      </c>
      <c r="N44" s="31">
        <f t="shared" si="14"/>
        <v>65</v>
      </c>
      <c r="O44" s="25"/>
      <c r="P44" s="22">
        <v>44868</v>
      </c>
      <c r="Q44" s="25"/>
      <c r="R44" s="32" t="s">
        <v>120</v>
      </c>
      <c r="S44" s="21"/>
      <c r="T44" s="32" t="s">
        <v>28</v>
      </c>
      <c r="U44" s="21"/>
    </row>
    <row r="45" spans="1:21" ht="20.100000000000001" customHeight="1" x14ac:dyDescent="0.3">
      <c r="A45" s="44">
        <v>37</v>
      </c>
      <c r="B45" s="22">
        <v>44862</v>
      </c>
      <c r="C45" s="23"/>
      <c r="D45" s="24" t="s">
        <v>119</v>
      </c>
      <c r="E45" s="25"/>
      <c r="F45" s="26">
        <v>80</v>
      </c>
      <c r="G45" s="62" t="s">
        <v>66</v>
      </c>
      <c r="H45" s="26">
        <v>250</v>
      </c>
      <c r="I45" s="27">
        <f t="shared" si="12"/>
        <v>20000</v>
      </c>
      <c r="J45" s="28"/>
      <c r="K45" s="29">
        <v>400</v>
      </c>
      <c r="L45" s="30">
        <v>0.12</v>
      </c>
      <c r="M45" s="31">
        <f t="shared" si="13"/>
        <v>48</v>
      </c>
      <c r="N45" s="31">
        <f t="shared" si="14"/>
        <v>448</v>
      </c>
      <c r="O45" s="25"/>
      <c r="P45" s="22">
        <v>44868</v>
      </c>
      <c r="Q45" s="25"/>
      <c r="R45" s="32" t="s">
        <v>120</v>
      </c>
      <c r="S45" s="21"/>
      <c r="T45" s="32" t="s">
        <v>28</v>
      </c>
      <c r="U45" s="21"/>
    </row>
    <row r="46" spans="1:21" ht="20.100000000000001" customHeight="1" x14ac:dyDescent="0.3">
      <c r="A46" s="44">
        <v>38</v>
      </c>
      <c r="B46" s="22">
        <v>44867</v>
      </c>
      <c r="C46" s="23"/>
      <c r="D46" s="24" t="s">
        <v>121</v>
      </c>
      <c r="E46" s="25"/>
      <c r="F46" s="26">
        <v>27</v>
      </c>
      <c r="G46" s="62" t="s">
        <v>51</v>
      </c>
      <c r="H46" s="26">
        <v>1000</v>
      </c>
      <c r="I46" s="27">
        <f t="shared" si="12"/>
        <v>27000</v>
      </c>
      <c r="J46" s="28"/>
      <c r="K46" s="29">
        <v>250</v>
      </c>
      <c r="L46" s="30">
        <v>0.05</v>
      </c>
      <c r="M46" s="31">
        <f t="shared" si="13"/>
        <v>12.5</v>
      </c>
      <c r="N46" s="31">
        <f t="shared" si="14"/>
        <v>262.5</v>
      </c>
      <c r="O46" s="25"/>
      <c r="P46" s="22">
        <v>44868</v>
      </c>
      <c r="Q46" s="25"/>
      <c r="R46" s="32" t="s">
        <v>123</v>
      </c>
      <c r="S46" s="21"/>
      <c r="T46" s="32" t="s">
        <v>124</v>
      </c>
      <c r="U46" s="21"/>
    </row>
    <row r="47" spans="1:21" ht="20.100000000000001" customHeight="1" x14ac:dyDescent="0.3">
      <c r="A47" s="44">
        <v>39</v>
      </c>
      <c r="B47" s="22">
        <v>44867</v>
      </c>
      <c r="C47" s="23"/>
      <c r="D47" s="24" t="s">
        <v>125</v>
      </c>
      <c r="E47" s="25"/>
      <c r="F47" s="26">
        <v>54</v>
      </c>
      <c r="G47" s="62" t="s">
        <v>51</v>
      </c>
      <c r="H47" s="26">
        <v>1000</v>
      </c>
      <c r="I47" s="27">
        <f t="shared" si="12"/>
        <v>54000</v>
      </c>
      <c r="J47" s="28"/>
      <c r="K47" s="29">
        <v>1500</v>
      </c>
      <c r="L47" s="30">
        <v>0.05</v>
      </c>
      <c r="M47" s="31">
        <f t="shared" si="13"/>
        <v>75</v>
      </c>
      <c r="N47" s="31">
        <f t="shared" si="14"/>
        <v>1575</v>
      </c>
      <c r="O47" s="25"/>
      <c r="P47" s="22">
        <v>44868</v>
      </c>
      <c r="Q47" s="25"/>
      <c r="R47" s="32" t="s">
        <v>123</v>
      </c>
      <c r="S47" s="21"/>
      <c r="T47" s="32" t="s">
        <v>124</v>
      </c>
      <c r="U47" s="21"/>
    </row>
    <row r="48" spans="1:21" ht="20.100000000000001" customHeight="1" x14ac:dyDescent="0.3">
      <c r="A48" s="44">
        <v>40</v>
      </c>
      <c r="B48" s="22">
        <v>44867</v>
      </c>
      <c r="C48" s="23"/>
      <c r="D48" s="24" t="s">
        <v>122</v>
      </c>
      <c r="E48" s="25"/>
      <c r="F48" s="26">
        <v>27</v>
      </c>
      <c r="G48" s="62" t="s">
        <v>51</v>
      </c>
      <c r="H48" s="26">
        <v>1000</v>
      </c>
      <c r="I48" s="27">
        <f t="shared" si="12"/>
        <v>27000</v>
      </c>
      <c r="J48" s="28"/>
      <c r="K48" s="29">
        <v>1150</v>
      </c>
      <c r="L48" s="30">
        <v>0.05</v>
      </c>
      <c r="M48" s="31">
        <f t="shared" si="13"/>
        <v>57.5</v>
      </c>
      <c r="N48" s="31">
        <f t="shared" si="14"/>
        <v>1207.5</v>
      </c>
      <c r="O48" s="25"/>
      <c r="P48" s="22">
        <v>44868</v>
      </c>
      <c r="Q48" s="25"/>
      <c r="R48" s="32" t="s">
        <v>123</v>
      </c>
      <c r="S48" s="21"/>
      <c r="T48" s="32" t="s">
        <v>124</v>
      </c>
      <c r="U48" s="21"/>
    </row>
    <row r="49" spans="1:21" ht="20.100000000000001" customHeight="1" x14ac:dyDescent="0.3">
      <c r="A49" s="44">
        <v>41</v>
      </c>
      <c r="B49" s="22">
        <v>44867</v>
      </c>
      <c r="C49" s="23"/>
      <c r="D49" s="24" t="s">
        <v>242</v>
      </c>
      <c r="E49" s="25"/>
      <c r="F49" s="26">
        <v>78</v>
      </c>
      <c r="G49" s="62" t="s">
        <v>51</v>
      </c>
      <c r="H49" s="26">
        <v>1000</v>
      </c>
      <c r="I49" s="27">
        <f t="shared" si="12"/>
        <v>78000</v>
      </c>
      <c r="J49" s="28"/>
      <c r="K49" s="29">
        <v>899</v>
      </c>
      <c r="L49" s="30">
        <v>0.05</v>
      </c>
      <c r="M49" s="31">
        <f t="shared" si="13"/>
        <v>44.95</v>
      </c>
      <c r="N49" s="31">
        <f t="shared" si="14"/>
        <v>943.95</v>
      </c>
      <c r="O49" s="25"/>
      <c r="P49" s="22">
        <v>44868</v>
      </c>
      <c r="Q49" s="25"/>
      <c r="R49" s="32" t="s">
        <v>123</v>
      </c>
      <c r="S49" s="21"/>
      <c r="T49" s="32" t="s">
        <v>124</v>
      </c>
      <c r="U49" s="21"/>
    </row>
    <row r="50" spans="1:21" ht="20.100000000000001" customHeight="1" x14ac:dyDescent="0.3">
      <c r="A50" s="44">
        <v>42</v>
      </c>
      <c r="B50" s="22">
        <v>44867</v>
      </c>
      <c r="C50" s="23"/>
      <c r="D50" s="24" t="s">
        <v>242</v>
      </c>
      <c r="E50" s="25"/>
      <c r="F50" s="26">
        <v>40</v>
      </c>
      <c r="G50" s="62" t="s">
        <v>51</v>
      </c>
      <c r="H50" s="26">
        <v>1000</v>
      </c>
      <c r="I50" s="27">
        <f t="shared" si="12"/>
        <v>40000</v>
      </c>
      <c r="J50" s="28"/>
      <c r="K50" s="29">
        <v>2425</v>
      </c>
      <c r="L50" s="30">
        <v>0.05</v>
      </c>
      <c r="M50" s="31">
        <f t="shared" si="13"/>
        <v>121.25</v>
      </c>
      <c r="N50" s="31">
        <f t="shared" si="14"/>
        <v>2546.25</v>
      </c>
      <c r="O50" s="25"/>
      <c r="P50" s="22">
        <v>44868</v>
      </c>
      <c r="Q50" s="25"/>
      <c r="R50" s="32" t="s">
        <v>123</v>
      </c>
      <c r="S50" s="21"/>
      <c r="T50" s="32" t="s">
        <v>124</v>
      </c>
      <c r="U50" s="21"/>
    </row>
    <row r="51" spans="1:21" ht="20.100000000000001" customHeight="1" x14ac:dyDescent="0.3">
      <c r="A51" s="44">
        <v>43</v>
      </c>
      <c r="B51" s="22">
        <v>44867</v>
      </c>
      <c r="C51" s="23"/>
      <c r="D51" s="24" t="s">
        <v>129</v>
      </c>
      <c r="E51" s="25"/>
      <c r="F51" s="63">
        <v>12</v>
      </c>
      <c r="G51" s="62" t="s">
        <v>51</v>
      </c>
      <c r="H51" s="63">
        <v>2500</v>
      </c>
      <c r="I51" s="27">
        <f t="shared" ref="I51:I60" si="15">F51*H51</f>
        <v>30000</v>
      </c>
      <c r="J51" s="28"/>
      <c r="K51" s="29">
        <v>296</v>
      </c>
      <c r="L51" s="30">
        <v>0.05</v>
      </c>
      <c r="M51" s="31">
        <f t="shared" ref="M51:M60" si="16">K51*L51</f>
        <v>14.8</v>
      </c>
      <c r="N51" s="31">
        <f t="shared" ref="N51:N60" si="17">K51+M51</f>
        <v>310.8</v>
      </c>
      <c r="O51" s="25"/>
      <c r="P51" s="22">
        <v>44868</v>
      </c>
      <c r="Q51" s="25"/>
      <c r="R51" s="32" t="s">
        <v>128</v>
      </c>
      <c r="S51" s="21"/>
      <c r="T51" s="32" t="s">
        <v>49</v>
      </c>
      <c r="U51" s="21"/>
    </row>
    <row r="52" spans="1:21" ht="20.100000000000001" customHeight="1" x14ac:dyDescent="0.3">
      <c r="A52" s="44">
        <v>44</v>
      </c>
      <c r="B52" s="22">
        <v>44867</v>
      </c>
      <c r="C52" s="23"/>
      <c r="D52" s="24" t="s">
        <v>130</v>
      </c>
      <c r="E52" s="25"/>
      <c r="F52" s="26">
        <v>80</v>
      </c>
      <c r="G52" s="62" t="s">
        <v>51</v>
      </c>
      <c r="H52" s="26">
        <v>2500</v>
      </c>
      <c r="I52" s="27">
        <f t="shared" si="15"/>
        <v>200000</v>
      </c>
      <c r="J52" s="28"/>
      <c r="K52" s="29">
        <v>550</v>
      </c>
      <c r="L52" s="30">
        <v>0.05</v>
      </c>
      <c r="M52" s="31">
        <f t="shared" si="16"/>
        <v>27.5</v>
      </c>
      <c r="N52" s="31">
        <f t="shared" si="17"/>
        <v>577.5</v>
      </c>
      <c r="O52" s="25"/>
      <c r="P52" s="22">
        <v>44868</v>
      </c>
      <c r="Q52" s="25"/>
      <c r="R52" s="32" t="s">
        <v>128</v>
      </c>
      <c r="S52" s="21"/>
      <c r="T52" s="32" t="s">
        <v>49</v>
      </c>
      <c r="U52" s="21"/>
    </row>
    <row r="53" spans="1:21" ht="20.100000000000001" customHeight="1" x14ac:dyDescent="0.3">
      <c r="A53" s="44">
        <v>45</v>
      </c>
      <c r="B53" s="22">
        <v>44867</v>
      </c>
      <c r="C53" s="23"/>
      <c r="D53" s="24" t="s">
        <v>131</v>
      </c>
      <c r="E53" s="25"/>
      <c r="F53" s="26">
        <v>54</v>
      </c>
      <c r="G53" s="62" t="s">
        <v>51</v>
      </c>
      <c r="H53" s="26">
        <v>1000</v>
      </c>
      <c r="I53" s="27">
        <f t="shared" si="15"/>
        <v>54000</v>
      </c>
      <c r="J53" s="28"/>
      <c r="K53" s="29">
        <v>1868</v>
      </c>
      <c r="L53" s="30">
        <v>0.05</v>
      </c>
      <c r="M53" s="31">
        <f t="shared" si="16"/>
        <v>93.4</v>
      </c>
      <c r="N53" s="31">
        <f t="shared" si="17"/>
        <v>1961.4</v>
      </c>
      <c r="O53" s="25"/>
      <c r="P53" s="22">
        <v>44868</v>
      </c>
      <c r="Q53" s="25"/>
      <c r="R53" s="32" t="s">
        <v>138</v>
      </c>
      <c r="S53" s="21"/>
      <c r="T53" s="32" t="s">
        <v>139</v>
      </c>
      <c r="U53" s="21"/>
    </row>
    <row r="54" spans="1:21" ht="20.100000000000001" customHeight="1" x14ac:dyDescent="0.3">
      <c r="A54" s="44">
        <v>46</v>
      </c>
      <c r="B54" s="22">
        <v>44867</v>
      </c>
      <c r="C54" s="23"/>
      <c r="D54" s="24" t="s">
        <v>132</v>
      </c>
      <c r="E54" s="25"/>
      <c r="F54" s="26">
        <v>27</v>
      </c>
      <c r="G54" s="62" t="s">
        <v>51</v>
      </c>
      <c r="H54" s="26">
        <v>1000</v>
      </c>
      <c r="I54" s="27">
        <f t="shared" si="15"/>
        <v>27000</v>
      </c>
      <c r="J54" s="28"/>
      <c r="K54" s="29">
        <v>54</v>
      </c>
      <c r="L54" s="30">
        <v>0.05</v>
      </c>
      <c r="M54" s="31">
        <f t="shared" si="16"/>
        <v>2.7</v>
      </c>
      <c r="N54" s="31">
        <f t="shared" si="17"/>
        <v>56.7</v>
      </c>
      <c r="O54" s="25"/>
      <c r="P54" s="22">
        <v>44868</v>
      </c>
      <c r="Q54" s="25"/>
      <c r="R54" s="32" t="s">
        <v>138</v>
      </c>
      <c r="S54" s="21"/>
      <c r="T54" s="32" t="s">
        <v>139</v>
      </c>
      <c r="U54" s="21"/>
    </row>
    <row r="55" spans="1:21" ht="20.100000000000001" customHeight="1" x14ac:dyDescent="0.3">
      <c r="A55" s="44">
        <v>47</v>
      </c>
      <c r="B55" s="22">
        <v>44867</v>
      </c>
      <c r="C55" s="23"/>
      <c r="D55" s="24" t="s">
        <v>133</v>
      </c>
      <c r="E55" s="25"/>
      <c r="F55" s="26">
        <v>27</v>
      </c>
      <c r="G55" s="62" t="s">
        <v>51</v>
      </c>
      <c r="H55" s="26">
        <v>1000</v>
      </c>
      <c r="I55" s="27">
        <f t="shared" si="15"/>
        <v>27000</v>
      </c>
      <c r="J55" s="28"/>
      <c r="K55" s="29">
        <v>172</v>
      </c>
      <c r="L55" s="30">
        <v>0.05</v>
      </c>
      <c r="M55" s="31">
        <f t="shared" si="16"/>
        <v>8.6</v>
      </c>
      <c r="N55" s="31">
        <f t="shared" si="17"/>
        <v>180.6</v>
      </c>
      <c r="O55" s="25"/>
      <c r="P55" s="22">
        <v>44868</v>
      </c>
      <c r="Q55" s="25"/>
      <c r="R55" s="32" t="s">
        <v>138</v>
      </c>
      <c r="S55" s="21"/>
      <c r="T55" s="32" t="s">
        <v>139</v>
      </c>
      <c r="U55" s="21"/>
    </row>
    <row r="56" spans="1:21" ht="20.100000000000001" customHeight="1" x14ac:dyDescent="0.3">
      <c r="A56" s="44">
        <v>48</v>
      </c>
      <c r="B56" s="22">
        <v>44867</v>
      </c>
      <c r="C56" s="23"/>
      <c r="D56" s="24" t="s">
        <v>134</v>
      </c>
      <c r="E56" s="25"/>
      <c r="F56" s="26">
        <v>27</v>
      </c>
      <c r="G56" s="62" t="s">
        <v>51</v>
      </c>
      <c r="H56" s="26">
        <v>1000</v>
      </c>
      <c r="I56" s="27">
        <f t="shared" si="15"/>
        <v>27000</v>
      </c>
      <c r="J56" s="28"/>
      <c r="K56" s="29">
        <v>91</v>
      </c>
      <c r="L56" s="30">
        <v>0.05</v>
      </c>
      <c r="M56" s="31">
        <f t="shared" si="16"/>
        <v>4.55</v>
      </c>
      <c r="N56" s="31">
        <f t="shared" si="17"/>
        <v>95.55</v>
      </c>
      <c r="O56" s="25"/>
      <c r="P56" s="22">
        <v>44868</v>
      </c>
      <c r="Q56" s="25"/>
      <c r="R56" s="32" t="s">
        <v>138</v>
      </c>
      <c r="S56" s="21"/>
      <c r="T56" s="32" t="s">
        <v>139</v>
      </c>
      <c r="U56" s="21"/>
    </row>
    <row r="57" spans="1:21" ht="20.100000000000001" customHeight="1" x14ac:dyDescent="0.3">
      <c r="A57" s="44">
        <v>49</v>
      </c>
      <c r="B57" s="22">
        <v>44867</v>
      </c>
      <c r="C57" s="23"/>
      <c r="D57" s="24" t="s">
        <v>135</v>
      </c>
      <c r="E57" s="25"/>
      <c r="F57" s="26">
        <v>27</v>
      </c>
      <c r="G57" s="62" t="s">
        <v>51</v>
      </c>
      <c r="H57" s="26">
        <v>1000</v>
      </c>
      <c r="I57" s="27">
        <f t="shared" si="15"/>
        <v>27000</v>
      </c>
      <c r="J57" s="28"/>
      <c r="K57" s="29">
        <v>223</v>
      </c>
      <c r="L57" s="30">
        <v>0.05</v>
      </c>
      <c r="M57" s="31">
        <f t="shared" si="16"/>
        <v>11.15</v>
      </c>
      <c r="N57" s="31">
        <f t="shared" si="17"/>
        <v>234.15</v>
      </c>
      <c r="O57" s="25"/>
      <c r="P57" s="22">
        <v>44868</v>
      </c>
      <c r="Q57" s="25"/>
      <c r="R57" s="32" t="s">
        <v>138</v>
      </c>
      <c r="S57" s="21"/>
      <c r="T57" s="32" t="s">
        <v>139</v>
      </c>
      <c r="U57" s="21"/>
    </row>
    <row r="58" spans="1:21" ht="20.100000000000001" customHeight="1" x14ac:dyDescent="0.3">
      <c r="A58" s="44">
        <v>50</v>
      </c>
      <c r="B58" s="22">
        <v>44867</v>
      </c>
      <c r="C58" s="23"/>
      <c r="D58" s="24" t="s">
        <v>136</v>
      </c>
      <c r="E58" s="25"/>
      <c r="F58" s="26">
        <v>54</v>
      </c>
      <c r="G58" s="62" t="s">
        <v>51</v>
      </c>
      <c r="H58" s="26">
        <v>1000</v>
      </c>
      <c r="I58" s="27">
        <f t="shared" si="15"/>
        <v>54000</v>
      </c>
      <c r="J58" s="28"/>
      <c r="K58" s="29">
        <v>119</v>
      </c>
      <c r="L58" s="30">
        <v>0.05</v>
      </c>
      <c r="M58" s="31">
        <f t="shared" si="16"/>
        <v>5.95</v>
      </c>
      <c r="N58" s="31">
        <f t="shared" si="17"/>
        <v>124.95</v>
      </c>
      <c r="O58" s="25"/>
      <c r="P58" s="22">
        <v>44868</v>
      </c>
      <c r="Q58" s="25"/>
      <c r="R58" s="32" t="s">
        <v>138</v>
      </c>
      <c r="S58" s="21"/>
      <c r="T58" s="32" t="s">
        <v>139</v>
      </c>
      <c r="U58" s="21"/>
    </row>
    <row r="59" spans="1:21" ht="20.100000000000001" customHeight="1" x14ac:dyDescent="0.3">
      <c r="A59" s="44">
        <v>51</v>
      </c>
      <c r="B59" s="22">
        <v>44867</v>
      </c>
      <c r="C59" s="23"/>
      <c r="D59" s="24" t="s">
        <v>247</v>
      </c>
      <c r="E59" s="25"/>
      <c r="F59" s="26">
        <v>27</v>
      </c>
      <c r="G59" s="62" t="s">
        <v>51</v>
      </c>
      <c r="H59" s="26">
        <v>1000</v>
      </c>
      <c r="I59" s="27">
        <f t="shared" si="15"/>
        <v>27000</v>
      </c>
      <c r="J59" s="28"/>
      <c r="K59" s="29">
        <v>120</v>
      </c>
      <c r="L59" s="30">
        <v>0.05</v>
      </c>
      <c r="M59" s="31">
        <f t="shared" si="16"/>
        <v>6</v>
      </c>
      <c r="N59" s="31">
        <f t="shared" si="17"/>
        <v>126</v>
      </c>
      <c r="O59" s="25"/>
      <c r="P59" s="22">
        <v>44868</v>
      </c>
      <c r="Q59" s="25"/>
      <c r="R59" s="32" t="s">
        <v>138</v>
      </c>
      <c r="S59" s="21"/>
      <c r="T59" s="32" t="s">
        <v>139</v>
      </c>
      <c r="U59" s="21"/>
    </row>
    <row r="60" spans="1:21" ht="20.100000000000001" customHeight="1" x14ac:dyDescent="0.3">
      <c r="A60" s="44">
        <v>52</v>
      </c>
      <c r="B60" s="22">
        <v>44867</v>
      </c>
      <c r="C60" s="23"/>
      <c r="D60" s="24" t="s">
        <v>137</v>
      </c>
      <c r="E60" s="25"/>
      <c r="F60" s="26">
        <v>27</v>
      </c>
      <c r="G60" s="62" t="s">
        <v>51</v>
      </c>
      <c r="H60" s="26">
        <v>1000</v>
      </c>
      <c r="I60" s="27">
        <f t="shared" si="15"/>
        <v>27000</v>
      </c>
      <c r="J60" s="28"/>
      <c r="K60" s="29">
        <v>91</v>
      </c>
      <c r="L60" s="30">
        <v>0.05</v>
      </c>
      <c r="M60" s="31">
        <f t="shared" si="16"/>
        <v>4.55</v>
      </c>
      <c r="N60" s="31">
        <f t="shared" si="17"/>
        <v>95.55</v>
      </c>
      <c r="O60" s="25"/>
      <c r="P60" s="22">
        <v>44868</v>
      </c>
      <c r="Q60" s="25"/>
      <c r="R60" s="32" t="s">
        <v>138</v>
      </c>
      <c r="S60" s="21"/>
      <c r="T60" s="32" t="s">
        <v>139</v>
      </c>
      <c r="U60" s="21"/>
    </row>
    <row r="61" spans="1:21" ht="20.100000000000001" customHeight="1" x14ac:dyDescent="0.3">
      <c r="A61" s="44">
        <v>53</v>
      </c>
      <c r="B61" s="22">
        <v>44867</v>
      </c>
      <c r="C61" s="23"/>
      <c r="D61" s="24" t="s">
        <v>140</v>
      </c>
      <c r="E61" s="25"/>
      <c r="F61" s="26">
        <v>64</v>
      </c>
      <c r="G61" s="62" t="s">
        <v>51</v>
      </c>
      <c r="H61" s="26">
        <v>1000</v>
      </c>
      <c r="I61" s="27">
        <f t="shared" ref="I61:I75" si="18">F61*H61</f>
        <v>64000</v>
      </c>
      <c r="J61" s="28"/>
      <c r="K61" s="29">
        <v>1050</v>
      </c>
      <c r="L61" s="30">
        <v>0.05</v>
      </c>
      <c r="M61" s="31">
        <f t="shared" ref="M61:M75" si="19">K61*L61</f>
        <v>52.5</v>
      </c>
      <c r="N61" s="31">
        <f t="shared" ref="N61:N75" si="20">K61+M61</f>
        <v>1102.5</v>
      </c>
      <c r="O61" s="25"/>
      <c r="P61" s="22">
        <v>44868</v>
      </c>
      <c r="Q61" s="25"/>
      <c r="R61" s="32" t="s">
        <v>150</v>
      </c>
      <c r="S61" s="21"/>
      <c r="T61" s="32" t="s">
        <v>139</v>
      </c>
      <c r="U61" s="21"/>
    </row>
    <row r="62" spans="1:21" ht="20.100000000000001" customHeight="1" x14ac:dyDescent="0.3">
      <c r="A62" s="44">
        <v>54</v>
      </c>
      <c r="B62" s="22">
        <v>44867</v>
      </c>
      <c r="C62" s="23"/>
      <c r="D62" s="24" t="s">
        <v>141</v>
      </c>
      <c r="E62" s="25"/>
      <c r="F62" s="26">
        <v>27</v>
      </c>
      <c r="G62" s="62" t="s">
        <v>51</v>
      </c>
      <c r="H62" s="26">
        <v>1000</v>
      </c>
      <c r="I62" s="27">
        <f t="shared" si="18"/>
        <v>27000</v>
      </c>
      <c r="J62" s="28"/>
      <c r="K62" s="29">
        <v>875</v>
      </c>
      <c r="L62" s="30">
        <v>0.05</v>
      </c>
      <c r="M62" s="31">
        <f t="shared" si="19"/>
        <v>43.75</v>
      </c>
      <c r="N62" s="31">
        <f t="shared" si="20"/>
        <v>918.75</v>
      </c>
      <c r="O62" s="25"/>
      <c r="P62" s="22">
        <v>44868</v>
      </c>
      <c r="Q62" s="25"/>
      <c r="R62" s="32" t="s">
        <v>150</v>
      </c>
      <c r="S62" s="21"/>
      <c r="T62" s="32" t="s">
        <v>139</v>
      </c>
      <c r="U62" s="21"/>
    </row>
    <row r="63" spans="1:21" ht="20.100000000000001" customHeight="1" x14ac:dyDescent="0.3">
      <c r="A63" s="44">
        <v>55</v>
      </c>
      <c r="B63" s="22">
        <v>44867</v>
      </c>
      <c r="C63" s="23"/>
      <c r="D63" s="24" t="s">
        <v>142</v>
      </c>
      <c r="E63" s="25"/>
      <c r="F63" s="26">
        <v>27</v>
      </c>
      <c r="G63" s="62" t="s">
        <v>51</v>
      </c>
      <c r="H63" s="26">
        <v>1000</v>
      </c>
      <c r="I63" s="27">
        <f t="shared" si="18"/>
        <v>27000</v>
      </c>
      <c r="J63" s="28"/>
      <c r="K63" s="29">
        <v>1725</v>
      </c>
      <c r="L63" s="30">
        <v>0.05</v>
      </c>
      <c r="M63" s="31">
        <f t="shared" si="19"/>
        <v>86.25</v>
      </c>
      <c r="N63" s="31">
        <f t="shared" si="20"/>
        <v>1811.25</v>
      </c>
      <c r="O63" s="25"/>
      <c r="P63" s="22">
        <v>44868</v>
      </c>
      <c r="Q63" s="25"/>
      <c r="R63" s="32" t="s">
        <v>150</v>
      </c>
      <c r="S63" s="21"/>
      <c r="T63" s="32" t="s">
        <v>139</v>
      </c>
      <c r="U63" s="21"/>
    </row>
    <row r="64" spans="1:21" ht="20.100000000000001" customHeight="1" x14ac:dyDescent="0.3">
      <c r="A64" s="44">
        <v>56</v>
      </c>
      <c r="B64" s="22">
        <v>44867</v>
      </c>
      <c r="C64" s="23"/>
      <c r="D64" s="24" t="s">
        <v>148</v>
      </c>
      <c r="E64" s="25"/>
      <c r="F64" s="26">
        <v>54</v>
      </c>
      <c r="G64" s="62" t="s">
        <v>51</v>
      </c>
      <c r="H64" s="26">
        <v>1000</v>
      </c>
      <c r="I64" s="27">
        <f t="shared" si="18"/>
        <v>54000</v>
      </c>
      <c r="J64" s="28"/>
      <c r="K64" s="29">
        <v>2250</v>
      </c>
      <c r="L64" s="30">
        <v>0.05</v>
      </c>
      <c r="M64" s="31">
        <f t="shared" si="19"/>
        <v>112.5</v>
      </c>
      <c r="N64" s="31">
        <f t="shared" si="20"/>
        <v>2362.5</v>
      </c>
      <c r="O64" s="25"/>
      <c r="P64" s="22">
        <v>44868</v>
      </c>
      <c r="Q64" s="25"/>
      <c r="R64" s="32" t="s">
        <v>150</v>
      </c>
      <c r="S64" s="21"/>
      <c r="T64" s="32" t="s">
        <v>139</v>
      </c>
      <c r="U64" s="21"/>
    </row>
    <row r="65" spans="1:21" ht="20.100000000000001" customHeight="1" x14ac:dyDescent="0.3">
      <c r="A65" s="44">
        <v>57</v>
      </c>
      <c r="B65" s="22">
        <v>44867</v>
      </c>
      <c r="C65" s="23"/>
      <c r="D65" s="24" t="s">
        <v>143</v>
      </c>
      <c r="E65" s="25"/>
      <c r="F65" s="26">
        <v>54</v>
      </c>
      <c r="G65" s="62" t="s">
        <v>51</v>
      </c>
      <c r="H65" s="26">
        <v>1000</v>
      </c>
      <c r="I65" s="27">
        <f t="shared" si="18"/>
        <v>54000</v>
      </c>
      <c r="J65" s="28"/>
      <c r="K65" s="29">
        <v>2500</v>
      </c>
      <c r="L65" s="30">
        <v>0.05</v>
      </c>
      <c r="M65" s="31">
        <f t="shared" si="19"/>
        <v>125</v>
      </c>
      <c r="N65" s="31">
        <f t="shared" si="20"/>
        <v>2625</v>
      </c>
      <c r="O65" s="25"/>
      <c r="P65" s="22">
        <v>44868</v>
      </c>
      <c r="Q65" s="25"/>
      <c r="R65" s="32" t="s">
        <v>150</v>
      </c>
      <c r="S65" s="21"/>
      <c r="T65" s="32" t="s">
        <v>139</v>
      </c>
      <c r="U65" s="21"/>
    </row>
    <row r="66" spans="1:21" ht="20.100000000000001" customHeight="1" x14ac:dyDescent="0.3">
      <c r="A66" s="44">
        <v>58</v>
      </c>
      <c r="B66" s="22">
        <v>44867</v>
      </c>
      <c r="C66" s="23"/>
      <c r="D66" s="24" t="s">
        <v>144</v>
      </c>
      <c r="E66" s="25"/>
      <c r="F66" s="26">
        <v>27</v>
      </c>
      <c r="G66" s="62" t="s">
        <v>51</v>
      </c>
      <c r="H66" s="26">
        <v>1000</v>
      </c>
      <c r="I66" s="27">
        <f t="shared" si="18"/>
        <v>27000</v>
      </c>
      <c r="J66" s="28"/>
      <c r="K66" s="29">
        <v>1700</v>
      </c>
      <c r="L66" s="30">
        <v>0.05</v>
      </c>
      <c r="M66" s="31">
        <f t="shared" si="19"/>
        <v>85</v>
      </c>
      <c r="N66" s="31">
        <f t="shared" si="20"/>
        <v>1785</v>
      </c>
      <c r="O66" s="25"/>
      <c r="P66" s="22">
        <v>44868</v>
      </c>
      <c r="Q66" s="25"/>
      <c r="R66" s="32" t="s">
        <v>150</v>
      </c>
      <c r="S66" s="21"/>
      <c r="T66" s="32" t="s">
        <v>139</v>
      </c>
      <c r="U66" s="21"/>
    </row>
    <row r="67" spans="1:21" ht="20.100000000000001" customHeight="1" x14ac:dyDescent="0.3">
      <c r="A67" s="44">
        <v>59</v>
      </c>
      <c r="B67" s="22">
        <v>44867</v>
      </c>
      <c r="C67" s="23"/>
      <c r="D67" s="24" t="s">
        <v>145</v>
      </c>
      <c r="E67" s="25"/>
      <c r="F67" s="26">
        <v>27</v>
      </c>
      <c r="G67" s="62" t="s">
        <v>51</v>
      </c>
      <c r="H67" s="26">
        <v>1000</v>
      </c>
      <c r="I67" s="27">
        <f t="shared" si="18"/>
        <v>27000</v>
      </c>
      <c r="J67" s="28"/>
      <c r="K67" s="29">
        <v>4000</v>
      </c>
      <c r="L67" s="30">
        <v>0.05</v>
      </c>
      <c r="M67" s="31">
        <f t="shared" si="19"/>
        <v>200</v>
      </c>
      <c r="N67" s="31">
        <f t="shared" si="20"/>
        <v>4200</v>
      </c>
      <c r="O67" s="25"/>
      <c r="P67" s="22">
        <v>44868</v>
      </c>
      <c r="Q67" s="25"/>
      <c r="R67" s="32" t="s">
        <v>150</v>
      </c>
      <c r="S67" s="21"/>
      <c r="T67" s="32" t="s">
        <v>139</v>
      </c>
      <c r="U67" s="21"/>
    </row>
    <row r="68" spans="1:21" ht="20.100000000000001" customHeight="1" x14ac:dyDescent="0.3">
      <c r="A68" s="44">
        <v>60</v>
      </c>
      <c r="B68" s="22">
        <v>44867</v>
      </c>
      <c r="C68" s="23"/>
      <c r="D68" s="24" t="s">
        <v>146</v>
      </c>
      <c r="E68" s="25"/>
      <c r="F68" s="26">
        <v>27</v>
      </c>
      <c r="G68" s="62" t="s">
        <v>51</v>
      </c>
      <c r="H68" s="26">
        <v>1000</v>
      </c>
      <c r="I68" s="27">
        <f t="shared" si="18"/>
        <v>27000</v>
      </c>
      <c r="J68" s="28"/>
      <c r="K68" s="29">
        <v>2400</v>
      </c>
      <c r="L68" s="30">
        <v>0.05</v>
      </c>
      <c r="M68" s="31">
        <f t="shared" si="19"/>
        <v>120</v>
      </c>
      <c r="N68" s="31">
        <f t="shared" si="20"/>
        <v>2520</v>
      </c>
      <c r="O68" s="25"/>
      <c r="P68" s="22">
        <v>44868</v>
      </c>
      <c r="Q68" s="25"/>
      <c r="R68" s="32" t="s">
        <v>150</v>
      </c>
      <c r="S68" s="21"/>
      <c r="T68" s="32" t="s">
        <v>139</v>
      </c>
      <c r="U68" s="21"/>
    </row>
    <row r="69" spans="1:21" ht="20.100000000000001" customHeight="1" x14ac:dyDescent="0.3">
      <c r="A69" s="44">
        <v>61</v>
      </c>
      <c r="B69" s="22">
        <v>44867</v>
      </c>
      <c r="C69" s="23"/>
      <c r="D69" s="24" t="s">
        <v>147</v>
      </c>
      <c r="E69" s="25"/>
      <c r="F69" s="26">
        <v>27</v>
      </c>
      <c r="G69" s="62" t="s">
        <v>51</v>
      </c>
      <c r="H69" s="26">
        <v>1000</v>
      </c>
      <c r="I69" s="27">
        <f t="shared" si="18"/>
        <v>27000</v>
      </c>
      <c r="J69" s="28"/>
      <c r="K69" s="29">
        <v>1732.5</v>
      </c>
      <c r="L69" s="30">
        <v>0.05</v>
      </c>
      <c r="M69" s="31">
        <f t="shared" si="19"/>
        <v>86.625</v>
      </c>
      <c r="N69" s="31">
        <f t="shared" si="20"/>
        <v>1819.125</v>
      </c>
      <c r="O69" s="25"/>
      <c r="P69" s="22">
        <v>44868</v>
      </c>
      <c r="Q69" s="25"/>
      <c r="R69" s="32" t="s">
        <v>150</v>
      </c>
      <c r="S69" s="21"/>
      <c r="T69" s="32" t="s">
        <v>139</v>
      </c>
      <c r="U69" s="21"/>
    </row>
    <row r="70" spans="1:21" ht="20.100000000000001" customHeight="1" x14ac:dyDescent="0.3">
      <c r="A70" s="44">
        <v>62</v>
      </c>
      <c r="B70" s="22">
        <v>44867</v>
      </c>
      <c r="C70" s="23"/>
      <c r="D70" s="24" t="s">
        <v>149</v>
      </c>
      <c r="E70" s="25"/>
      <c r="F70" s="26">
        <v>50</v>
      </c>
      <c r="G70" s="62" t="s">
        <v>51</v>
      </c>
      <c r="H70" s="26">
        <v>1000</v>
      </c>
      <c r="I70" s="27">
        <f t="shared" si="18"/>
        <v>50000</v>
      </c>
      <c r="J70" s="28"/>
      <c r="K70" s="29">
        <v>5100</v>
      </c>
      <c r="L70" s="30">
        <v>0.05</v>
      </c>
      <c r="M70" s="31">
        <f t="shared" si="19"/>
        <v>255</v>
      </c>
      <c r="N70" s="31">
        <f t="shared" si="20"/>
        <v>5355</v>
      </c>
      <c r="O70" s="25"/>
      <c r="P70" s="22">
        <v>44868</v>
      </c>
      <c r="Q70" s="25"/>
      <c r="R70" s="32" t="s">
        <v>150</v>
      </c>
      <c r="S70" s="21"/>
      <c r="T70" s="32" t="s">
        <v>139</v>
      </c>
      <c r="U70" s="21"/>
    </row>
    <row r="71" spans="1:21" ht="20.100000000000001" customHeight="1" x14ac:dyDescent="0.3">
      <c r="A71" s="44">
        <v>63</v>
      </c>
      <c r="B71" s="22">
        <v>44874</v>
      </c>
      <c r="C71" s="23"/>
      <c r="D71" s="24" t="s">
        <v>152</v>
      </c>
      <c r="E71" s="25"/>
      <c r="F71" s="26">
        <v>25</v>
      </c>
      <c r="G71" s="62" t="s">
        <v>18</v>
      </c>
      <c r="H71" s="26">
        <v>20</v>
      </c>
      <c r="I71" s="27">
        <f t="shared" si="18"/>
        <v>500</v>
      </c>
      <c r="J71" s="28"/>
      <c r="K71" s="29">
        <v>3000</v>
      </c>
      <c r="L71" s="30"/>
      <c r="M71" s="31">
        <f t="shared" si="19"/>
        <v>0</v>
      </c>
      <c r="N71" s="31">
        <f t="shared" si="20"/>
        <v>3000</v>
      </c>
      <c r="O71" s="25"/>
      <c r="P71" s="22">
        <v>44874</v>
      </c>
      <c r="Q71" s="25"/>
      <c r="R71" s="32" t="s">
        <v>153</v>
      </c>
      <c r="S71" s="21"/>
      <c r="T71" s="32" t="s">
        <v>154</v>
      </c>
      <c r="U71" s="21"/>
    </row>
    <row r="72" spans="1:21" ht="20.100000000000001" customHeight="1" x14ac:dyDescent="0.3">
      <c r="A72" s="44">
        <v>64</v>
      </c>
      <c r="B72" s="22">
        <v>44874</v>
      </c>
      <c r="C72" s="23"/>
      <c r="D72" s="24" t="s">
        <v>23</v>
      </c>
      <c r="E72" s="25"/>
      <c r="F72" s="26">
        <v>20</v>
      </c>
      <c r="G72" s="62" t="s">
        <v>18</v>
      </c>
      <c r="H72" s="26">
        <v>25</v>
      </c>
      <c r="I72" s="27">
        <f t="shared" si="18"/>
        <v>500</v>
      </c>
      <c r="J72" s="28"/>
      <c r="K72" s="29">
        <v>18100</v>
      </c>
      <c r="L72" s="30"/>
      <c r="M72" s="31">
        <f t="shared" si="19"/>
        <v>0</v>
      </c>
      <c r="N72" s="31">
        <f t="shared" si="20"/>
        <v>18100</v>
      </c>
      <c r="O72" s="25"/>
      <c r="P72" s="22">
        <v>44874</v>
      </c>
      <c r="Q72" s="25"/>
      <c r="R72" s="32" t="s">
        <v>156</v>
      </c>
      <c r="S72" s="21"/>
      <c r="T72" s="32" t="s">
        <v>26</v>
      </c>
      <c r="U72" s="21"/>
    </row>
    <row r="73" spans="1:21" ht="20.100000000000001" customHeight="1" x14ac:dyDescent="0.3">
      <c r="A73" s="44">
        <v>65</v>
      </c>
      <c r="B73" s="22">
        <v>44874</v>
      </c>
      <c r="C73" s="23"/>
      <c r="D73" s="24" t="s">
        <v>36</v>
      </c>
      <c r="E73" s="25"/>
      <c r="F73" s="26">
        <v>300</v>
      </c>
      <c r="G73" s="62" t="s">
        <v>18</v>
      </c>
      <c r="H73" s="26">
        <v>1</v>
      </c>
      <c r="I73" s="27">
        <f t="shared" si="18"/>
        <v>300</v>
      </c>
      <c r="J73" s="28"/>
      <c r="K73" s="29">
        <v>400</v>
      </c>
      <c r="L73" s="30"/>
      <c r="M73" s="31">
        <f t="shared" si="19"/>
        <v>0</v>
      </c>
      <c r="N73" s="31">
        <f t="shared" si="20"/>
        <v>400</v>
      </c>
      <c r="O73" s="25"/>
      <c r="P73" s="22">
        <v>44874</v>
      </c>
      <c r="Q73" s="25"/>
      <c r="R73" s="32" t="s">
        <v>157</v>
      </c>
      <c r="S73" s="21"/>
      <c r="T73" s="32" t="s">
        <v>41</v>
      </c>
      <c r="U73" s="21"/>
    </row>
    <row r="74" spans="1:21" ht="20.100000000000001" customHeight="1" x14ac:dyDescent="0.3">
      <c r="A74" s="44">
        <v>66</v>
      </c>
      <c r="B74" s="22">
        <v>44874</v>
      </c>
      <c r="C74" s="23"/>
      <c r="D74" s="24" t="s">
        <v>155</v>
      </c>
      <c r="E74" s="25"/>
      <c r="F74" s="26">
        <v>20</v>
      </c>
      <c r="G74" s="62" t="s">
        <v>18</v>
      </c>
      <c r="H74" s="26">
        <v>25</v>
      </c>
      <c r="I74" s="27">
        <f t="shared" si="18"/>
        <v>500</v>
      </c>
      <c r="J74" s="28"/>
      <c r="K74" s="29">
        <v>1250</v>
      </c>
      <c r="L74" s="30"/>
      <c r="M74" s="31">
        <f t="shared" si="19"/>
        <v>0</v>
      </c>
      <c r="N74" s="31">
        <f t="shared" si="20"/>
        <v>1250</v>
      </c>
      <c r="O74" s="25"/>
      <c r="P74" s="22">
        <v>44874</v>
      </c>
      <c r="Q74" s="25"/>
      <c r="R74" s="32" t="s">
        <v>158</v>
      </c>
      <c r="S74" s="21"/>
      <c r="T74" s="32" t="s">
        <v>160</v>
      </c>
      <c r="U74" s="21"/>
    </row>
    <row r="75" spans="1:21" ht="20.100000000000001" customHeight="1" x14ac:dyDescent="0.3">
      <c r="A75" s="44">
        <v>67</v>
      </c>
      <c r="B75" s="22">
        <v>44874</v>
      </c>
      <c r="C75" s="23"/>
      <c r="D75" s="24" t="s">
        <v>204</v>
      </c>
      <c r="E75" s="25"/>
      <c r="F75" s="26">
        <v>17</v>
      </c>
      <c r="G75" s="62" t="s">
        <v>18</v>
      </c>
      <c r="H75" s="26">
        <v>30</v>
      </c>
      <c r="I75" s="27">
        <f t="shared" si="18"/>
        <v>510</v>
      </c>
      <c r="J75" s="28"/>
      <c r="K75" s="29">
        <v>1750</v>
      </c>
      <c r="L75" s="30"/>
      <c r="M75" s="31">
        <f t="shared" si="19"/>
        <v>0</v>
      </c>
      <c r="N75" s="31">
        <f t="shared" si="20"/>
        <v>1750</v>
      </c>
      <c r="O75" s="25"/>
      <c r="P75" s="22">
        <v>44874</v>
      </c>
      <c r="Q75" s="25"/>
      <c r="R75" s="32" t="s">
        <v>159</v>
      </c>
      <c r="S75" s="21"/>
      <c r="T75" s="32" t="s">
        <v>114</v>
      </c>
      <c r="U75" s="21"/>
    </row>
    <row r="76" spans="1:21" ht="20.100000000000001" customHeight="1" x14ac:dyDescent="0.3">
      <c r="A76" s="44">
        <v>68</v>
      </c>
      <c r="B76" s="22" t="s">
        <v>161</v>
      </c>
      <c r="C76" s="23"/>
      <c r="D76" s="24" t="s">
        <v>263</v>
      </c>
      <c r="E76" s="25"/>
      <c r="F76" s="26">
        <v>11</v>
      </c>
      <c r="G76" s="62" t="s">
        <v>51</v>
      </c>
      <c r="H76" s="26">
        <v>2500</v>
      </c>
      <c r="I76" s="27">
        <f t="shared" ref="I76:I83" si="21">F76*H76</f>
        <v>27500</v>
      </c>
      <c r="J76" s="28"/>
      <c r="K76" s="29">
        <v>800</v>
      </c>
      <c r="L76" s="30">
        <v>0.05</v>
      </c>
      <c r="M76" s="31">
        <f t="shared" ref="M76:M83" si="22">K76*L76</f>
        <v>40</v>
      </c>
      <c r="N76" s="31">
        <f t="shared" ref="N76:N83" si="23">K76+M76</f>
        <v>840</v>
      </c>
      <c r="O76" s="25"/>
      <c r="P76" s="22">
        <v>44879</v>
      </c>
      <c r="Q76" s="25"/>
      <c r="R76" s="32" t="s">
        <v>162</v>
      </c>
      <c r="S76" s="21"/>
      <c r="T76" s="32" t="s">
        <v>163</v>
      </c>
      <c r="U76" s="21"/>
    </row>
    <row r="77" spans="1:21" ht="20.100000000000001" customHeight="1" x14ac:dyDescent="0.3">
      <c r="A77" s="44">
        <v>69</v>
      </c>
      <c r="B77" s="22">
        <v>44886</v>
      </c>
      <c r="C77" s="23"/>
      <c r="D77" s="24" t="s">
        <v>164</v>
      </c>
      <c r="E77" s="25"/>
      <c r="F77" s="26">
        <v>8</v>
      </c>
      <c r="G77" s="62" t="s">
        <v>18</v>
      </c>
      <c r="H77" s="26">
        <v>25</v>
      </c>
      <c r="I77" s="27">
        <f t="shared" si="21"/>
        <v>200</v>
      </c>
      <c r="J77" s="28"/>
      <c r="K77" s="29">
        <v>3200</v>
      </c>
      <c r="L77" s="30">
        <v>0.12</v>
      </c>
      <c r="M77" s="31">
        <f t="shared" si="22"/>
        <v>384</v>
      </c>
      <c r="N77" s="31">
        <f t="shared" si="23"/>
        <v>3584</v>
      </c>
      <c r="O77" s="25"/>
      <c r="P77" s="22">
        <v>44886</v>
      </c>
      <c r="Q77" s="25"/>
      <c r="R77" s="32" t="s">
        <v>165</v>
      </c>
      <c r="S77" s="21"/>
      <c r="T77" s="32" t="s">
        <v>166</v>
      </c>
      <c r="U77" s="21"/>
    </row>
    <row r="78" spans="1:21" ht="20.100000000000001" customHeight="1" x14ac:dyDescent="0.3">
      <c r="A78" s="44">
        <v>70</v>
      </c>
      <c r="B78" s="22">
        <v>44897</v>
      </c>
      <c r="C78" s="23"/>
      <c r="D78" s="24" t="s">
        <v>167</v>
      </c>
      <c r="E78" s="25"/>
      <c r="F78" s="26">
        <v>20</v>
      </c>
      <c r="G78" s="62" t="s">
        <v>109</v>
      </c>
      <c r="H78" s="26">
        <v>50</v>
      </c>
      <c r="I78" s="27">
        <f t="shared" si="21"/>
        <v>1000</v>
      </c>
      <c r="J78" s="28"/>
      <c r="K78" s="29">
        <v>1100</v>
      </c>
      <c r="L78" s="30">
        <v>0.18</v>
      </c>
      <c r="M78" s="31">
        <f t="shared" si="22"/>
        <v>198</v>
      </c>
      <c r="N78" s="31">
        <f t="shared" si="23"/>
        <v>1298</v>
      </c>
      <c r="O78" s="25"/>
      <c r="P78" s="22">
        <v>44898</v>
      </c>
      <c r="Q78" s="25"/>
      <c r="R78" s="32" t="s">
        <v>168</v>
      </c>
      <c r="S78" s="21"/>
      <c r="T78" s="32" t="s">
        <v>68</v>
      </c>
      <c r="U78" s="21"/>
    </row>
    <row r="79" spans="1:21" ht="20.100000000000001" customHeight="1" x14ac:dyDescent="0.3">
      <c r="A79" s="44">
        <v>71</v>
      </c>
      <c r="B79" s="22">
        <v>44897</v>
      </c>
      <c r="C79" s="23"/>
      <c r="D79" s="24" t="s">
        <v>237</v>
      </c>
      <c r="E79" s="25"/>
      <c r="F79" s="26">
        <v>12</v>
      </c>
      <c r="G79" s="62" t="s">
        <v>56</v>
      </c>
      <c r="H79" s="26">
        <v>5</v>
      </c>
      <c r="I79" s="27">
        <f t="shared" si="21"/>
        <v>60</v>
      </c>
      <c r="J79" s="28"/>
      <c r="K79" s="29">
        <v>1017</v>
      </c>
      <c r="L79" s="30">
        <v>0.18</v>
      </c>
      <c r="M79" s="31">
        <f t="shared" si="22"/>
        <v>183.06</v>
      </c>
      <c r="N79" s="31">
        <f t="shared" si="23"/>
        <v>1200.06</v>
      </c>
      <c r="O79" s="25"/>
      <c r="P79" s="22">
        <v>44898</v>
      </c>
      <c r="Q79" s="25"/>
      <c r="R79" s="32" t="s">
        <v>168</v>
      </c>
      <c r="S79" s="21"/>
      <c r="T79" s="32" t="s">
        <v>68</v>
      </c>
      <c r="U79" s="21"/>
    </row>
    <row r="80" spans="1:21" ht="20.100000000000001" customHeight="1" x14ac:dyDescent="0.3">
      <c r="A80" s="44">
        <v>72</v>
      </c>
      <c r="B80" s="22">
        <v>44897</v>
      </c>
      <c r="C80" s="23"/>
      <c r="D80" s="24" t="s">
        <v>169</v>
      </c>
      <c r="E80" s="25"/>
      <c r="F80" s="26">
        <v>100</v>
      </c>
      <c r="G80" s="62" t="s">
        <v>56</v>
      </c>
      <c r="H80" s="26">
        <v>1</v>
      </c>
      <c r="I80" s="27">
        <f t="shared" si="21"/>
        <v>100</v>
      </c>
      <c r="J80" s="28"/>
      <c r="K80" s="29">
        <v>600</v>
      </c>
      <c r="L80" s="30">
        <v>0.12</v>
      </c>
      <c r="M80" s="31">
        <f t="shared" si="22"/>
        <v>72</v>
      </c>
      <c r="N80" s="31">
        <f t="shared" si="23"/>
        <v>672</v>
      </c>
      <c r="O80" s="25"/>
      <c r="P80" s="22">
        <v>44898</v>
      </c>
      <c r="Q80" s="25"/>
      <c r="R80" s="32" t="s">
        <v>170</v>
      </c>
      <c r="S80" s="21"/>
      <c r="T80" s="32" t="s">
        <v>28</v>
      </c>
      <c r="U80" s="21"/>
    </row>
    <row r="81" spans="1:21" ht="20.100000000000001" customHeight="1" x14ac:dyDescent="0.3">
      <c r="A81" s="44">
        <v>73</v>
      </c>
      <c r="B81" s="22">
        <v>44897</v>
      </c>
      <c r="C81" s="23"/>
      <c r="D81" s="24" t="s">
        <v>174</v>
      </c>
      <c r="E81" s="25"/>
      <c r="F81" s="26">
        <v>50</v>
      </c>
      <c r="G81" s="62" t="s">
        <v>52</v>
      </c>
      <c r="H81" s="26">
        <v>100</v>
      </c>
      <c r="I81" s="27">
        <f t="shared" si="21"/>
        <v>5000</v>
      </c>
      <c r="J81" s="28"/>
      <c r="K81" s="29">
        <v>102</v>
      </c>
      <c r="L81" s="30">
        <v>0.12</v>
      </c>
      <c r="M81" s="31">
        <f t="shared" si="22"/>
        <v>12.24</v>
      </c>
      <c r="N81" s="31">
        <f t="shared" si="23"/>
        <v>114.24</v>
      </c>
      <c r="O81" s="25"/>
      <c r="P81" s="22">
        <v>44898</v>
      </c>
      <c r="Q81" s="25"/>
      <c r="R81" s="32" t="s">
        <v>170</v>
      </c>
      <c r="S81" s="21"/>
      <c r="T81" s="32" t="s">
        <v>28</v>
      </c>
      <c r="U81" s="21"/>
    </row>
    <row r="82" spans="1:21" ht="20.100000000000001" customHeight="1" x14ac:dyDescent="0.3">
      <c r="A82" s="44">
        <v>74</v>
      </c>
      <c r="B82" s="22">
        <v>44897</v>
      </c>
      <c r="C82" s="23"/>
      <c r="D82" s="24" t="s">
        <v>175</v>
      </c>
      <c r="E82" s="25"/>
      <c r="F82" s="26">
        <v>100</v>
      </c>
      <c r="G82" s="62" t="s">
        <v>52</v>
      </c>
      <c r="H82" s="26">
        <v>50</v>
      </c>
      <c r="I82" s="27">
        <f t="shared" si="21"/>
        <v>5000</v>
      </c>
      <c r="J82" s="28"/>
      <c r="K82" s="29">
        <v>116</v>
      </c>
      <c r="L82" s="30">
        <v>0.12</v>
      </c>
      <c r="M82" s="31">
        <f t="shared" si="22"/>
        <v>13.92</v>
      </c>
      <c r="N82" s="31">
        <f t="shared" si="23"/>
        <v>129.91999999999999</v>
      </c>
      <c r="O82" s="25"/>
      <c r="P82" s="22">
        <v>44898</v>
      </c>
      <c r="Q82" s="25"/>
      <c r="R82" s="32" t="s">
        <v>170</v>
      </c>
      <c r="S82" s="21"/>
      <c r="T82" s="32" t="s">
        <v>28</v>
      </c>
      <c r="U82" s="21"/>
    </row>
    <row r="83" spans="1:21" ht="20.100000000000001" customHeight="1" x14ac:dyDescent="0.3">
      <c r="A83" s="44">
        <v>75</v>
      </c>
      <c r="B83" s="22">
        <v>44897</v>
      </c>
      <c r="C83" s="23"/>
      <c r="D83" s="24" t="s">
        <v>176</v>
      </c>
      <c r="E83" s="25"/>
      <c r="F83" s="26">
        <v>50</v>
      </c>
      <c r="G83" s="62" t="s">
        <v>52</v>
      </c>
      <c r="H83" s="26">
        <v>100</v>
      </c>
      <c r="I83" s="27">
        <f t="shared" si="21"/>
        <v>5000</v>
      </c>
      <c r="J83" s="28"/>
      <c r="K83" s="29">
        <v>252</v>
      </c>
      <c r="L83" s="30">
        <v>0.12</v>
      </c>
      <c r="M83" s="31">
        <f t="shared" si="22"/>
        <v>30.24</v>
      </c>
      <c r="N83" s="31">
        <f t="shared" si="23"/>
        <v>282.24</v>
      </c>
      <c r="O83" s="25"/>
      <c r="P83" s="22">
        <v>44898</v>
      </c>
      <c r="Q83" s="25"/>
      <c r="R83" s="32" t="s">
        <v>170</v>
      </c>
      <c r="S83" s="21"/>
      <c r="T83" s="32" t="s">
        <v>28</v>
      </c>
      <c r="U83" s="21"/>
    </row>
    <row r="84" spans="1:21" ht="20.100000000000001" customHeight="1" x14ac:dyDescent="0.3">
      <c r="A84" s="44">
        <v>76</v>
      </c>
      <c r="B84" s="22">
        <v>44897</v>
      </c>
      <c r="C84" s="23"/>
      <c r="D84" s="24" t="s">
        <v>61</v>
      </c>
      <c r="E84" s="25"/>
      <c r="F84" s="26">
        <v>30</v>
      </c>
      <c r="G84" s="62" t="s">
        <v>52</v>
      </c>
      <c r="H84" s="26">
        <v>100</v>
      </c>
      <c r="I84" s="27">
        <f t="shared" ref="I84" si="24">F84*H84</f>
        <v>3000</v>
      </c>
      <c r="J84" s="28"/>
      <c r="K84" s="29">
        <v>319.24</v>
      </c>
      <c r="L84" s="30">
        <v>0.05</v>
      </c>
      <c r="M84" s="31">
        <f t="shared" ref="M84" si="25">K84*L84</f>
        <v>15.962000000000002</v>
      </c>
      <c r="N84" s="31">
        <f t="shared" ref="N84" si="26">K84+M84</f>
        <v>335.202</v>
      </c>
      <c r="O84" s="25"/>
      <c r="P84" s="22">
        <v>44898</v>
      </c>
      <c r="Q84" s="25"/>
      <c r="R84" s="32" t="s">
        <v>170</v>
      </c>
      <c r="S84" s="21"/>
      <c r="T84" s="32" t="s">
        <v>28</v>
      </c>
      <c r="U84" s="21"/>
    </row>
    <row r="85" spans="1:21" ht="20.100000000000001" customHeight="1" x14ac:dyDescent="0.3">
      <c r="A85" s="44">
        <v>77</v>
      </c>
      <c r="B85" s="22">
        <v>44897</v>
      </c>
      <c r="C85" s="23"/>
      <c r="D85" s="24" t="s">
        <v>302</v>
      </c>
      <c r="E85" s="25"/>
      <c r="F85" s="26">
        <v>400</v>
      </c>
      <c r="G85" s="62" t="s">
        <v>52</v>
      </c>
      <c r="H85" s="26">
        <v>1</v>
      </c>
      <c r="I85" s="27">
        <f t="shared" ref="I85:I90" si="27">F85*H85</f>
        <v>400</v>
      </c>
      <c r="J85" s="28"/>
      <c r="K85" s="29">
        <v>75</v>
      </c>
      <c r="L85" s="30">
        <v>0.12</v>
      </c>
      <c r="M85" s="31">
        <f t="shared" ref="M85:M90" si="28">K85*L85</f>
        <v>9</v>
      </c>
      <c r="N85" s="31">
        <f t="shared" ref="N85:N90" si="29">K85+M85</f>
        <v>84</v>
      </c>
      <c r="O85" s="25"/>
      <c r="P85" s="22">
        <v>44898</v>
      </c>
      <c r="Q85" s="25"/>
      <c r="R85" s="32" t="s">
        <v>171</v>
      </c>
      <c r="S85" s="21"/>
      <c r="T85" s="32" t="s">
        <v>41</v>
      </c>
      <c r="U85" s="21"/>
    </row>
    <row r="86" spans="1:21" ht="20.100000000000001" customHeight="1" x14ac:dyDescent="0.3">
      <c r="A86" s="44">
        <v>78</v>
      </c>
      <c r="B86" s="22">
        <v>44897</v>
      </c>
      <c r="C86" s="23"/>
      <c r="D86" s="24" t="s">
        <v>172</v>
      </c>
      <c r="E86" s="25"/>
      <c r="F86" s="26">
        <v>48</v>
      </c>
      <c r="G86" s="62" t="s">
        <v>66</v>
      </c>
      <c r="H86" s="26">
        <v>500</v>
      </c>
      <c r="I86" s="27">
        <f t="shared" si="27"/>
        <v>24000</v>
      </c>
      <c r="J86" s="28"/>
      <c r="K86" s="29">
        <v>1001</v>
      </c>
      <c r="L86" s="30">
        <v>0.12</v>
      </c>
      <c r="M86" s="31">
        <f t="shared" si="28"/>
        <v>120.11999999999999</v>
      </c>
      <c r="N86" s="31">
        <f t="shared" si="29"/>
        <v>1121.1199999999999</v>
      </c>
      <c r="O86" s="25"/>
      <c r="P86" s="22">
        <v>44898</v>
      </c>
      <c r="Q86" s="25"/>
      <c r="R86" s="32" t="s">
        <v>173</v>
      </c>
      <c r="S86" s="21"/>
      <c r="T86" s="32" t="s">
        <v>114</v>
      </c>
      <c r="U86" s="21"/>
    </row>
    <row r="87" spans="1:21" ht="20.100000000000001" customHeight="1" x14ac:dyDescent="0.3">
      <c r="A87" s="44">
        <v>79</v>
      </c>
      <c r="B87" s="22">
        <v>44897</v>
      </c>
      <c r="C87" s="23"/>
      <c r="D87" s="24" t="s">
        <v>177</v>
      </c>
      <c r="E87" s="25"/>
      <c r="F87" s="26">
        <v>30</v>
      </c>
      <c r="G87" s="62" t="s">
        <v>66</v>
      </c>
      <c r="H87" s="26">
        <v>100</v>
      </c>
      <c r="I87" s="27">
        <f t="shared" si="27"/>
        <v>3000</v>
      </c>
      <c r="J87" s="28"/>
      <c r="K87" s="29">
        <v>1340</v>
      </c>
      <c r="L87" s="30">
        <v>0.18</v>
      </c>
      <c r="M87" s="31">
        <f t="shared" si="28"/>
        <v>241.2</v>
      </c>
      <c r="N87" s="31">
        <f t="shared" si="29"/>
        <v>1581.2</v>
      </c>
      <c r="O87" s="25"/>
      <c r="P87" s="22">
        <v>44901</v>
      </c>
      <c r="Q87" s="25"/>
      <c r="R87" s="32" t="s">
        <v>178</v>
      </c>
      <c r="S87" s="21"/>
      <c r="T87" s="32" t="s">
        <v>179</v>
      </c>
      <c r="U87" s="21"/>
    </row>
    <row r="88" spans="1:21" ht="20.100000000000001" customHeight="1" x14ac:dyDescent="0.3">
      <c r="A88" s="44">
        <v>80</v>
      </c>
      <c r="B88" s="22">
        <v>44897</v>
      </c>
      <c r="C88" s="23"/>
      <c r="D88" s="24" t="s">
        <v>180</v>
      </c>
      <c r="E88" s="25"/>
      <c r="F88" s="26">
        <v>12</v>
      </c>
      <c r="G88" s="62" t="s">
        <v>56</v>
      </c>
      <c r="H88" s="26">
        <v>5</v>
      </c>
      <c r="I88" s="27">
        <f t="shared" si="27"/>
        <v>60</v>
      </c>
      <c r="J88" s="28"/>
      <c r="K88" s="29">
        <v>1271.19</v>
      </c>
      <c r="L88" s="30">
        <v>0.18</v>
      </c>
      <c r="M88" s="31">
        <f t="shared" si="28"/>
        <v>228.8142</v>
      </c>
      <c r="N88" s="31">
        <f t="shared" si="29"/>
        <v>1500.0042000000001</v>
      </c>
      <c r="O88" s="25"/>
      <c r="P88" s="22">
        <v>44901</v>
      </c>
      <c r="Q88" s="25"/>
      <c r="R88" s="32" t="s">
        <v>181</v>
      </c>
      <c r="S88" s="21"/>
      <c r="T88" s="32" t="s">
        <v>182</v>
      </c>
      <c r="U88" s="21"/>
    </row>
    <row r="89" spans="1:21" ht="20.100000000000001" customHeight="1" x14ac:dyDescent="0.3">
      <c r="A89" s="44">
        <v>81</v>
      </c>
      <c r="B89" s="22">
        <v>44904</v>
      </c>
      <c r="C89" s="23"/>
      <c r="D89" s="24" t="s">
        <v>183</v>
      </c>
      <c r="E89" s="25"/>
      <c r="F89" s="26">
        <v>4</v>
      </c>
      <c r="G89" s="62" t="s">
        <v>18</v>
      </c>
      <c r="H89" s="26">
        <v>25</v>
      </c>
      <c r="I89" s="27">
        <f t="shared" si="27"/>
        <v>100</v>
      </c>
      <c r="J89" s="28"/>
      <c r="K89" s="29">
        <v>19750</v>
      </c>
      <c r="L89" s="30"/>
      <c r="M89" s="31">
        <f t="shared" si="28"/>
        <v>0</v>
      </c>
      <c r="N89" s="31">
        <f t="shared" si="29"/>
        <v>19750</v>
      </c>
      <c r="O89" s="25"/>
      <c r="P89" s="22">
        <v>44904</v>
      </c>
      <c r="Q89" s="25"/>
      <c r="R89" s="32" t="s">
        <v>184</v>
      </c>
      <c r="S89" s="21"/>
      <c r="T89" s="32" t="s">
        <v>58</v>
      </c>
      <c r="U89" s="21"/>
    </row>
    <row r="90" spans="1:21" ht="20.100000000000001" customHeight="1" x14ac:dyDescent="0.3">
      <c r="A90" s="44">
        <v>82</v>
      </c>
      <c r="B90" s="22">
        <v>44904</v>
      </c>
      <c r="C90" s="23"/>
      <c r="D90" s="24" t="s">
        <v>187</v>
      </c>
      <c r="E90" s="25"/>
      <c r="F90" s="26">
        <v>30</v>
      </c>
      <c r="G90" s="62" t="s">
        <v>18</v>
      </c>
      <c r="H90" s="26">
        <v>1</v>
      </c>
      <c r="I90" s="27">
        <f t="shared" si="27"/>
        <v>30</v>
      </c>
      <c r="J90" s="28"/>
      <c r="K90" s="29">
        <v>3500</v>
      </c>
      <c r="L90" s="30"/>
      <c r="M90" s="31">
        <f t="shared" si="28"/>
        <v>0</v>
      </c>
      <c r="N90" s="31">
        <f t="shared" si="29"/>
        <v>3500</v>
      </c>
      <c r="O90" s="25"/>
      <c r="P90" s="22">
        <v>44904</v>
      </c>
      <c r="Q90" s="25"/>
      <c r="R90" s="32" t="s">
        <v>185</v>
      </c>
      <c r="S90" s="21"/>
      <c r="T90" s="32" t="s">
        <v>107</v>
      </c>
      <c r="U90" s="21"/>
    </row>
    <row r="91" spans="1:21" ht="20.100000000000001" customHeight="1" x14ac:dyDescent="0.3">
      <c r="A91" s="44">
        <v>83</v>
      </c>
      <c r="B91" s="22">
        <v>44904</v>
      </c>
      <c r="C91" s="23"/>
      <c r="D91" s="24" t="s">
        <v>96</v>
      </c>
      <c r="E91" s="25"/>
      <c r="F91" s="26">
        <v>20</v>
      </c>
      <c r="G91" s="62" t="s">
        <v>18</v>
      </c>
      <c r="H91" s="26">
        <v>25</v>
      </c>
      <c r="I91" s="27">
        <f t="shared" ref="I91:I100" si="30">F91*H91</f>
        <v>500</v>
      </c>
      <c r="J91" s="28"/>
      <c r="K91" s="29">
        <v>5750</v>
      </c>
      <c r="L91" s="30"/>
      <c r="M91" s="31">
        <f t="shared" ref="M91:M100" si="31">K91*L91</f>
        <v>0</v>
      </c>
      <c r="N91" s="31">
        <f t="shared" ref="N91:N100" si="32">K91+M91</f>
        <v>5750</v>
      </c>
      <c r="O91" s="25"/>
      <c r="P91" s="22">
        <v>44904</v>
      </c>
      <c r="Q91" s="25"/>
      <c r="R91" s="32" t="s">
        <v>186</v>
      </c>
      <c r="S91" s="21"/>
      <c r="T91" s="32" t="s">
        <v>98</v>
      </c>
      <c r="U91" s="21"/>
    </row>
    <row r="92" spans="1:21" ht="20.100000000000001" customHeight="1" x14ac:dyDescent="0.3">
      <c r="A92" s="44">
        <v>84</v>
      </c>
      <c r="B92" s="22">
        <v>44904</v>
      </c>
      <c r="C92" s="23"/>
      <c r="D92" s="24" t="s">
        <v>287</v>
      </c>
      <c r="E92" s="25"/>
      <c r="F92" s="26">
        <v>8</v>
      </c>
      <c r="G92" s="62" t="s">
        <v>18</v>
      </c>
      <c r="H92" s="26">
        <v>25</v>
      </c>
      <c r="I92" s="27">
        <f t="shared" si="30"/>
        <v>200</v>
      </c>
      <c r="J92" s="28"/>
      <c r="K92" s="29">
        <v>24000</v>
      </c>
      <c r="L92" s="30"/>
      <c r="M92" s="31">
        <f t="shared" si="31"/>
        <v>0</v>
      </c>
      <c r="N92" s="31">
        <f t="shared" si="32"/>
        <v>24000</v>
      </c>
      <c r="O92" s="25"/>
      <c r="P92" s="22">
        <v>44907</v>
      </c>
      <c r="Q92" s="25"/>
      <c r="R92" s="32" t="s">
        <v>188</v>
      </c>
      <c r="S92" s="21"/>
      <c r="T92" s="32" t="s">
        <v>289</v>
      </c>
      <c r="U92" s="21"/>
    </row>
    <row r="93" spans="1:21" ht="20.100000000000001" customHeight="1" x14ac:dyDescent="0.3">
      <c r="A93" s="44">
        <v>85</v>
      </c>
      <c r="B93" s="22" t="s">
        <v>189</v>
      </c>
      <c r="C93" s="23"/>
      <c r="D93" s="24" t="s">
        <v>190</v>
      </c>
      <c r="E93" s="25"/>
      <c r="F93" s="26"/>
      <c r="G93" s="62" t="s">
        <v>18</v>
      </c>
      <c r="H93" s="26"/>
      <c r="I93" s="27">
        <f t="shared" si="30"/>
        <v>0</v>
      </c>
      <c r="J93" s="28"/>
      <c r="K93" s="29"/>
      <c r="L93" s="30"/>
      <c r="M93" s="31">
        <f t="shared" si="31"/>
        <v>0</v>
      </c>
      <c r="N93" s="31">
        <f t="shared" si="32"/>
        <v>0</v>
      </c>
      <c r="O93" s="25"/>
      <c r="P93" s="22">
        <v>44911</v>
      </c>
      <c r="Q93" s="25"/>
      <c r="R93" s="32" t="s">
        <v>191</v>
      </c>
      <c r="S93" s="21"/>
      <c r="T93" s="33" t="s">
        <v>192</v>
      </c>
      <c r="U93" s="21"/>
    </row>
    <row r="94" spans="1:21" ht="20.100000000000001" customHeight="1" x14ac:dyDescent="0.3">
      <c r="A94" s="44">
        <v>86</v>
      </c>
      <c r="B94" s="22">
        <v>44915</v>
      </c>
      <c r="C94" s="23"/>
      <c r="D94" s="24" t="s">
        <v>151</v>
      </c>
      <c r="E94" s="25"/>
      <c r="F94" s="26">
        <v>8</v>
      </c>
      <c r="G94" s="62" t="s">
        <v>18</v>
      </c>
      <c r="H94" s="26">
        <v>25</v>
      </c>
      <c r="I94" s="27">
        <f t="shared" si="30"/>
        <v>200</v>
      </c>
      <c r="J94" s="28"/>
      <c r="K94" s="29">
        <v>6500</v>
      </c>
      <c r="L94" s="30"/>
      <c r="M94" s="31">
        <f t="shared" si="31"/>
        <v>0</v>
      </c>
      <c r="N94" s="31">
        <f t="shared" si="32"/>
        <v>6500</v>
      </c>
      <c r="O94" s="25"/>
      <c r="P94" s="22">
        <v>44917</v>
      </c>
      <c r="Q94" s="25"/>
      <c r="R94" s="32" t="s">
        <v>193</v>
      </c>
      <c r="S94" s="21"/>
      <c r="T94" s="32" t="s">
        <v>30</v>
      </c>
      <c r="U94" s="21"/>
    </row>
    <row r="95" spans="1:21" ht="20.100000000000001" customHeight="1" x14ac:dyDescent="0.3">
      <c r="A95" s="44">
        <v>87</v>
      </c>
      <c r="B95" s="22">
        <v>44915</v>
      </c>
      <c r="C95" s="23"/>
      <c r="D95" s="24" t="s">
        <v>300</v>
      </c>
      <c r="E95" s="25"/>
      <c r="F95" s="26">
        <v>50</v>
      </c>
      <c r="G95" s="62" t="s">
        <v>18</v>
      </c>
      <c r="H95" s="26">
        <v>20</v>
      </c>
      <c r="I95" s="27">
        <f t="shared" si="30"/>
        <v>1000</v>
      </c>
      <c r="J95" s="28"/>
      <c r="K95" s="29">
        <v>1800</v>
      </c>
      <c r="L95" s="30"/>
      <c r="M95" s="31">
        <f t="shared" si="31"/>
        <v>0</v>
      </c>
      <c r="N95" s="31">
        <f t="shared" si="32"/>
        <v>1800</v>
      </c>
      <c r="O95" s="25"/>
      <c r="P95" s="22">
        <v>44917</v>
      </c>
      <c r="Q95" s="25"/>
      <c r="R95" s="32" t="s">
        <v>194</v>
      </c>
      <c r="S95" s="21"/>
      <c r="T95" s="32" t="s">
        <v>195</v>
      </c>
      <c r="U95" s="21"/>
    </row>
    <row r="96" spans="1:21" ht="20.100000000000001" customHeight="1" x14ac:dyDescent="0.3">
      <c r="A96" s="44">
        <v>88</v>
      </c>
      <c r="B96" s="22">
        <v>44915</v>
      </c>
      <c r="C96" s="23"/>
      <c r="D96" s="24" t="s">
        <v>46</v>
      </c>
      <c r="E96" s="25"/>
      <c r="F96" s="26">
        <v>12</v>
      </c>
      <c r="G96" s="62" t="s">
        <v>18</v>
      </c>
      <c r="H96" s="26">
        <v>25</v>
      </c>
      <c r="I96" s="27">
        <f t="shared" si="30"/>
        <v>300</v>
      </c>
      <c r="J96" s="28"/>
      <c r="K96" s="29">
        <v>1775</v>
      </c>
      <c r="L96" s="30"/>
      <c r="M96" s="31">
        <f t="shared" si="31"/>
        <v>0</v>
      </c>
      <c r="N96" s="31">
        <f t="shared" si="32"/>
        <v>1775</v>
      </c>
      <c r="O96" s="25"/>
      <c r="P96" s="22">
        <v>44917</v>
      </c>
      <c r="Q96" s="25"/>
      <c r="R96" s="32" t="s">
        <v>196</v>
      </c>
      <c r="S96" s="21"/>
      <c r="T96" s="32" t="s">
        <v>28</v>
      </c>
      <c r="U96" s="21"/>
    </row>
    <row r="97" spans="1:21" ht="20.100000000000001" customHeight="1" x14ac:dyDescent="0.3">
      <c r="A97" s="44">
        <v>89</v>
      </c>
      <c r="B97" s="22">
        <v>44915</v>
      </c>
      <c r="C97" s="23"/>
      <c r="D97" s="24" t="s">
        <v>43</v>
      </c>
      <c r="E97" s="25"/>
      <c r="F97" s="26">
        <v>20</v>
      </c>
      <c r="G97" s="62" t="s">
        <v>18</v>
      </c>
      <c r="H97" s="26">
        <v>25</v>
      </c>
      <c r="I97" s="27">
        <f t="shared" si="30"/>
        <v>500</v>
      </c>
      <c r="J97" s="28"/>
      <c r="K97" s="29">
        <v>14250</v>
      </c>
      <c r="L97" s="30"/>
      <c r="M97" s="31">
        <f t="shared" si="31"/>
        <v>0</v>
      </c>
      <c r="N97" s="31">
        <f t="shared" si="32"/>
        <v>14250</v>
      </c>
      <c r="O97" s="25"/>
      <c r="P97" s="22">
        <v>44917</v>
      </c>
      <c r="Q97" s="25"/>
      <c r="R97" s="32" t="s">
        <v>197</v>
      </c>
      <c r="S97" s="21"/>
      <c r="T97" s="32" t="s">
        <v>45</v>
      </c>
      <c r="U97" s="21"/>
    </row>
    <row r="98" spans="1:21" ht="20.100000000000001" customHeight="1" x14ac:dyDescent="0.3">
      <c r="A98" s="44">
        <v>90</v>
      </c>
      <c r="B98" s="22">
        <v>44918</v>
      </c>
      <c r="C98" s="23"/>
      <c r="D98" s="24" t="s">
        <v>23</v>
      </c>
      <c r="E98" s="25"/>
      <c r="F98" s="26">
        <v>20</v>
      </c>
      <c r="G98" s="62" t="s">
        <v>18</v>
      </c>
      <c r="H98" s="26">
        <v>25</v>
      </c>
      <c r="I98" s="27">
        <f t="shared" si="30"/>
        <v>500</v>
      </c>
      <c r="J98" s="28"/>
      <c r="K98" s="29">
        <v>18100</v>
      </c>
      <c r="L98" s="30"/>
      <c r="M98" s="31">
        <f t="shared" si="31"/>
        <v>0</v>
      </c>
      <c r="N98" s="31">
        <f t="shared" si="32"/>
        <v>18100</v>
      </c>
      <c r="O98" s="25"/>
      <c r="P98" s="22">
        <v>44919</v>
      </c>
      <c r="Q98" s="25"/>
      <c r="R98" s="32" t="s">
        <v>198</v>
      </c>
      <c r="S98" s="21"/>
      <c r="T98" s="32" t="s">
        <v>26</v>
      </c>
      <c r="U98" s="21"/>
    </row>
    <row r="99" spans="1:21" ht="20.100000000000001" customHeight="1" x14ac:dyDescent="0.3">
      <c r="A99" s="44">
        <v>91</v>
      </c>
      <c r="B99" s="22">
        <v>44918</v>
      </c>
      <c r="C99" s="23"/>
      <c r="D99" s="24" t="s">
        <v>200</v>
      </c>
      <c r="E99" s="25"/>
      <c r="F99" s="26">
        <v>8</v>
      </c>
      <c r="G99" s="62" t="s">
        <v>18</v>
      </c>
      <c r="H99" s="26">
        <v>25</v>
      </c>
      <c r="I99" s="27">
        <f t="shared" si="30"/>
        <v>200</v>
      </c>
      <c r="J99" s="28"/>
      <c r="K99" s="29">
        <v>14000</v>
      </c>
      <c r="L99" s="30"/>
      <c r="M99" s="31">
        <f t="shared" si="31"/>
        <v>0</v>
      </c>
      <c r="N99" s="31">
        <f t="shared" si="32"/>
        <v>14000</v>
      </c>
      <c r="O99" s="25"/>
      <c r="P99" s="22">
        <v>44919</v>
      </c>
      <c r="Q99" s="25"/>
      <c r="R99" s="32" t="s">
        <v>199</v>
      </c>
      <c r="S99" s="21"/>
      <c r="T99" s="32" t="s">
        <v>30</v>
      </c>
      <c r="U99" s="21"/>
    </row>
    <row r="100" spans="1:21" ht="20.100000000000001" customHeight="1" x14ac:dyDescent="0.3">
      <c r="A100" s="44">
        <v>92</v>
      </c>
      <c r="B100" s="22">
        <v>44923</v>
      </c>
      <c r="C100" s="23"/>
      <c r="D100" s="24" t="s">
        <v>69</v>
      </c>
      <c r="E100" s="25"/>
      <c r="F100" s="26">
        <v>20</v>
      </c>
      <c r="G100" s="62" t="s">
        <v>18</v>
      </c>
      <c r="H100" s="26">
        <v>25</v>
      </c>
      <c r="I100" s="27">
        <f t="shared" si="30"/>
        <v>500</v>
      </c>
      <c r="J100" s="28"/>
      <c r="K100" s="29">
        <v>5500</v>
      </c>
      <c r="L100" s="30"/>
      <c r="M100" s="31">
        <f t="shared" si="31"/>
        <v>0</v>
      </c>
      <c r="N100" s="31">
        <f t="shared" si="32"/>
        <v>5500</v>
      </c>
      <c r="O100" s="25"/>
      <c r="P100" s="22">
        <v>44924</v>
      </c>
      <c r="Q100" s="25"/>
      <c r="R100" s="32" t="s">
        <v>201</v>
      </c>
      <c r="S100" s="21"/>
      <c r="T100" s="32" t="s">
        <v>74</v>
      </c>
      <c r="U100" s="21"/>
    </row>
    <row r="101" spans="1:21" ht="20.100000000000001" customHeight="1" x14ac:dyDescent="0.3">
      <c r="A101" s="44">
        <v>93</v>
      </c>
      <c r="B101" s="22">
        <v>44923</v>
      </c>
      <c r="C101" s="23"/>
      <c r="D101" s="24" t="s">
        <v>155</v>
      </c>
      <c r="E101" s="25"/>
      <c r="F101" s="26">
        <v>20</v>
      </c>
      <c r="G101" s="62" t="s">
        <v>18</v>
      </c>
      <c r="H101" s="26">
        <v>25</v>
      </c>
      <c r="I101" s="27">
        <f t="shared" ref="I101:I120" si="33">F101*H101</f>
        <v>500</v>
      </c>
      <c r="J101" s="28"/>
      <c r="K101" s="29">
        <v>1250</v>
      </c>
      <c r="L101" s="30"/>
      <c r="M101" s="31">
        <f t="shared" ref="M101:M120" si="34">K101*L101</f>
        <v>0</v>
      </c>
      <c r="N101" s="31">
        <f t="shared" ref="N101:N120" si="35">K101+M101</f>
        <v>1250</v>
      </c>
      <c r="O101" s="25"/>
      <c r="P101" s="22">
        <v>44924</v>
      </c>
      <c r="Q101" s="25"/>
      <c r="R101" s="32" t="s">
        <v>202</v>
      </c>
      <c r="S101" s="21"/>
      <c r="T101" s="32" t="s">
        <v>160</v>
      </c>
      <c r="U101" s="21"/>
    </row>
    <row r="102" spans="1:21" ht="20.100000000000001" customHeight="1" x14ac:dyDescent="0.3">
      <c r="A102" s="64">
        <v>94</v>
      </c>
      <c r="B102" s="22">
        <v>44924</v>
      </c>
      <c r="C102" s="23"/>
      <c r="D102" s="24" t="s">
        <v>99</v>
      </c>
      <c r="E102" s="25"/>
      <c r="F102" s="26">
        <v>25</v>
      </c>
      <c r="G102" s="62" t="s">
        <v>18</v>
      </c>
      <c r="H102" s="26">
        <v>10</v>
      </c>
      <c r="I102" s="27">
        <f t="shared" si="33"/>
        <v>250</v>
      </c>
      <c r="J102" s="28"/>
      <c r="K102" s="29">
        <v>7050</v>
      </c>
      <c r="L102" s="30"/>
      <c r="M102" s="31">
        <f t="shared" si="34"/>
        <v>0</v>
      </c>
      <c r="N102" s="31">
        <f t="shared" si="35"/>
        <v>7050</v>
      </c>
      <c r="O102" s="25"/>
      <c r="P102" s="22">
        <v>44929</v>
      </c>
      <c r="Q102" s="25"/>
      <c r="R102" s="32" t="s">
        <v>203</v>
      </c>
      <c r="S102" s="21"/>
      <c r="T102" s="32" t="s">
        <v>101</v>
      </c>
      <c r="U102" s="21"/>
    </row>
    <row r="103" spans="1:21" ht="20.100000000000001" customHeight="1" x14ac:dyDescent="0.3">
      <c r="A103" s="44">
        <v>95</v>
      </c>
      <c r="B103" s="22">
        <v>44935</v>
      </c>
      <c r="C103" s="23"/>
      <c r="D103" s="24" t="s">
        <v>64</v>
      </c>
      <c r="E103" s="25"/>
      <c r="F103" s="26">
        <v>12</v>
      </c>
      <c r="G103" s="62" t="s">
        <v>56</v>
      </c>
      <c r="H103" s="26">
        <v>5</v>
      </c>
      <c r="I103" s="27">
        <f t="shared" si="33"/>
        <v>60</v>
      </c>
      <c r="J103" s="28"/>
      <c r="K103" s="29">
        <v>3293</v>
      </c>
      <c r="L103" s="30">
        <v>0.18</v>
      </c>
      <c r="M103" s="31">
        <f t="shared" si="34"/>
        <v>592.74</v>
      </c>
      <c r="N103" s="31">
        <f t="shared" si="35"/>
        <v>3885.74</v>
      </c>
      <c r="O103" s="25"/>
      <c r="P103" s="22">
        <v>44935</v>
      </c>
      <c r="Q103" s="25"/>
      <c r="R103" s="32" t="s">
        <v>205</v>
      </c>
      <c r="S103" s="21"/>
      <c r="T103" s="32" t="s">
        <v>68</v>
      </c>
      <c r="U103" s="21"/>
    </row>
    <row r="104" spans="1:21" ht="20.100000000000001" customHeight="1" x14ac:dyDescent="0.3">
      <c r="A104" s="44">
        <v>96</v>
      </c>
      <c r="B104" s="22">
        <v>44935</v>
      </c>
      <c r="C104" s="23"/>
      <c r="D104" s="24" t="s">
        <v>206</v>
      </c>
      <c r="E104" s="25"/>
      <c r="F104" s="26">
        <v>12</v>
      </c>
      <c r="G104" s="62" t="s">
        <v>66</v>
      </c>
      <c r="H104" s="26">
        <v>500</v>
      </c>
      <c r="I104" s="27">
        <f t="shared" si="33"/>
        <v>6000</v>
      </c>
      <c r="J104" s="28"/>
      <c r="K104" s="29">
        <v>405</v>
      </c>
      <c r="L104" s="30">
        <v>0.18</v>
      </c>
      <c r="M104" s="31">
        <f t="shared" si="34"/>
        <v>72.899999999999991</v>
      </c>
      <c r="N104" s="31">
        <f t="shared" si="35"/>
        <v>477.9</v>
      </c>
      <c r="O104" s="25"/>
      <c r="P104" s="22">
        <v>44935</v>
      </c>
      <c r="Q104" s="25"/>
      <c r="R104" s="32" t="s">
        <v>205</v>
      </c>
      <c r="S104" s="21"/>
      <c r="T104" s="32" t="s">
        <v>68</v>
      </c>
      <c r="U104" s="21"/>
    </row>
    <row r="105" spans="1:21" ht="20.100000000000001" customHeight="1" x14ac:dyDescent="0.3">
      <c r="A105" s="44">
        <v>97</v>
      </c>
      <c r="B105" s="22">
        <v>44935</v>
      </c>
      <c r="C105" s="23"/>
      <c r="D105" s="24" t="s">
        <v>204</v>
      </c>
      <c r="E105" s="25"/>
      <c r="F105" s="26">
        <v>17</v>
      </c>
      <c r="G105" s="62" t="s">
        <v>18</v>
      </c>
      <c r="H105" s="26">
        <v>30</v>
      </c>
      <c r="I105" s="27">
        <f t="shared" si="33"/>
        <v>510</v>
      </c>
      <c r="J105" s="28"/>
      <c r="K105" s="29">
        <v>1750</v>
      </c>
      <c r="L105" s="30"/>
      <c r="M105" s="31">
        <f t="shared" si="34"/>
        <v>0</v>
      </c>
      <c r="N105" s="31">
        <f t="shared" si="35"/>
        <v>1750</v>
      </c>
      <c r="O105" s="25"/>
      <c r="P105" s="22">
        <v>44935</v>
      </c>
      <c r="Q105" s="25"/>
      <c r="R105" s="32" t="s">
        <v>205</v>
      </c>
      <c r="S105" s="21"/>
      <c r="T105" s="32" t="s">
        <v>68</v>
      </c>
      <c r="U105" s="21"/>
    </row>
    <row r="106" spans="1:21" ht="20.100000000000001" customHeight="1" x14ac:dyDescent="0.3">
      <c r="A106" s="44">
        <v>98</v>
      </c>
      <c r="B106" s="22">
        <v>44935</v>
      </c>
      <c r="C106" s="23"/>
      <c r="D106" s="24" t="s">
        <v>242</v>
      </c>
      <c r="E106" s="25"/>
      <c r="F106" s="26">
        <v>25</v>
      </c>
      <c r="G106" s="62" t="s">
        <v>51</v>
      </c>
      <c r="H106" s="26">
        <v>1000</v>
      </c>
      <c r="I106" s="27">
        <f t="shared" si="33"/>
        <v>25000</v>
      </c>
      <c r="J106" s="28"/>
      <c r="K106" s="29">
        <v>899</v>
      </c>
      <c r="L106" s="30">
        <v>0.05</v>
      </c>
      <c r="M106" s="31">
        <f t="shared" si="34"/>
        <v>44.95</v>
      </c>
      <c r="N106" s="31">
        <f t="shared" si="35"/>
        <v>943.95</v>
      </c>
      <c r="O106" s="25"/>
      <c r="P106" s="22">
        <v>44935</v>
      </c>
      <c r="Q106" s="25"/>
      <c r="R106" s="32" t="s">
        <v>207</v>
      </c>
      <c r="S106" s="21"/>
      <c r="T106" s="32" t="s">
        <v>124</v>
      </c>
      <c r="U106" s="21"/>
    </row>
    <row r="107" spans="1:21" ht="20.100000000000001" customHeight="1" x14ac:dyDescent="0.3">
      <c r="A107" s="44">
        <v>99</v>
      </c>
      <c r="B107" s="22">
        <v>44935</v>
      </c>
      <c r="C107" s="23"/>
      <c r="D107" s="24" t="s">
        <v>127</v>
      </c>
      <c r="E107" s="25"/>
      <c r="F107" s="26">
        <v>25</v>
      </c>
      <c r="G107" s="62" t="s">
        <v>51</v>
      </c>
      <c r="H107" s="26">
        <v>1000</v>
      </c>
      <c r="I107" s="27">
        <f t="shared" si="33"/>
        <v>25000</v>
      </c>
      <c r="J107" s="28"/>
      <c r="K107" s="29">
        <v>2425</v>
      </c>
      <c r="L107" s="30">
        <v>0.05</v>
      </c>
      <c r="M107" s="31">
        <f t="shared" si="34"/>
        <v>121.25</v>
      </c>
      <c r="N107" s="31">
        <f t="shared" si="35"/>
        <v>2546.25</v>
      </c>
      <c r="O107" s="25"/>
      <c r="P107" s="22">
        <v>44935</v>
      </c>
      <c r="Q107" s="25"/>
      <c r="R107" s="32" t="s">
        <v>207</v>
      </c>
      <c r="S107" s="21"/>
      <c r="T107" s="32" t="s">
        <v>124</v>
      </c>
      <c r="U107" s="21"/>
    </row>
    <row r="108" spans="1:21" ht="20.100000000000001" customHeight="1" x14ac:dyDescent="0.3">
      <c r="A108" s="44">
        <v>100</v>
      </c>
      <c r="B108" s="22">
        <v>44935</v>
      </c>
      <c r="C108" s="23"/>
      <c r="D108" s="24" t="s">
        <v>175</v>
      </c>
      <c r="E108" s="25"/>
      <c r="F108" s="26">
        <v>100</v>
      </c>
      <c r="G108" s="62" t="s">
        <v>52</v>
      </c>
      <c r="H108" s="26">
        <v>50</v>
      </c>
      <c r="I108" s="27">
        <f t="shared" si="33"/>
        <v>5000</v>
      </c>
      <c r="J108" s="28"/>
      <c r="K108" s="29">
        <v>116</v>
      </c>
      <c r="L108" s="30">
        <v>0.05</v>
      </c>
      <c r="M108" s="31">
        <f t="shared" si="34"/>
        <v>5.8000000000000007</v>
      </c>
      <c r="N108" s="31">
        <f t="shared" si="35"/>
        <v>121.8</v>
      </c>
      <c r="O108" s="25"/>
      <c r="P108" s="22">
        <v>44935</v>
      </c>
      <c r="Q108" s="25"/>
      <c r="R108" s="32" t="s">
        <v>208</v>
      </c>
      <c r="S108" s="21"/>
      <c r="T108" s="32" t="s">
        <v>49</v>
      </c>
      <c r="U108" s="21"/>
    </row>
    <row r="109" spans="1:21" ht="20.100000000000001" customHeight="1" x14ac:dyDescent="0.3">
      <c r="A109" s="44">
        <v>101</v>
      </c>
      <c r="B109" s="22">
        <v>44935</v>
      </c>
      <c r="C109" s="23"/>
      <c r="D109" s="24" t="s">
        <v>130</v>
      </c>
      <c r="E109" s="25"/>
      <c r="F109" s="26">
        <v>60</v>
      </c>
      <c r="G109" s="62" t="s">
        <v>51</v>
      </c>
      <c r="H109" s="26">
        <v>2500</v>
      </c>
      <c r="I109" s="27">
        <f t="shared" si="33"/>
        <v>150000</v>
      </c>
      <c r="J109" s="28"/>
      <c r="K109" s="29">
        <v>550</v>
      </c>
      <c r="L109" s="30">
        <v>0.05</v>
      </c>
      <c r="M109" s="31">
        <f t="shared" si="34"/>
        <v>27.5</v>
      </c>
      <c r="N109" s="31">
        <f t="shared" si="35"/>
        <v>577.5</v>
      </c>
      <c r="O109" s="25"/>
      <c r="P109" s="22">
        <v>44935</v>
      </c>
      <c r="Q109" s="25"/>
      <c r="R109" s="32" t="s">
        <v>208</v>
      </c>
      <c r="S109" s="21"/>
      <c r="T109" s="32" t="s">
        <v>49</v>
      </c>
      <c r="U109" s="21"/>
    </row>
    <row r="110" spans="1:21" ht="20.100000000000001" customHeight="1" x14ac:dyDescent="0.3">
      <c r="A110" s="44">
        <v>102</v>
      </c>
      <c r="B110" s="22">
        <v>44935</v>
      </c>
      <c r="C110" s="23"/>
      <c r="D110" s="24" t="s">
        <v>147</v>
      </c>
      <c r="E110" s="25"/>
      <c r="F110" s="26">
        <v>25</v>
      </c>
      <c r="G110" s="62" t="s">
        <v>51</v>
      </c>
      <c r="H110" s="26">
        <v>1000</v>
      </c>
      <c r="I110" s="27">
        <f t="shared" si="33"/>
        <v>25000</v>
      </c>
      <c r="J110" s="28"/>
      <c r="K110" s="29">
        <v>1732.5</v>
      </c>
      <c r="L110" s="30">
        <v>0.05</v>
      </c>
      <c r="M110" s="31">
        <f t="shared" si="34"/>
        <v>86.625</v>
      </c>
      <c r="N110" s="31">
        <f t="shared" si="35"/>
        <v>1819.125</v>
      </c>
      <c r="O110" s="25"/>
      <c r="P110" s="22">
        <v>44935</v>
      </c>
      <c r="Q110" s="25"/>
      <c r="R110" s="32" t="s">
        <v>210</v>
      </c>
      <c r="S110" s="21"/>
      <c r="T110" s="32" t="s">
        <v>139</v>
      </c>
      <c r="U110" s="21"/>
    </row>
    <row r="111" spans="1:21" ht="20.100000000000001" customHeight="1" x14ac:dyDescent="0.3">
      <c r="A111" s="44">
        <v>103</v>
      </c>
      <c r="B111" s="22">
        <v>44935</v>
      </c>
      <c r="C111" s="23"/>
      <c r="D111" s="24" t="s">
        <v>140</v>
      </c>
      <c r="E111" s="25"/>
      <c r="F111" s="26">
        <v>25</v>
      </c>
      <c r="G111" s="62" t="s">
        <v>51</v>
      </c>
      <c r="H111" s="26">
        <v>1000</v>
      </c>
      <c r="I111" s="27">
        <f t="shared" si="33"/>
        <v>25000</v>
      </c>
      <c r="J111" s="28"/>
      <c r="K111" s="29">
        <v>1050</v>
      </c>
      <c r="L111" s="30">
        <v>0.05</v>
      </c>
      <c r="M111" s="31">
        <f t="shared" si="34"/>
        <v>52.5</v>
      </c>
      <c r="N111" s="31">
        <f t="shared" si="35"/>
        <v>1102.5</v>
      </c>
      <c r="O111" s="25"/>
      <c r="P111" s="22">
        <v>44935</v>
      </c>
      <c r="Q111" s="25"/>
      <c r="R111" s="32" t="s">
        <v>210</v>
      </c>
      <c r="S111" s="21"/>
      <c r="T111" s="32" t="s">
        <v>139</v>
      </c>
      <c r="U111" s="21"/>
    </row>
    <row r="112" spans="1:21" ht="20.100000000000001" customHeight="1" x14ac:dyDescent="0.3">
      <c r="A112" s="44">
        <v>104</v>
      </c>
      <c r="B112" s="22">
        <v>44935</v>
      </c>
      <c r="C112" s="23"/>
      <c r="D112" s="24" t="s">
        <v>209</v>
      </c>
      <c r="E112" s="25"/>
      <c r="F112" s="26">
        <v>25</v>
      </c>
      <c r="G112" s="62" t="s">
        <v>51</v>
      </c>
      <c r="H112" s="26">
        <v>1000</v>
      </c>
      <c r="I112" s="27">
        <f t="shared" si="33"/>
        <v>25000</v>
      </c>
      <c r="J112" s="28"/>
      <c r="K112" s="29">
        <v>3100</v>
      </c>
      <c r="L112" s="30">
        <v>0.05</v>
      </c>
      <c r="M112" s="31">
        <f t="shared" si="34"/>
        <v>155</v>
      </c>
      <c r="N112" s="31">
        <f t="shared" si="35"/>
        <v>3255</v>
      </c>
      <c r="O112" s="25"/>
      <c r="P112" s="22">
        <v>44935</v>
      </c>
      <c r="Q112" s="25"/>
      <c r="R112" s="32" t="s">
        <v>210</v>
      </c>
      <c r="S112" s="21"/>
      <c r="T112" s="32" t="s">
        <v>139</v>
      </c>
      <c r="U112" s="21"/>
    </row>
    <row r="113" spans="1:21" ht="20.100000000000001" customHeight="1" x14ac:dyDescent="0.3">
      <c r="A113" s="44">
        <v>105</v>
      </c>
      <c r="B113" s="22">
        <v>44935</v>
      </c>
      <c r="C113" s="23"/>
      <c r="D113" s="24" t="s">
        <v>219</v>
      </c>
      <c r="E113" s="25"/>
      <c r="F113" s="26">
        <v>25</v>
      </c>
      <c r="G113" s="62" t="s">
        <v>51</v>
      </c>
      <c r="H113" s="26">
        <v>1000</v>
      </c>
      <c r="I113" s="27">
        <f t="shared" si="33"/>
        <v>25000</v>
      </c>
      <c r="J113" s="28"/>
      <c r="K113" s="29">
        <v>5100</v>
      </c>
      <c r="L113" s="30">
        <v>0.05</v>
      </c>
      <c r="M113" s="31">
        <f t="shared" si="34"/>
        <v>255</v>
      </c>
      <c r="N113" s="31">
        <f t="shared" si="35"/>
        <v>5355</v>
      </c>
      <c r="O113" s="25"/>
      <c r="P113" s="22">
        <v>44935</v>
      </c>
      <c r="Q113" s="25"/>
      <c r="R113" s="32" t="s">
        <v>210</v>
      </c>
      <c r="S113" s="21"/>
      <c r="T113" s="32" t="s">
        <v>139</v>
      </c>
      <c r="U113" s="21"/>
    </row>
    <row r="114" spans="1:21" ht="20.100000000000001" customHeight="1" x14ac:dyDescent="0.3">
      <c r="A114" s="44">
        <v>106</v>
      </c>
      <c r="B114" s="22">
        <v>44935</v>
      </c>
      <c r="C114" s="23"/>
      <c r="D114" s="24" t="s">
        <v>17</v>
      </c>
      <c r="E114" s="25"/>
      <c r="F114" s="26">
        <v>100</v>
      </c>
      <c r="G114" s="62" t="s">
        <v>18</v>
      </c>
      <c r="H114" s="26">
        <v>1</v>
      </c>
      <c r="I114" s="27">
        <f t="shared" si="33"/>
        <v>100</v>
      </c>
      <c r="J114" s="28"/>
      <c r="K114" s="29">
        <v>720</v>
      </c>
      <c r="L114" s="30"/>
      <c r="M114" s="31">
        <f t="shared" si="34"/>
        <v>0</v>
      </c>
      <c r="N114" s="31">
        <f t="shared" si="35"/>
        <v>720</v>
      </c>
      <c r="O114" s="25"/>
      <c r="P114" s="22">
        <v>44935</v>
      </c>
      <c r="Q114" s="25"/>
      <c r="R114" s="32" t="s">
        <v>211</v>
      </c>
      <c r="S114" s="21"/>
      <c r="T114" s="32" t="s">
        <v>19</v>
      </c>
      <c r="U114" s="21"/>
    </row>
    <row r="115" spans="1:21" ht="20.100000000000001" customHeight="1" x14ac:dyDescent="0.3">
      <c r="A115" s="44">
        <v>107</v>
      </c>
      <c r="B115" s="22">
        <v>44935</v>
      </c>
      <c r="C115" s="23"/>
      <c r="D115" s="24" t="s">
        <v>35</v>
      </c>
      <c r="E115" s="25"/>
      <c r="F115" s="26">
        <v>10</v>
      </c>
      <c r="G115" s="62" t="s">
        <v>18</v>
      </c>
      <c r="H115" s="26">
        <v>10</v>
      </c>
      <c r="I115" s="27">
        <f t="shared" si="33"/>
        <v>100</v>
      </c>
      <c r="J115" s="28"/>
      <c r="K115" s="29">
        <v>4000</v>
      </c>
      <c r="L115" s="30"/>
      <c r="M115" s="31">
        <f t="shared" si="34"/>
        <v>0</v>
      </c>
      <c r="N115" s="31">
        <f t="shared" si="35"/>
        <v>4000</v>
      </c>
      <c r="O115" s="25"/>
      <c r="P115" s="22">
        <v>44935</v>
      </c>
      <c r="Q115" s="25"/>
      <c r="R115" s="32" t="s">
        <v>212</v>
      </c>
      <c r="S115" s="21"/>
      <c r="T115" s="32" t="s">
        <v>40</v>
      </c>
      <c r="U115" s="21"/>
    </row>
    <row r="116" spans="1:21" ht="20.100000000000001" customHeight="1" x14ac:dyDescent="0.3">
      <c r="A116" s="44">
        <v>108</v>
      </c>
      <c r="B116" s="65">
        <v>44915</v>
      </c>
      <c r="C116" s="23"/>
      <c r="D116" s="24" t="s">
        <v>21</v>
      </c>
      <c r="E116" s="25"/>
      <c r="F116" s="26">
        <v>20</v>
      </c>
      <c r="G116" s="62" t="s">
        <v>18</v>
      </c>
      <c r="H116" s="26">
        <v>25</v>
      </c>
      <c r="I116" s="27">
        <f t="shared" si="33"/>
        <v>500</v>
      </c>
      <c r="J116" s="28"/>
      <c r="K116" s="29">
        <v>5254.25</v>
      </c>
      <c r="L116" s="30">
        <v>0.18</v>
      </c>
      <c r="M116" s="31">
        <f t="shared" si="34"/>
        <v>945.76499999999999</v>
      </c>
      <c r="N116" s="31">
        <f t="shared" si="35"/>
        <v>6200.0150000000003</v>
      </c>
      <c r="O116" s="25"/>
      <c r="P116" s="22">
        <v>44938</v>
      </c>
      <c r="Q116" s="25"/>
      <c r="R116" s="32" t="s">
        <v>213</v>
      </c>
      <c r="S116" s="21"/>
      <c r="T116" s="32" t="s">
        <v>214</v>
      </c>
      <c r="U116" s="21"/>
    </row>
    <row r="117" spans="1:21" ht="20.100000000000001" customHeight="1" x14ac:dyDescent="0.3">
      <c r="A117" s="44">
        <v>109</v>
      </c>
      <c r="B117" s="22">
        <v>44939</v>
      </c>
      <c r="C117" s="23"/>
      <c r="D117" s="24" t="s">
        <v>102</v>
      </c>
      <c r="E117" s="25"/>
      <c r="F117" s="26">
        <v>24</v>
      </c>
      <c r="G117" s="62" t="s">
        <v>52</v>
      </c>
      <c r="H117" s="26">
        <v>960</v>
      </c>
      <c r="I117" s="27">
        <f t="shared" si="33"/>
        <v>23040</v>
      </c>
      <c r="J117" s="28"/>
      <c r="K117" s="29">
        <v>9300</v>
      </c>
      <c r="L117" s="30">
        <v>0.12</v>
      </c>
      <c r="M117" s="31">
        <f t="shared" si="34"/>
        <v>1116</v>
      </c>
      <c r="N117" s="31">
        <f t="shared" si="35"/>
        <v>10416</v>
      </c>
      <c r="O117" s="25"/>
      <c r="P117" s="22">
        <v>44940</v>
      </c>
      <c r="Q117" s="25"/>
      <c r="R117" s="32" t="s">
        <v>215</v>
      </c>
      <c r="S117" s="21"/>
      <c r="T117" s="32" t="s">
        <v>104</v>
      </c>
      <c r="U117" s="21"/>
    </row>
    <row r="118" spans="1:21" ht="20.100000000000001" customHeight="1" x14ac:dyDescent="0.3">
      <c r="A118" s="44">
        <v>110</v>
      </c>
      <c r="B118" s="22">
        <v>44944</v>
      </c>
      <c r="C118" s="23"/>
      <c r="D118" s="24" t="s">
        <v>216</v>
      </c>
      <c r="E118" s="25"/>
      <c r="F118" s="26">
        <v>20</v>
      </c>
      <c r="G118" s="62" t="s">
        <v>18</v>
      </c>
      <c r="H118" s="26">
        <v>25</v>
      </c>
      <c r="I118" s="27">
        <f t="shared" si="33"/>
        <v>500</v>
      </c>
      <c r="J118" s="28"/>
      <c r="K118" s="29">
        <v>1750</v>
      </c>
      <c r="L118" s="30"/>
      <c r="M118" s="31">
        <f t="shared" si="34"/>
        <v>0</v>
      </c>
      <c r="N118" s="31">
        <f t="shared" si="35"/>
        <v>1750</v>
      </c>
      <c r="O118" s="25"/>
      <c r="P118" s="22">
        <v>44944</v>
      </c>
      <c r="Q118" s="25"/>
      <c r="R118" s="32" t="s">
        <v>217</v>
      </c>
      <c r="S118" s="21"/>
      <c r="T118" s="32" t="s">
        <v>28</v>
      </c>
      <c r="U118" s="21"/>
    </row>
    <row r="119" spans="1:21" ht="20.100000000000001" customHeight="1" x14ac:dyDescent="0.3">
      <c r="A119" s="44">
        <v>111</v>
      </c>
      <c r="B119" s="22">
        <v>44944</v>
      </c>
      <c r="C119" s="23"/>
      <c r="D119" s="24" t="s">
        <v>36</v>
      </c>
      <c r="E119" s="25"/>
      <c r="F119" s="26">
        <v>300</v>
      </c>
      <c r="G119" s="62" t="s">
        <v>18</v>
      </c>
      <c r="H119" s="26">
        <v>1</v>
      </c>
      <c r="I119" s="27">
        <f t="shared" si="33"/>
        <v>300</v>
      </c>
      <c r="J119" s="28"/>
      <c r="K119" s="29">
        <v>400</v>
      </c>
      <c r="L119" s="30"/>
      <c r="M119" s="31">
        <f t="shared" si="34"/>
        <v>0</v>
      </c>
      <c r="N119" s="31">
        <f t="shared" si="35"/>
        <v>400</v>
      </c>
      <c r="O119" s="25"/>
      <c r="P119" s="22">
        <v>44944</v>
      </c>
      <c r="Q119" s="25"/>
      <c r="R119" s="32" t="s">
        <v>218</v>
      </c>
      <c r="S119" s="21"/>
      <c r="T119" s="32" t="s">
        <v>41</v>
      </c>
      <c r="U119" s="21"/>
    </row>
    <row r="120" spans="1:21" ht="20.100000000000001" customHeight="1" x14ac:dyDescent="0.3">
      <c r="A120" s="44">
        <v>112</v>
      </c>
      <c r="B120" s="22">
        <v>44950</v>
      </c>
      <c r="C120" s="23"/>
      <c r="D120" s="24" t="s">
        <v>152</v>
      </c>
      <c r="E120" s="25"/>
      <c r="F120" s="26">
        <v>25</v>
      </c>
      <c r="G120" s="62" t="s">
        <v>18</v>
      </c>
      <c r="H120" s="26">
        <v>20</v>
      </c>
      <c r="I120" s="27">
        <f t="shared" si="33"/>
        <v>500</v>
      </c>
      <c r="J120" s="28"/>
      <c r="K120" s="29">
        <v>3000</v>
      </c>
      <c r="L120" s="30"/>
      <c r="M120" s="31">
        <f t="shared" si="34"/>
        <v>0</v>
      </c>
      <c r="N120" s="31">
        <f t="shared" si="35"/>
        <v>3000</v>
      </c>
      <c r="O120" s="25"/>
      <c r="P120" s="22">
        <v>44950</v>
      </c>
      <c r="Q120" s="25"/>
      <c r="R120" s="32" t="s">
        <v>220</v>
      </c>
      <c r="S120" s="21"/>
      <c r="T120" s="32" t="s">
        <v>154</v>
      </c>
      <c r="U120" s="21"/>
    </row>
    <row r="121" spans="1:21" ht="20.100000000000001" customHeight="1" x14ac:dyDescent="0.3">
      <c r="A121" s="44">
        <v>113</v>
      </c>
      <c r="B121" s="22">
        <v>44951</v>
      </c>
      <c r="C121" s="23"/>
      <c r="D121" s="24" t="s">
        <v>221</v>
      </c>
      <c r="E121" s="25"/>
      <c r="F121" s="26">
        <v>20</v>
      </c>
      <c r="G121" s="62" t="s">
        <v>66</v>
      </c>
      <c r="H121" s="26">
        <v>5.625</v>
      </c>
      <c r="I121" s="27">
        <f t="shared" ref="I121:I140" si="36">F121*H121</f>
        <v>112.5</v>
      </c>
      <c r="J121" s="28"/>
      <c r="K121" s="29">
        <v>320</v>
      </c>
      <c r="L121" s="30">
        <v>0.12</v>
      </c>
      <c r="M121" s="31">
        <f t="shared" ref="M121:M140" si="37">K121*L121</f>
        <v>38.4</v>
      </c>
      <c r="N121" s="31">
        <f t="shared" ref="N121:N140" si="38">K121+M121</f>
        <v>358.4</v>
      </c>
      <c r="O121" s="25"/>
      <c r="P121" s="22">
        <v>44951</v>
      </c>
      <c r="Q121" s="25"/>
      <c r="R121" s="32" t="s">
        <v>222</v>
      </c>
      <c r="S121" s="21"/>
      <c r="T121" s="32" t="s">
        <v>49</v>
      </c>
      <c r="U121" s="21"/>
    </row>
    <row r="122" spans="1:21" ht="20.100000000000001" customHeight="1" x14ac:dyDescent="0.3">
      <c r="A122" s="44">
        <v>114</v>
      </c>
      <c r="B122" s="65">
        <v>44935</v>
      </c>
      <c r="C122" s="23"/>
      <c r="D122" s="24" t="s">
        <v>223</v>
      </c>
      <c r="E122" s="25"/>
      <c r="F122" s="26">
        <v>50</v>
      </c>
      <c r="G122" s="62" t="s">
        <v>66</v>
      </c>
      <c r="H122" s="26">
        <v>100</v>
      </c>
      <c r="I122" s="27">
        <f t="shared" si="36"/>
        <v>5000</v>
      </c>
      <c r="J122" s="28"/>
      <c r="K122" s="29">
        <v>1135.5899999999999</v>
      </c>
      <c r="L122" s="30">
        <v>0.18</v>
      </c>
      <c r="M122" s="31">
        <f t="shared" si="37"/>
        <v>204.40619999999998</v>
      </c>
      <c r="N122" s="31">
        <f t="shared" si="38"/>
        <v>1339.9961999999998</v>
      </c>
      <c r="O122" s="25"/>
      <c r="P122" s="22">
        <v>44958</v>
      </c>
      <c r="Q122" s="25"/>
      <c r="R122" s="32" t="s">
        <v>224</v>
      </c>
      <c r="S122" s="21"/>
      <c r="T122" s="32" t="s">
        <v>179</v>
      </c>
      <c r="U122" s="21"/>
    </row>
    <row r="123" spans="1:21" ht="20.100000000000001" customHeight="1" x14ac:dyDescent="0.3">
      <c r="A123" s="44">
        <v>115</v>
      </c>
      <c r="B123" s="22">
        <v>44968</v>
      </c>
      <c r="C123" s="23"/>
      <c r="D123" s="24" t="s">
        <v>225</v>
      </c>
      <c r="E123" s="25"/>
      <c r="F123" s="26">
        <v>20</v>
      </c>
      <c r="G123" s="62" t="s">
        <v>56</v>
      </c>
      <c r="H123" s="26">
        <v>5</v>
      </c>
      <c r="I123" s="27">
        <f t="shared" si="36"/>
        <v>100</v>
      </c>
      <c r="J123" s="28"/>
      <c r="K123" s="29">
        <v>515</v>
      </c>
      <c r="L123" s="30"/>
      <c r="M123" s="31">
        <f t="shared" si="37"/>
        <v>0</v>
      </c>
      <c r="N123" s="31">
        <f t="shared" si="38"/>
        <v>515</v>
      </c>
      <c r="O123" s="25"/>
      <c r="P123" s="22">
        <v>44968</v>
      </c>
      <c r="Q123" s="25"/>
      <c r="R123" s="32" t="s">
        <v>231</v>
      </c>
      <c r="S123" s="21"/>
      <c r="T123" s="32" t="s">
        <v>28</v>
      </c>
      <c r="U123" s="21"/>
    </row>
    <row r="124" spans="1:21" ht="20.100000000000001" customHeight="1" x14ac:dyDescent="0.3">
      <c r="A124" s="44">
        <v>116</v>
      </c>
      <c r="B124" s="22">
        <v>44968</v>
      </c>
      <c r="C124" s="23"/>
      <c r="D124" s="24" t="s">
        <v>226</v>
      </c>
      <c r="E124" s="25"/>
      <c r="F124" s="26">
        <v>50</v>
      </c>
      <c r="G124" s="62" t="s">
        <v>230</v>
      </c>
      <c r="H124" s="26">
        <v>100</v>
      </c>
      <c r="I124" s="27">
        <f t="shared" si="36"/>
        <v>5000</v>
      </c>
      <c r="J124" s="28"/>
      <c r="K124" s="29">
        <v>105</v>
      </c>
      <c r="L124" s="30">
        <v>0.12</v>
      </c>
      <c r="M124" s="31">
        <f t="shared" si="37"/>
        <v>12.6</v>
      </c>
      <c r="N124" s="31">
        <f t="shared" si="38"/>
        <v>117.6</v>
      </c>
      <c r="O124" s="25"/>
      <c r="P124" s="22">
        <v>44968</v>
      </c>
      <c r="Q124" s="25"/>
      <c r="R124" s="32" t="s">
        <v>231</v>
      </c>
      <c r="S124" s="21"/>
      <c r="T124" s="32" t="s">
        <v>28</v>
      </c>
      <c r="U124" s="21"/>
    </row>
    <row r="125" spans="1:21" ht="20.100000000000001" customHeight="1" x14ac:dyDescent="0.3">
      <c r="A125" s="44">
        <v>117</v>
      </c>
      <c r="B125" s="22">
        <v>44968</v>
      </c>
      <c r="C125" s="23"/>
      <c r="D125" s="24" t="s">
        <v>227</v>
      </c>
      <c r="E125" s="25"/>
      <c r="F125" s="26">
        <v>50</v>
      </c>
      <c r="G125" s="62" t="s">
        <v>230</v>
      </c>
      <c r="H125" s="26">
        <v>100</v>
      </c>
      <c r="I125" s="27">
        <f t="shared" si="36"/>
        <v>5000</v>
      </c>
      <c r="J125" s="28"/>
      <c r="K125" s="29">
        <v>102</v>
      </c>
      <c r="L125" s="30">
        <v>0.12</v>
      </c>
      <c r="M125" s="31">
        <f t="shared" si="37"/>
        <v>12.24</v>
      </c>
      <c r="N125" s="31">
        <f t="shared" si="38"/>
        <v>114.24</v>
      </c>
      <c r="O125" s="25"/>
      <c r="P125" s="22">
        <v>44968</v>
      </c>
      <c r="Q125" s="25"/>
      <c r="R125" s="32" t="s">
        <v>231</v>
      </c>
      <c r="S125" s="21"/>
      <c r="T125" s="32" t="s">
        <v>28</v>
      </c>
      <c r="U125" s="21"/>
    </row>
    <row r="126" spans="1:21" ht="20.100000000000001" customHeight="1" x14ac:dyDescent="0.3">
      <c r="A126" s="44">
        <v>118</v>
      </c>
      <c r="B126" s="22">
        <v>44968</v>
      </c>
      <c r="C126" s="23"/>
      <c r="D126" s="24" t="s">
        <v>228</v>
      </c>
      <c r="E126" s="25"/>
      <c r="F126" s="26">
        <v>100</v>
      </c>
      <c r="G126" s="62" t="s">
        <v>230</v>
      </c>
      <c r="H126" s="26">
        <v>50</v>
      </c>
      <c r="I126" s="27">
        <f t="shared" si="36"/>
        <v>5000</v>
      </c>
      <c r="J126" s="28"/>
      <c r="K126" s="29">
        <v>116</v>
      </c>
      <c r="L126" s="30">
        <v>0.12</v>
      </c>
      <c r="M126" s="31">
        <f t="shared" si="37"/>
        <v>13.92</v>
      </c>
      <c r="N126" s="31">
        <f t="shared" si="38"/>
        <v>129.91999999999999</v>
      </c>
      <c r="O126" s="25"/>
      <c r="P126" s="22">
        <v>44968</v>
      </c>
      <c r="Q126" s="25"/>
      <c r="R126" s="32" t="s">
        <v>231</v>
      </c>
      <c r="S126" s="21"/>
      <c r="T126" s="32" t="s">
        <v>28</v>
      </c>
      <c r="U126" s="21"/>
    </row>
    <row r="127" spans="1:21" ht="20.100000000000001" customHeight="1" x14ac:dyDescent="0.3">
      <c r="A127" s="44">
        <v>119</v>
      </c>
      <c r="B127" s="22">
        <v>44968</v>
      </c>
      <c r="C127" s="23"/>
      <c r="D127" s="24" t="s">
        <v>229</v>
      </c>
      <c r="E127" s="25"/>
      <c r="F127" s="26">
        <v>20</v>
      </c>
      <c r="G127" s="62" t="s">
        <v>56</v>
      </c>
      <c r="H127" s="26">
        <v>5</v>
      </c>
      <c r="I127" s="27">
        <f t="shared" si="36"/>
        <v>100</v>
      </c>
      <c r="J127" s="28"/>
      <c r="K127" s="29">
        <v>495</v>
      </c>
      <c r="L127" s="30"/>
      <c r="M127" s="31">
        <f t="shared" si="37"/>
        <v>0</v>
      </c>
      <c r="N127" s="31">
        <f t="shared" si="38"/>
        <v>495</v>
      </c>
      <c r="O127" s="25"/>
      <c r="P127" s="22">
        <v>44968</v>
      </c>
      <c r="Q127" s="25"/>
      <c r="R127" s="32" t="s">
        <v>231</v>
      </c>
      <c r="S127" s="21"/>
      <c r="T127" s="32" t="s">
        <v>28</v>
      </c>
      <c r="U127" s="21"/>
    </row>
    <row r="128" spans="1:21" ht="20.100000000000001" customHeight="1" x14ac:dyDescent="0.3">
      <c r="A128" s="44">
        <v>120</v>
      </c>
      <c r="B128" s="22">
        <v>44968</v>
      </c>
      <c r="C128" s="23"/>
      <c r="D128" s="24" t="s">
        <v>235</v>
      </c>
      <c r="E128" s="25"/>
      <c r="F128" s="26">
        <v>20</v>
      </c>
      <c r="G128" s="62" t="s">
        <v>18</v>
      </c>
      <c r="H128" s="26">
        <v>25</v>
      </c>
      <c r="I128" s="27">
        <f t="shared" si="36"/>
        <v>500</v>
      </c>
      <c r="J128" s="28"/>
      <c r="K128" s="29">
        <v>3200</v>
      </c>
      <c r="L128" s="30"/>
      <c r="M128" s="31">
        <f t="shared" si="37"/>
        <v>0</v>
      </c>
      <c r="N128" s="31">
        <f t="shared" si="38"/>
        <v>3200</v>
      </c>
      <c r="O128" s="25"/>
      <c r="P128" s="22">
        <v>44968</v>
      </c>
      <c r="Q128" s="25"/>
      <c r="R128" s="32" t="s">
        <v>232</v>
      </c>
      <c r="S128" s="21"/>
      <c r="T128" s="32" t="s">
        <v>234</v>
      </c>
      <c r="U128" s="21"/>
    </row>
    <row r="129" spans="1:21" ht="20.100000000000001" customHeight="1" x14ac:dyDescent="0.3">
      <c r="A129" s="44">
        <v>121</v>
      </c>
      <c r="B129" s="22">
        <v>44968</v>
      </c>
      <c r="C129" s="23"/>
      <c r="D129" s="24" t="s">
        <v>302</v>
      </c>
      <c r="E129" s="25"/>
      <c r="F129" s="26">
        <v>400</v>
      </c>
      <c r="G129" s="62" t="s">
        <v>52</v>
      </c>
      <c r="H129" s="26">
        <v>1</v>
      </c>
      <c r="I129" s="27">
        <f t="shared" si="36"/>
        <v>400</v>
      </c>
      <c r="J129" s="28"/>
      <c r="K129" s="29">
        <v>75</v>
      </c>
      <c r="L129" s="30">
        <v>0.12</v>
      </c>
      <c r="M129" s="31">
        <f t="shared" si="37"/>
        <v>9</v>
      </c>
      <c r="N129" s="31">
        <f t="shared" si="38"/>
        <v>84</v>
      </c>
      <c r="O129" s="25"/>
      <c r="P129" s="22">
        <v>44968</v>
      </c>
      <c r="Q129" s="25"/>
      <c r="R129" s="32" t="s">
        <v>233</v>
      </c>
      <c r="S129" s="21"/>
      <c r="T129" s="32" t="s">
        <v>41</v>
      </c>
      <c r="U129" s="21"/>
    </row>
    <row r="130" spans="1:21" ht="20.100000000000001" customHeight="1" x14ac:dyDescent="0.3">
      <c r="A130" s="44">
        <v>122</v>
      </c>
      <c r="B130" s="22">
        <v>44968</v>
      </c>
      <c r="C130" s="23"/>
      <c r="D130" s="24" t="s">
        <v>236</v>
      </c>
      <c r="E130" s="25"/>
      <c r="F130" s="26">
        <v>12</v>
      </c>
      <c r="G130" s="62" t="s">
        <v>56</v>
      </c>
      <c r="H130" s="26">
        <v>5</v>
      </c>
      <c r="I130" s="27">
        <f t="shared" si="36"/>
        <v>60</v>
      </c>
      <c r="J130" s="28"/>
      <c r="K130" s="29">
        <v>440</v>
      </c>
      <c r="L130" s="30">
        <v>0.18</v>
      </c>
      <c r="M130" s="31">
        <f t="shared" si="37"/>
        <v>79.2</v>
      </c>
      <c r="N130" s="31">
        <f t="shared" si="38"/>
        <v>519.20000000000005</v>
      </c>
      <c r="O130" s="25"/>
      <c r="P130" s="22">
        <v>44970</v>
      </c>
      <c r="Q130" s="25"/>
      <c r="R130" s="32" t="s">
        <v>240</v>
      </c>
      <c r="S130" s="21"/>
      <c r="T130" s="32" t="s">
        <v>68</v>
      </c>
      <c r="U130" s="21"/>
    </row>
    <row r="131" spans="1:21" ht="20.100000000000001" customHeight="1" x14ac:dyDescent="0.3">
      <c r="A131" s="44">
        <v>123</v>
      </c>
      <c r="B131" s="22">
        <v>44968</v>
      </c>
      <c r="C131" s="23"/>
      <c r="D131" s="24" t="s">
        <v>237</v>
      </c>
      <c r="E131" s="25"/>
      <c r="F131" s="26">
        <v>12</v>
      </c>
      <c r="G131" s="62" t="s">
        <v>56</v>
      </c>
      <c r="H131" s="26">
        <v>5</v>
      </c>
      <c r="I131" s="27">
        <f t="shared" si="36"/>
        <v>60</v>
      </c>
      <c r="J131" s="28"/>
      <c r="K131" s="29">
        <v>1138</v>
      </c>
      <c r="L131" s="30">
        <v>0.18</v>
      </c>
      <c r="M131" s="31">
        <f t="shared" si="37"/>
        <v>204.84</v>
      </c>
      <c r="N131" s="31">
        <f t="shared" si="38"/>
        <v>1342.84</v>
      </c>
      <c r="O131" s="25"/>
      <c r="P131" s="22">
        <v>44970</v>
      </c>
      <c r="Q131" s="25"/>
      <c r="R131" s="32" t="s">
        <v>240</v>
      </c>
      <c r="S131" s="21"/>
      <c r="T131" s="32" t="s">
        <v>68</v>
      </c>
      <c r="U131" s="21"/>
    </row>
    <row r="132" spans="1:21" ht="20.100000000000001" customHeight="1" x14ac:dyDescent="0.3">
      <c r="A132" s="44">
        <v>124</v>
      </c>
      <c r="B132" s="22">
        <v>44968</v>
      </c>
      <c r="C132" s="23"/>
      <c r="D132" s="24" t="s">
        <v>238</v>
      </c>
      <c r="E132" s="25"/>
      <c r="F132" s="26">
        <v>33</v>
      </c>
      <c r="G132" s="62" t="s">
        <v>18</v>
      </c>
      <c r="H132" s="26">
        <v>30</v>
      </c>
      <c r="I132" s="27">
        <f t="shared" si="36"/>
        <v>990</v>
      </c>
      <c r="J132" s="28"/>
      <c r="K132" s="29">
        <v>1957</v>
      </c>
      <c r="L132" s="30"/>
      <c r="M132" s="31">
        <f t="shared" si="37"/>
        <v>0</v>
      </c>
      <c r="N132" s="31">
        <f t="shared" si="38"/>
        <v>1957</v>
      </c>
      <c r="O132" s="25"/>
      <c r="P132" s="22">
        <v>44970</v>
      </c>
      <c r="Q132" s="25"/>
      <c r="R132" s="32" t="s">
        <v>240</v>
      </c>
      <c r="S132" s="21"/>
      <c r="T132" s="32" t="s">
        <v>68</v>
      </c>
      <c r="U132" s="21"/>
    </row>
    <row r="133" spans="1:21" ht="20.100000000000001" customHeight="1" x14ac:dyDescent="0.3">
      <c r="A133" s="44">
        <v>125</v>
      </c>
      <c r="B133" s="22">
        <v>44968</v>
      </c>
      <c r="C133" s="23"/>
      <c r="D133" s="24" t="s">
        <v>239</v>
      </c>
      <c r="E133" s="25"/>
      <c r="F133" s="26">
        <v>4</v>
      </c>
      <c r="G133" s="62" t="s">
        <v>109</v>
      </c>
      <c r="H133" s="26">
        <v>50</v>
      </c>
      <c r="I133" s="27">
        <f t="shared" si="36"/>
        <v>200</v>
      </c>
      <c r="J133" s="28"/>
      <c r="K133" s="29">
        <v>3188</v>
      </c>
      <c r="L133" s="30"/>
      <c r="M133" s="31">
        <f t="shared" si="37"/>
        <v>0</v>
      </c>
      <c r="N133" s="31">
        <f t="shared" si="38"/>
        <v>3188</v>
      </c>
      <c r="O133" s="25"/>
      <c r="P133" s="22">
        <v>44970</v>
      </c>
      <c r="Q133" s="25"/>
      <c r="R133" s="32" t="s">
        <v>240</v>
      </c>
      <c r="S133" s="21"/>
      <c r="T133" s="32" t="s">
        <v>68</v>
      </c>
      <c r="U133" s="21"/>
    </row>
    <row r="134" spans="1:21" ht="20.100000000000001" customHeight="1" x14ac:dyDescent="0.3">
      <c r="A134" s="44">
        <v>126</v>
      </c>
      <c r="B134" s="22">
        <v>44968</v>
      </c>
      <c r="C134" s="23"/>
      <c r="D134" s="24" t="s">
        <v>241</v>
      </c>
      <c r="E134" s="25"/>
      <c r="F134" s="26">
        <v>42</v>
      </c>
      <c r="G134" s="62" t="s">
        <v>51</v>
      </c>
      <c r="H134" s="26">
        <v>1000</v>
      </c>
      <c r="I134" s="27">
        <f t="shared" si="36"/>
        <v>42000</v>
      </c>
      <c r="J134" s="28"/>
      <c r="K134" s="29">
        <v>250</v>
      </c>
      <c r="L134" s="30">
        <v>0.05</v>
      </c>
      <c r="M134" s="31">
        <f t="shared" si="37"/>
        <v>12.5</v>
      </c>
      <c r="N134" s="31">
        <f t="shared" si="38"/>
        <v>262.5</v>
      </c>
      <c r="O134" s="25"/>
      <c r="P134" s="22">
        <v>44970</v>
      </c>
      <c r="Q134" s="25"/>
      <c r="R134" s="32" t="s">
        <v>244</v>
      </c>
      <c r="S134" s="21"/>
      <c r="T134" s="32" t="s">
        <v>124</v>
      </c>
      <c r="U134" s="21"/>
    </row>
    <row r="135" spans="1:21" ht="20.100000000000001" customHeight="1" x14ac:dyDescent="0.3">
      <c r="A135" s="44">
        <v>127</v>
      </c>
      <c r="B135" s="22">
        <v>44968</v>
      </c>
      <c r="C135" s="23"/>
      <c r="D135" s="24" t="s">
        <v>262</v>
      </c>
      <c r="E135" s="25"/>
      <c r="F135" s="26">
        <v>42</v>
      </c>
      <c r="G135" s="62" t="s">
        <v>51</v>
      </c>
      <c r="H135" s="26">
        <v>1000</v>
      </c>
      <c r="I135" s="27">
        <f t="shared" si="36"/>
        <v>42000</v>
      </c>
      <c r="J135" s="28"/>
      <c r="K135" s="29">
        <v>1500</v>
      </c>
      <c r="L135" s="30">
        <v>0.05</v>
      </c>
      <c r="M135" s="31">
        <f t="shared" si="37"/>
        <v>75</v>
      </c>
      <c r="N135" s="31">
        <f t="shared" si="38"/>
        <v>1575</v>
      </c>
      <c r="O135" s="25"/>
      <c r="P135" s="22">
        <v>44970</v>
      </c>
      <c r="Q135" s="25"/>
      <c r="R135" s="32" t="s">
        <v>244</v>
      </c>
      <c r="S135" s="21"/>
      <c r="T135" s="32" t="s">
        <v>124</v>
      </c>
      <c r="U135" s="21"/>
    </row>
    <row r="136" spans="1:21" ht="20.100000000000001" customHeight="1" x14ac:dyDescent="0.3">
      <c r="A136" s="44">
        <v>128</v>
      </c>
      <c r="B136" s="22">
        <v>44968</v>
      </c>
      <c r="C136" s="23"/>
      <c r="D136" s="24" t="s">
        <v>242</v>
      </c>
      <c r="E136" s="25"/>
      <c r="F136" s="26">
        <v>42</v>
      </c>
      <c r="G136" s="62" t="s">
        <v>51</v>
      </c>
      <c r="H136" s="26">
        <v>1000</v>
      </c>
      <c r="I136" s="27">
        <f t="shared" si="36"/>
        <v>42000</v>
      </c>
      <c r="J136" s="28"/>
      <c r="K136" s="29">
        <v>902.48</v>
      </c>
      <c r="L136" s="30">
        <v>0.05</v>
      </c>
      <c r="M136" s="31">
        <f t="shared" si="37"/>
        <v>45.124000000000002</v>
      </c>
      <c r="N136" s="31">
        <f t="shared" si="38"/>
        <v>947.60400000000004</v>
      </c>
      <c r="O136" s="25"/>
      <c r="P136" s="22">
        <v>44970</v>
      </c>
      <c r="Q136" s="25"/>
      <c r="R136" s="32" t="s">
        <v>244</v>
      </c>
      <c r="S136" s="21"/>
      <c r="T136" s="32" t="s">
        <v>124</v>
      </c>
      <c r="U136" s="21"/>
    </row>
    <row r="137" spans="1:21" ht="20.100000000000001" customHeight="1" x14ac:dyDescent="0.3">
      <c r="A137" s="44">
        <v>129</v>
      </c>
      <c r="B137" s="22">
        <v>44968</v>
      </c>
      <c r="C137" s="23"/>
      <c r="D137" s="24" t="s">
        <v>243</v>
      </c>
      <c r="E137" s="25"/>
      <c r="F137" s="26">
        <v>84</v>
      </c>
      <c r="G137" s="62" t="s">
        <v>51</v>
      </c>
      <c r="H137" s="26">
        <v>1000</v>
      </c>
      <c r="I137" s="27">
        <f t="shared" si="36"/>
        <v>84000</v>
      </c>
      <c r="J137" s="28"/>
      <c r="K137" s="29">
        <v>2435.25</v>
      </c>
      <c r="L137" s="30">
        <v>0.05</v>
      </c>
      <c r="M137" s="31">
        <f t="shared" si="37"/>
        <v>121.7625</v>
      </c>
      <c r="N137" s="31">
        <f t="shared" si="38"/>
        <v>2557.0124999999998</v>
      </c>
      <c r="O137" s="25"/>
      <c r="P137" s="22">
        <v>44970</v>
      </c>
      <c r="Q137" s="25"/>
      <c r="R137" s="32" t="s">
        <v>244</v>
      </c>
      <c r="S137" s="21"/>
      <c r="T137" s="32" t="s">
        <v>124</v>
      </c>
      <c r="U137" s="21"/>
    </row>
    <row r="138" spans="1:21" ht="20.100000000000001" customHeight="1" x14ac:dyDescent="0.3">
      <c r="A138" s="44">
        <v>130</v>
      </c>
      <c r="B138" s="22">
        <v>44968</v>
      </c>
      <c r="C138" s="23"/>
      <c r="D138" s="24" t="s">
        <v>130</v>
      </c>
      <c r="E138" s="25"/>
      <c r="F138" s="26">
        <v>80</v>
      </c>
      <c r="G138" s="62" t="s">
        <v>51</v>
      </c>
      <c r="H138" s="26">
        <v>2500</v>
      </c>
      <c r="I138" s="27">
        <f t="shared" si="36"/>
        <v>200000</v>
      </c>
      <c r="J138" s="28"/>
      <c r="K138" s="29">
        <v>550</v>
      </c>
      <c r="L138" s="30">
        <v>0.05</v>
      </c>
      <c r="M138" s="31">
        <f t="shared" si="37"/>
        <v>27.5</v>
      </c>
      <c r="N138" s="31">
        <f t="shared" si="38"/>
        <v>577.5</v>
      </c>
      <c r="O138" s="25"/>
      <c r="P138" s="22">
        <v>44970</v>
      </c>
      <c r="Q138" s="25"/>
      <c r="R138" s="32" t="s">
        <v>245</v>
      </c>
      <c r="S138" s="21"/>
      <c r="T138" s="32" t="s">
        <v>49</v>
      </c>
      <c r="U138" s="21"/>
    </row>
    <row r="139" spans="1:21" ht="20.100000000000001" customHeight="1" x14ac:dyDescent="0.3">
      <c r="A139" s="44">
        <v>131</v>
      </c>
      <c r="B139" s="22">
        <v>44968</v>
      </c>
      <c r="C139" s="23"/>
      <c r="D139" s="24" t="s">
        <v>258</v>
      </c>
      <c r="E139" s="25"/>
      <c r="F139" s="26">
        <v>42</v>
      </c>
      <c r="G139" s="62" t="s">
        <v>51</v>
      </c>
      <c r="H139" s="26">
        <v>1000</v>
      </c>
      <c r="I139" s="27">
        <f t="shared" si="36"/>
        <v>42000</v>
      </c>
      <c r="J139" s="28"/>
      <c r="K139" s="29">
        <v>162</v>
      </c>
      <c r="L139" s="30">
        <v>0.05</v>
      </c>
      <c r="M139" s="31">
        <f t="shared" si="37"/>
        <v>8.1</v>
      </c>
      <c r="N139" s="31">
        <f t="shared" si="38"/>
        <v>170.1</v>
      </c>
      <c r="O139" s="25"/>
      <c r="P139" s="22">
        <v>44970</v>
      </c>
      <c r="Q139" s="25"/>
      <c r="R139" s="32" t="s">
        <v>260</v>
      </c>
      <c r="S139" s="21"/>
      <c r="T139" s="32" t="s">
        <v>139</v>
      </c>
      <c r="U139" s="21"/>
    </row>
    <row r="140" spans="1:21" ht="20.100000000000001" customHeight="1" x14ac:dyDescent="0.3">
      <c r="A140" s="44">
        <v>132</v>
      </c>
      <c r="B140" s="22">
        <v>44968</v>
      </c>
      <c r="C140" s="23"/>
      <c r="D140" s="24" t="s">
        <v>259</v>
      </c>
      <c r="E140" s="25"/>
      <c r="F140" s="26">
        <v>42</v>
      </c>
      <c r="G140" s="62" t="s">
        <v>51</v>
      </c>
      <c r="H140" s="26">
        <v>1000</v>
      </c>
      <c r="I140" s="27">
        <f t="shared" si="36"/>
        <v>42000</v>
      </c>
      <c r="J140" s="28"/>
      <c r="K140" s="29">
        <v>231</v>
      </c>
      <c r="L140" s="30">
        <v>0.05</v>
      </c>
      <c r="M140" s="31">
        <f t="shared" si="37"/>
        <v>11.55</v>
      </c>
      <c r="N140" s="31">
        <f t="shared" si="38"/>
        <v>242.55</v>
      </c>
      <c r="O140" s="25"/>
      <c r="P140" s="22">
        <v>44970</v>
      </c>
      <c r="Q140" s="25"/>
      <c r="R140" s="32" t="s">
        <v>260</v>
      </c>
      <c r="S140" s="21"/>
      <c r="T140" s="32" t="s">
        <v>139</v>
      </c>
      <c r="U140" s="21"/>
    </row>
    <row r="141" spans="1:21" ht="20.100000000000001" customHeight="1" x14ac:dyDescent="0.3">
      <c r="A141" s="44">
        <v>133</v>
      </c>
      <c r="B141" s="22">
        <v>44968</v>
      </c>
      <c r="C141" s="23"/>
      <c r="D141" s="24" t="s">
        <v>255</v>
      </c>
      <c r="E141" s="25"/>
      <c r="F141" s="26">
        <v>42</v>
      </c>
      <c r="G141" s="62" t="s">
        <v>51</v>
      </c>
      <c r="H141" s="26">
        <v>1000</v>
      </c>
      <c r="I141" s="27">
        <f t="shared" ref="I141" si="39">F141*H141</f>
        <v>42000</v>
      </c>
      <c r="J141" s="28"/>
      <c r="K141" s="29">
        <v>106</v>
      </c>
      <c r="L141" s="30">
        <v>0.05</v>
      </c>
      <c r="M141" s="31">
        <f t="shared" ref="M141" si="40">K141*L141</f>
        <v>5.3000000000000007</v>
      </c>
      <c r="N141" s="31">
        <f t="shared" ref="N141" si="41">K141+M141</f>
        <v>111.3</v>
      </c>
      <c r="O141" s="25"/>
      <c r="P141" s="22">
        <v>44970</v>
      </c>
      <c r="Q141" s="25"/>
      <c r="R141" s="32" t="s">
        <v>260</v>
      </c>
      <c r="S141" s="21"/>
      <c r="T141" s="32" t="s">
        <v>139</v>
      </c>
      <c r="U141" s="21"/>
    </row>
    <row r="142" spans="1:21" ht="20.100000000000001" customHeight="1" x14ac:dyDescent="0.3">
      <c r="A142" s="44">
        <v>134</v>
      </c>
      <c r="B142" s="22">
        <v>44968</v>
      </c>
      <c r="C142" s="23"/>
      <c r="D142" s="24" t="s">
        <v>257</v>
      </c>
      <c r="E142" s="25"/>
      <c r="F142" s="26">
        <v>42</v>
      </c>
      <c r="G142" s="62" t="s">
        <v>51</v>
      </c>
      <c r="H142" s="26">
        <v>1000</v>
      </c>
      <c r="I142" s="27">
        <f t="shared" ref="I142" si="42">F142*H142</f>
        <v>42000</v>
      </c>
      <c r="J142" s="28"/>
      <c r="K142" s="29">
        <v>106</v>
      </c>
      <c r="L142" s="30">
        <v>0.05</v>
      </c>
      <c r="M142" s="31">
        <f t="shared" ref="M142" si="43">K142*L142</f>
        <v>5.3000000000000007</v>
      </c>
      <c r="N142" s="31">
        <f t="shared" ref="N142" si="44">K142+M142</f>
        <v>111.3</v>
      </c>
      <c r="O142" s="25"/>
      <c r="P142" s="22">
        <v>44970</v>
      </c>
      <c r="Q142" s="25"/>
      <c r="R142" s="32" t="s">
        <v>260</v>
      </c>
      <c r="S142" s="21"/>
      <c r="T142" s="32" t="s">
        <v>139</v>
      </c>
      <c r="U142" s="21"/>
    </row>
    <row r="143" spans="1:21" ht="20.100000000000001" customHeight="1" x14ac:dyDescent="0.3">
      <c r="A143" s="44">
        <v>135</v>
      </c>
      <c r="B143" s="22">
        <v>44968</v>
      </c>
      <c r="C143" s="23"/>
      <c r="D143" s="24" t="s">
        <v>246</v>
      </c>
      <c r="E143" s="25"/>
      <c r="F143" s="26">
        <v>42</v>
      </c>
      <c r="G143" s="62" t="s">
        <v>51</v>
      </c>
      <c r="H143" s="26">
        <v>1000</v>
      </c>
      <c r="I143" s="27">
        <f t="shared" ref="I143:I155" si="45">F143*H143</f>
        <v>42000</v>
      </c>
      <c r="J143" s="28"/>
      <c r="K143" s="29">
        <v>119</v>
      </c>
      <c r="L143" s="30">
        <v>0.05</v>
      </c>
      <c r="M143" s="31">
        <f t="shared" ref="M143:M155" si="46">K143*L143</f>
        <v>5.95</v>
      </c>
      <c r="N143" s="31">
        <f t="shared" ref="N143:N155" si="47">K143+M143</f>
        <v>124.95</v>
      </c>
      <c r="O143" s="25"/>
      <c r="P143" s="22">
        <v>44970</v>
      </c>
      <c r="Q143" s="25"/>
      <c r="R143" s="32" t="s">
        <v>260</v>
      </c>
      <c r="S143" s="21"/>
      <c r="T143" s="32" t="s">
        <v>139</v>
      </c>
      <c r="U143" s="21"/>
    </row>
    <row r="144" spans="1:21" ht="20.100000000000001" customHeight="1" x14ac:dyDescent="0.3">
      <c r="A144" s="44">
        <v>136</v>
      </c>
      <c r="B144" s="22">
        <v>44968</v>
      </c>
      <c r="C144" s="23"/>
      <c r="D144" s="24" t="s">
        <v>256</v>
      </c>
      <c r="E144" s="25"/>
      <c r="F144" s="26">
        <v>42</v>
      </c>
      <c r="G144" s="62" t="s">
        <v>51</v>
      </c>
      <c r="H144" s="26">
        <v>1000</v>
      </c>
      <c r="I144" s="27">
        <f t="shared" si="45"/>
        <v>42000</v>
      </c>
      <c r="J144" s="28"/>
      <c r="K144" s="29">
        <v>57</v>
      </c>
      <c r="L144" s="30">
        <v>0.05</v>
      </c>
      <c r="M144" s="31">
        <f t="shared" si="46"/>
        <v>2.85</v>
      </c>
      <c r="N144" s="31">
        <f t="shared" si="47"/>
        <v>59.85</v>
      </c>
      <c r="O144" s="25"/>
      <c r="P144" s="22">
        <v>44970</v>
      </c>
      <c r="Q144" s="25"/>
      <c r="R144" s="32" t="s">
        <v>260</v>
      </c>
      <c r="S144" s="21"/>
      <c r="T144" s="32" t="s">
        <v>139</v>
      </c>
      <c r="U144" s="21"/>
    </row>
    <row r="145" spans="1:21" ht="20.100000000000001" customHeight="1" x14ac:dyDescent="0.3">
      <c r="A145" s="44">
        <v>137</v>
      </c>
      <c r="B145" s="22">
        <v>44968</v>
      </c>
      <c r="C145" s="23"/>
      <c r="D145" s="24" t="s">
        <v>247</v>
      </c>
      <c r="E145" s="25"/>
      <c r="F145" s="26">
        <v>42</v>
      </c>
      <c r="G145" s="62" t="s">
        <v>51</v>
      </c>
      <c r="H145" s="26">
        <v>1000</v>
      </c>
      <c r="I145" s="27">
        <f t="shared" si="45"/>
        <v>42000</v>
      </c>
      <c r="J145" s="28"/>
      <c r="K145" s="29">
        <v>126</v>
      </c>
      <c r="L145" s="30">
        <v>0.05</v>
      </c>
      <c r="M145" s="31">
        <f t="shared" si="46"/>
        <v>6.3000000000000007</v>
      </c>
      <c r="N145" s="31">
        <f t="shared" si="47"/>
        <v>132.30000000000001</v>
      </c>
      <c r="O145" s="25"/>
      <c r="P145" s="22">
        <v>44970</v>
      </c>
      <c r="Q145" s="25"/>
      <c r="R145" s="32" t="s">
        <v>260</v>
      </c>
      <c r="S145" s="21"/>
      <c r="T145" s="32" t="s">
        <v>139</v>
      </c>
      <c r="U145" s="21"/>
    </row>
    <row r="146" spans="1:21" ht="20.100000000000001" customHeight="1" x14ac:dyDescent="0.3">
      <c r="A146" s="44">
        <v>138</v>
      </c>
      <c r="B146" s="22">
        <v>44968</v>
      </c>
      <c r="C146" s="23"/>
      <c r="D146" s="24" t="s">
        <v>253</v>
      </c>
      <c r="E146" s="25"/>
      <c r="F146" s="26">
        <v>84</v>
      </c>
      <c r="G146" s="62" t="s">
        <v>51</v>
      </c>
      <c r="H146" s="26">
        <v>1000</v>
      </c>
      <c r="I146" s="27">
        <f t="shared" si="45"/>
        <v>84000</v>
      </c>
      <c r="J146" s="28"/>
      <c r="K146" s="29">
        <v>1961</v>
      </c>
      <c r="L146" s="30">
        <v>0.05</v>
      </c>
      <c r="M146" s="31">
        <f t="shared" si="46"/>
        <v>98.050000000000011</v>
      </c>
      <c r="N146" s="31">
        <f t="shared" si="47"/>
        <v>2059.0500000000002</v>
      </c>
      <c r="O146" s="25"/>
      <c r="P146" s="22">
        <v>44970</v>
      </c>
      <c r="Q146" s="25"/>
      <c r="R146" s="32" t="s">
        <v>260</v>
      </c>
      <c r="S146" s="21"/>
      <c r="T146" s="32" t="s">
        <v>139</v>
      </c>
      <c r="U146" s="21"/>
    </row>
    <row r="147" spans="1:21" ht="20.100000000000001" customHeight="1" x14ac:dyDescent="0.3">
      <c r="A147" s="44">
        <v>139</v>
      </c>
      <c r="B147" s="22">
        <v>44968</v>
      </c>
      <c r="C147" s="23"/>
      <c r="D147" s="24" t="s">
        <v>254</v>
      </c>
      <c r="E147" s="25"/>
      <c r="F147" s="26">
        <v>42</v>
      </c>
      <c r="G147" s="62" t="s">
        <v>51</v>
      </c>
      <c r="H147" s="26">
        <v>1000</v>
      </c>
      <c r="I147" s="27">
        <f t="shared" si="45"/>
        <v>42000</v>
      </c>
      <c r="J147" s="28"/>
      <c r="K147" s="29">
        <v>919</v>
      </c>
      <c r="L147" s="30">
        <v>0.05</v>
      </c>
      <c r="M147" s="31">
        <f t="shared" si="46"/>
        <v>45.95</v>
      </c>
      <c r="N147" s="31">
        <f t="shared" si="47"/>
        <v>964.95</v>
      </c>
      <c r="O147" s="25"/>
      <c r="P147" s="22">
        <v>44970</v>
      </c>
      <c r="Q147" s="25"/>
      <c r="R147" s="32" t="s">
        <v>260</v>
      </c>
      <c r="S147" s="21"/>
      <c r="T147" s="32" t="s">
        <v>139</v>
      </c>
      <c r="U147" s="21"/>
    </row>
    <row r="148" spans="1:21" ht="20.100000000000001" customHeight="1" x14ac:dyDescent="0.3">
      <c r="A148" s="44">
        <v>140</v>
      </c>
      <c r="B148" s="22">
        <v>44968</v>
      </c>
      <c r="C148" s="23"/>
      <c r="D148" s="24" t="s">
        <v>248</v>
      </c>
      <c r="E148" s="25"/>
      <c r="F148" s="26">
        <v>84</v>
      </c>
      <c r="G148" s="62" t="s">
        <v>51</v>
      </c>
      <c r="H148" s="26">
        <v>1000</v>
      </c>
      <c r="I148" s="27">
        <f t="shared" si="45"/>
        <v>84000</v>
      </c>
      <c r="J148" s="28"/>
      <c r="K148" s="29">
        <v>2021</v>
      </c>
      <c r="L148" s="30">
        <v>0.05</v>
      </c>
      <c r="M148" s="31">
        <f t="shared" si="46"/>
        <v>101.05000000000001</v>
      </c>
      <c r="N148" s="31">
        <f t="shared" si="47"/>
        <v>2122.0500000000002</v>
      </c>
      <c r="O148" s="25"/>
      <c r="P148" s="22">
        <v>44970</v>
      </c>
      <c r="Q148" s="25"/>
      <c r="R148" s="32" t="s">
        <v>260</v>
      </c>
      <c r="S148" s="21"/>
      <c r="T148" s="32" t="s">
        <v>139</v>
      </c>
      <c r="U148" s="21"/>
    </row>
    <row r="149" spans="1:21" ht="20.100000000000001" customHeight="1" x14ac:dyDescent="0.3">
      <c r="A149" s="44">
        <v>141</v>
      </c>
      <c r="B149" s="22">
        <v>44968</v>
      </c>
      <c r="C149" s="23"/>
      <c r="D149" s="24" t="s">
        <v>249</v>
      </c>
      <c r="E149" s="25"/>
      <c r="F149" s="26">
        <v>42</v>
      </c>
      <c r="G149" s="62" t="s">
        <v>51</v>
      </c>
      <c r="H149" s="26">
        <v>1000</v>
      </c>
      <c r="I149" s="27">
        <f t="shared" si="45"/>
        <v>42000</v>
      </c>
      <c r="J149" s="28"/>
      <c r="K149" s="29">
        <v>2835</v>
      </c>
      <c r="L149" s="30">
        <v>0.05</v>
      </c>
      <c r="M149" s="31">
        <f t="shared" si="46"/>
        <v>141.75</v>
      </c>
      <c r="N149" s="31">
        <f t="shared" si="47"/>
        <v>2976.75</v>
      </c>
      <c r="O149" s="25"/>
      <c r="P149" s="22">
        <v>44970</v>
      </c>
      <c r="Q149" s="25"/>
      <c r="R149" s="32" t="s">
        <v>260</v>
      </c>
      <c r="S149" s="21"/>
      <c r="T149" s="32" t="s">
        <v>139</v>
      </c>
      <c r="U149" s="21"/>
    </row>
    <row r="150" spans="1:21" ht="20.100000000000001" customHeight="1" x14ac:dyDescent="0.3">
      <c r="A150" s="44">
        <v>142</v>
      </c>
      <c r="B150" s="22">
        <v>44968</v>
      </c>
      <c r="C150" s="23"/>
      <c r="D150" s="24" t="s">
        <v>148</v>
      </c>
      <c r="E150" s="25"/>
      <c r="F150" s="26">
        <v>42</v>
      </c>
      <c r="G150" s="62" t="s">
        <v>51</v>
      </c>
      <c r="H150" s="26">
        <v>1000</v>
      </c>
      <c r="I150" s="27">
        <f t="shared" si="45"/>
        <v>42000</v>
      </c>
      <c r="J150" s="28"/>
      <c r="K150" s="29">
        <v>2363</v>
      </c>
      <c r="L150" s="30">
        <v>0.05</v>
      </c>
      <c r="M150" s="31">
        <f t="shared" si="46"/>
        <v>118.15</v>
      </c>
      <c r="N150" s="31">
        <f t="shared" si="47"/>
        <v>2481.15</v>
      </c>
      <c r="O150" s="25"/>
      <c r="P150" s="22">
        <v>44970</v>
      </c>
      <c r="Q150" s="25"/>
      <c r="R150" s="32" t="s">
        <v>260</v>
      </c>
      <c r="S150" s="21"/>
      <c r="T150" s="32" t="s">
        <v>139</v>
      </c>
      <c r="U150" s="21"/>
    </row>
    <row r="151" spans="1:21" ht="20.100000000000001" customHeight="1" x14ac:dyDescent="0.3">
      <c r="A151" s="44">
        <v>143</v>
      </c>
      <c r="B151" s="22">
        <v>44968</v>
      </c>
      <c r="C151" s="23"/>
      <c r="D151" s="24" t="s">
        <v>250</v>
      </c>
      <c r="E151" s="25"/>
      <c r="F151" s="26">
        <v>220</v>
      </c>
      <c r="G151" s="62" t="s">
        <v>230</v>
      </c>
      <c r="H151" s="26">
        <v>30</v>
      </c>
      <c r="I151" s="27">
        <f t="shared" si="45"/>
        <v>6600</v>
      </c>
      <c r="J151" s="28"/>
      <c r="K151" s="29">
        <v>1.75</v>
      </c>
      <c r="L151" s="30">
        <v>0.05</v>
      </c>
      <c r="M151" s="31">
        <f t="shared" si="46"/>
        <v>8.7500000000000008E-2</v>
      </c>
      <c r="N151" s="31">
        <f t="shared" si="47"/>
        <v>1.8374999999999999</v>
      </c>
      <c r="O151" s="25"/>
      <c r="P151" s="22">
        <v>44970</v>
      </c>
      <c r="Q151" s="25"/>
      <c r="R151" s="32" t="s">
        <v>260</v>
      </c>
      <c r="S151" s="21"/>
      <c r="T151" s="32" t="s">
        <v>139</v>
      </c>
      <c r="U151" s="21"/>
    </row>
    <row r="152" spans="1:21" ht="20.100000000000001" customHeight="1" x14ac:dyDescent="0.3">
      <c r="A152" s="44">
        <v>144</v>
      </c>
      <c r="B152" s="22">
        <v>44968</v>
      </c>
      <c r="C152" s="23"/>
      <c r="D152" s="24" t="s">
        <v>251</v>
      </c>
      <c r="E152" s="25"/>
      <c r="F152" s="26">
        <v>45</v>
      </c>
      <c r="G152" s="62" t="s">
        <v>230</v>
      </c>
      <c r="H152" s="26">
        <v>500</v>
      </c>
      <c r="I152" s="27">
        <f t="shared" si="45"/>
        <v>22500</v>
      </c>
      <c r="J152" s="28"/>
      <c r="K152" s="29">
        <v>1.75</v>
      </c>
      <c r="L152" s="30">
        <v>0.05</v>
      </c>
      <c r="M152" s="31">
        <f t="shared" si="46"/>
        <v>8.7500000000000008E-2</v>
      </c>
      <c r="N152" s="31">
        <f t="shared" si="47"/>
        <v>1.8374999999999999</v>
      </c>
      <c r="O152" s="25"/>
      <c r="P152" s="22">
        <v>44970</v>
      </c>
      <c r="Q152" s="25"/>
      <c r="R152" s="32" t="s">
        <v>260</v>
      </c>
      <c r="S152" s="21"/>
      <c r="T152" s="32" t="s">
        <v>139</v>
      </c>
      <c r="U152" s="21"/>
    </row>
    <row r="153" spans="1:21" ht="20.100000000000001" customHeight="1" x14ac:dyDescent="0.3">
      <c r="A153" s="44">
        <v>145</v>
      </c>
      <c r="B153" s="22">
        <v>44968</v>
      </c>
      <c r="C153" s="23"/>
      <c r="D153" s="24" t="s">
        <v>252</v>
      </c>
      <c r="E153" s="25"/>
      <c r="F153" s="26">
        <v>45</v>
      </c>
      <c r="G153" s="62" t="s">
        <v>230</v>
      </c>
      <c r="H153" s="26">
        <v>200</v>
      </c>
      <c r="I153" s="27">
        <f t="shared" si="45"/>
        <v>9000</v>
      </c>
      <c r="J153" s="28"/>
      <c r="K153" s="29">
        <v>1.25</v>
      </c>
      <c r="L153" s="30">
        <v>0.05</v>
      </c>
      <c r="M153" s="31">
        <f t="shared" si="46"/>
        <v>6.25E-2</v>
      </c>
      <c r="N153" s="31">
        <f t="shared" si="47"/>
        <v>1.3125</v>
      </c>
      <c r="O153" s="25"/>
      <c r="P153" s="22">
        <v>44970</v>
      </c>
      <c r="Q153" s="25"/>
      <c r="R153" s="32" t="s">
        <v>260</v>
      </c>
      <c r="S153" s="21"/>
      <c r="T153" s="32" t="s">
        <v>139</v>
      </c>
      <c r="U153" s="21"/>
    </row>
    <row r="154" spans="1:21" ht="20.100000000000001" customHeight="1" x14ac:dyDescent="0.3">
      <c r="A154" s="44">
        <v>146</v>
      </c>
      <c r="B154" s="22">
        <v>44968</v>
      </c>
      <c r="C154" s="23"/>
      <c r="D154" s="24" t="s">
        <v>115</v>
      </c>
      <c r="E154" s="25"/>
      <c r="F154" s="26">
        <v>42</v>
      </c>
      <c r="G154" s="62" t="s">
        <v>51</v>
      </c>
      <c r="H154" s="26">
        <v>1000</v>
      </c>
      <c r="I154" s="27">
        <f t="shared" si="45"/>
        <v>42000</v>
      </c>
      <c r="J154" s="28"/>
      <c r="K154" s="29">
        <v>2772</v>
      </c>
      <c r="L154" s="30">
        <v>0.05</v>
      </c>
      <c r="M154" s="31">
        <f t="shared" si="46"/>
        <v>138.6</v>
      </c>
      <c r="N154" s="31">
        <f t="shared" si="47"/>
        <v>2910.6</v>
      </c>
      <c r="O154" s="25"/>
      <c r="P154" s="22">
        <v>44971</v>
      </c>
      <c r="Q154" s="25"/>
      <c r="R154" s="32" t="s">
        <v>261</v>
      </c>
      <c r="S154" s="21"/>
      <c r="T154" s="32" t="s">
        <v>117</v>
      </c>
      <c r="U154" s="21"/>
    </row>
    <row r="155" spans="1:21" ht="20.100000000000001" customHeight="1" x14ac:dyDescent="0.3">
      <c r="A155" s="44">
        <v>147</v>
      </c>
      <c r="B155" s="68" t="s">
        <v>189</v>
      </c>
      <c r="C155" s="23"/>
      <c r="D155" s="24" t="s">
        <v>263</v>
      </c>
      <c r="E155" s="25"/>
      <c r="F155" s="26">
        <v>42</v>
      </c>
      <c r="G155" s="62" t="s">
        <v>51</v>
      </c>
      <c r="H155" s="26">
        <v>1000</v>
      </c>
      <c r="I155" s="27">
        <f t="shared" si="45"/>
        <v>42000</v>
      </c>
      <c r="J155" s="28"/>
      <c r="K155" s="29">
        <v>480</v>
      </c>
      <c r="L155" s="30">
        <v>0.05</v>
      </c>
      <c r="M155" s="31">
        <f t="shared" si="46"/>
        <v>24</v>
      </c>
      <c r="N155" s="31">
        <f t="shared" si="47"/>
        <v>504</v>
      </c>
      <c r="O155" s="25"/>
      <c r="P155" s="22">
        <v>44977</v>
      </c>
      <c r="Q155" s="25"/>
      <c r="R155" s="32" t="s">
        <v>264</v>
      </c>
      <c r="S155" s="21"/>
      <c r="T155" s="32" t="s">
        <v>265</v>
      </c>
      <c r="U155" s="21"/>
    </row>
    <row r="156" spans="1:21" ht="20.100000000000001" customHeight="1" x14ac:dyDescent="0.3">
      <c r="A156" s="44">
        <v>148</v>
      </c>
      <c r="B156" s="68" t="s">
        <v>189</v>
      </c>
      <c r="C156" s="23"/>
      <c r="D156" s="24" t="s">
        <v>253</v>
      </c>
      <c r="E156" s="25"/>
      <c r="F156" s="26">
        <v>4</v>
      </c>
      <c r="G156" s="62" t="s">
        <v>51</v>
      </c>
      <c r="H156" s="26">
        <v>1000</v>
      </c>
      <c r="I156" s="27">
        <f t="shared" ref="I156:I165" si="48">F156*H156</f>
        <v>4000</v>
      </c>
      <c r="J156" s="28"/>
      <c r="K156" s="29">
        <v>1961</v>
      </c>
      <c r="L156" s="30">
        <v>0.05</v>
      </c>
      <c r="M156" s="31">
        <f t="shared" ref="M156:M165" si="49">K156*L156</f>
        <v>98.050000000000011</v>
      </c>
      <c r="N156" s="31">
        <f t="shared" ref="N156:N165" si="50">K156+M156</f>
        <v>2059.0500000000002</v>
      </c>
      <c r="O156" s="25"/>
      <c r="P156" s="22">
        <v>44978</v>
      </c>
      <c r="Q156" s="25"/>
      <c r="R156" s="32" t="s">
        <v>266</v>
      </c>
      <c r="S156" s="21"/>
      <c r="T156" s="32" t="s">
        <v>139</v>
      </c>
      <c r="U156" s="21"/>
    </row>
    <row r="157" spans="1:21" ht="20.100000000000001" customHeight="1" x14ac:dyDescent="0.3">
      <c r="A157" s="44">
        <v>149</v>
      </c>
      <c r="B157" s="22">
        <v>44978</v>
      </c>
      <c r="C157" s="23"/>
      <c r="D157" s="24" t="s">
        <v>155</v>
      </c>
      <c r="E157" s="25"/>
      <c r="F157" s="26">
        <v>20</v>
      </c>
      <c r="G157" s="62" t="s">
        <v>18</v>
      </c>
      <c r="H157" s="26">
        <v>25</v>
      </c>
      <c r="I157" s="27">
        <f t="shared" si="48"/>
        <v>500</v>
      </c>
      <c r="J157" s="28"/>
      <c r="K157" s="29">
        <v>1250</v>
      </c>
      <c r="L157" s="30"/>
      <c r="M157" s="31">
        <f t="shared" si="49"/>
        <v>0</v>
      </c>
      <c r="N157" s="31">
        <f t="shared" si="50"/>
        <v>1250</v>
      </c>
      <c r="O157" s="25"/>
      <c r="P157" s="22">
        <v>44979</v>
      </c>
      <c r="Q157" s="25"/>
      <c r="R157" s="32" t="s">
        <v>267</v>
      </c>
      <c r="S157" s="21"/>
      <c r="T157" s="32" t="s">
        <v>160</v>
      </c>
      <c r="U157" s="21"/>
    </row>
    <row r="158" spans="1:21" ht="20.100000000000001" customHeight="1" x14ac:dyDescent="0.3">
      <c r="A158" s="44">
        <v>150</v>
      </c>
      <c r="B158" s="22">
        <v>44978</v>
      </c>
      <c r="C158" s="23"/>
      <c r="D158" s="24" t="s">
        <v>35</v>
      </c>
      <c r="E158" s="25"/>
      <c r="F158" s="26">
        <v>10</v>
      </c>
      <c r="G158" s="62" t="s">
        <v>18</v>
      </c>
      <c r="H158" s="26">
        <v>10</v>
      </c>
      <c r="I158" s="27">
        <f t="shared" si="48"/>
        <v>100</v>
      </c>
      <c r="J158" s="28"/>
      <c r="K158" s="29">
        <v>4000</v>
      </c>
      <c r="L158" s="30"/>
      <c r="M158" s="31">
        <f t="shared" si="49"/>
        <v>0</v>
      </c>
      <c r="N158" s="31">
        <f t="shared" si="50"/>
        <v>4000</v>
      </c>
      <c r="O158" s="25"/>
      <c r="P158" s="22">
        <v>44979</v>
      </c>
      <c r="Q158" s="25"/>
      <c r="R158" s="32" t="s">
        <v>268</v>
      </c>
      <c r="S158" s="21"/>
      <c r="T158" s="32" t="s">
        <v>40</v>
      </c>
      <c r="U158" s="21"/>
    </row>
    <row r="159" spans="1:21" ht="20.100000000000001" customHeight="1" x14ac:dyDescent="0.3">
      <c r="A159" s="44">
        <v>151</v>
      </c>
      <c r="B159" s="68" t="s">
        <v>189</v>
      </c>
      <c r="C159" s="23"/>
      <c r="D159" s="24" t="s">
        <v>269</v>
      </c>
      <c r="E159" s="25"/>
      <c r="F159" s="26">
        <v>5</v>
      </c>
      <c r="G159" s="62" t="s">
        <v>18</v>
      </c>
      <c r="H159" s="26">
        <v>10</v>
      </c>
      <c r="I159" s="27">
        <f t="shared" si="48"/>
        <v>50</v>
      </c>
      <c r="J159" s="28"/>
      <c r="K159" s="29">
        <v>8800</v>
      </c>
      <c r="L159" s="30"/>
      <c r="M159" s="31">
        <f t="shared" si="49"/>
        <v>0</v>
      </c>
      <c r="N159" s="31">
        <f t="shared" si="50"/>
        <v>8800</v>
      </c>
      <c r="O159" s="25"/>
      <c r="P159" s="22">
        <v>44982</v>
      </c>
      <c r="Q159" s="25"/>
      <c r="R159" s="32" t="s">
        <v>270</v>
      </c>
      <c r="S159" s="21"/>
      <c r="T159" s="32" t="s">
        <v>271</v>
      </c>
      <c r="U159" s="21"/>
    </row>
    <row r="160" spans="1:21" ht="20.100000000000001" customHeight="1" x14ac:dyDescent="0.3">
      <c r="A160" s="44">
        <v>152</v>
      </c>
      <c r="B160" s="22">
        <v>44982</v>
      </c>
      <c r="C160" s="23"/>
      <c r="D160" s="24" t="s">
        <v>99</v>
      </c>
      <c r="E160" s="25"/>
      <c r="F160" s="26">
        <v>30</v>
      </c>
      <c r="G160" s="62" t="s">
        <v>18</v>
      </c>
      <c r="H160" s="26">
        <v>10</v>
      </c>
      <c r="I160" s="27">
        <f t="shared" si="48"/>
        <v>300</v>
      </c>
      <c r="J160" s="28"/>
      <c r="K160" s="29">
        <v>7050</v>
      </c>
      <c r="L160" s="30"/>
      <c r="M160" s="31">
        <f t="shared" si="49"/>
        <v>0</v>
      </c>
      <c r="N160" s="31">
        <f t="shared" si="50"/>
        <v>7050</v>
      </c>
      <c r="O160" s="25"/>
      <c r="P160" s="22">
        <v>44984</v>
      </c>
      <c r="Q160" s="25"/>
      <c r="R160" s="32" t="s">
        <v>272</v>
      </c>
      <c r="S160" s="21"/>
      <c r="T160" s="32" t="s">
        <v>101</v>
      </c>
      <c r="U160" s="21"/>
    </row>
    <row r="161" spans="1:21" ht="20.100000000000001" customHeight="1" x14ac:dyDescent="0.3">
      <c r="A161" s="44">
        <v>153</v>
      </c>
      <c r="B161" s="22">
        <v>44982</v>
      </c>
      <c r="C161" s="23"/>
      <c r="D161" s="24" t="s">
        <v>274</v>
      </c>
      <c r="E161" s="25"/>
      <c r="F161" s="26">
        <v>12</v>
      </c>
      <c r="G161" s="62" t="s">
        <v>18</v>
      </c>
      <c r="H161" s="26">
        <v>25</v>
      </c>
      <c r="I161" s="27">
        <f t="shared" si="48"/>
        <v>300</v>
      </c>
      <c r="J161" s="28"/>
      <c r="K161" s="29">
        <v>6936</v>
      </c>
      <c r="L161" s="30"/>
      <c r="M161" s="31">
        <f t="shared" si="49"/>
        <v>0</v>
      </c>
      <c r="N161" s="31">
        <f t="shared" si="50"/>
        <v>6936</v>
      </c>
      <c r="O161" s="25"/>
      <c r="P161" s="22">
        <v>44984</v>
      </c>
      <c r="Q161" s="25"/>
      <c r="R161" s="32" t="s">
        <v>273</v>
      </c>
      <c r="S161" s="21"/>
      <c r="T161" s="32" t="s">
        <v>114</v>
      </c>
      <c r="U161" s="21"/>
    </row>
    <row r="162" spans="1:21" ht="20.100000000000001" customHeight="1" x14ac:dyDescent="0.3">
      <c r="A162" s="44">
        <v>154</v>
      </c>
      <c r="B162" s="77">
        <v>44978</v>
      </c>
      <c r="C162" s="23"/>
      <c r="D162" s="24" t="s">
        <v>275</v>
      </c>
      <c r="E162" s="25"/>
      <c r="F162" s="26">
        <v>32</v>
      </c>
      <c r="G162" s="62" t="s">
        <v>18</v>
      </c>
      <c r="H162" s="26">
        <v>25</v>
      </c>
      <c r="I162" s="27">
        <f t="shared" si="48"/>
        <v>800</v>
      </c>
      <c r="J162" s="28"/>
      <c r="K162" s="29">
        <v>15375</v>
      </c>
      <c r="L162" s="30"/>
      <c r="M162" s="31">
        <f t="shared" si="49"/>
        <v>0</v>
      </c>
      <c r="N162" s="31">
        <f t="shared" si="50"/>
        <v>15375</v>
      </c>
      <c r="O162" s="25"/>
      <c r="P162" s="22">
        <v>44987</v>
      </c>
      <c r="Q162" s="25"/>
      <c r="R162" s="32" t="s">
        <v>276</v>
      </c>
      <c r="S162" s="21"/>
      <c r="T162" s="32" t="s">
        <v>98</v>
      </c>
      <c r="U162" s="21"/>
    </row>
    <row r="163" spans="1:21" ht="20.100000000000001" customHeight="1" x14ac:dyDescent="0.3">
      <c r="A163" s="44">
        <v>155</v>
      </c>
      <c r="B163" s="22">
        <v>44987</v>
      </c>
      <c r="C163" s="76"/>
      <c r="D163" s="24" t="s">
        <v>258</v>
      </c>
      <c r="E163" s="25"/>
      <c r="F163" s="26">
        <v>4</v>
      </c>
      <c r="G163" s="62" t="s">
        <v>51</v>
      </c>
      <c r="H163" s="26">
        <v>1000</v>
      </c>
      <c r="I163" s="27">
        <f t="shared" si="48"/>
        <v>4000</v>
      </c>
      <c r="J163" s="28"/>
      <c r="K163" s="29">
        <v>162</v>
      </c>
      <c r="L163" s="30">
        <v>0.05</v>
      </c>
      <c r="M163" s="31">
        <f t="shared" si="49"/>
        <v>8.1</v>
      </c>
      <c r="N163" s="31">
        <f t="shared" si="50"/>
        <v>170.1</v>
      </c>
      <c r="O163" s="25"/>
      <c r="P163" s="22">
        <v>44987</v>
      </c>
      <c r="Q163" s="25"/>
      <c r="R163" s="32" t="s">
        <v>278</v>
      </c>
      <c r="S163" s="21"/>
      <c r="T163" s="32" t="s">
        <v>139</v>
      </c>
      <c r="U163" s="21"/>
    </row>
    <row r="164" spans="1:21" ht="20.100000000000001" customHeight="1" x14ac:dyDescent="0.3">
      <c r="A164" s="44">
        <v>156</v>
      </c>
      <c r="B164" s="22">
        <v>44987</v>
      </c>
      <c r="C164" s="76"/>
      <c r="D164" s="24" t="s">
        <v>259</v>
      </c>
      <c r="E164" s="25"/>
      <c r="F164" s="26">
        <v>4</v>
      </c>
      <c r="G164" s="62" t="s">
        <v>51</v>
      </c>
      <c r="H164" s="26">
        <v>1000</v>
      </c>
      <c r="I164" s="27">
        <f t="shared" si="48"/>
        <v>4000</v>
      </c>
      <c r="J164" s="28"/>
      <c r="K164" s="29">
        <v>231</v>
      </c>
      <c r="L164" s="30">
        <v>0.05</v>
      </c>
      <c r="M164" s="31">
        <f t="shared" si="49"/>
        <v>11.55</v>
      </c>
      <c r="N164" s="31">
        <f t="shared" si="50"/>
        <v>242.55</v>
      </c>
      <c r="O164" s="25"/>
      <c r="P164" s="22">
        <v>44987</v>
      </c>
      <c r="Q164" s="25"/>
      <c r="R164" s="32" t="s">
        <v>278</v>
      </c>
      <c r="S164" s="21"/>
      <c r="T164" s="32" t="s">
        <v>139</v>
      </c>
      <c r="U164" s="21"/>
    </row>
    <row r="165" spans="1:21" ht="20.100000000000001" customHeight="1" x14ac:dyDescent="0.3">
      <c r="A165" s="44">
        <v>157</v>
      </c>
      <c r="B165" s="22">
        <v>44987</v>
      </c>
      <c r="C165" s="76"/>
      <c r="D165" s="24" t="s">
        <v>255</v>
      </c>
      <c r="E165" s="25"/>
      <c r="F165" s="26">
        <v>4</v>
      </c>
      <c r="G165" s="62" t="s">
        <v>51</v>
      </c>
      <c r="H165" s="26">
        <v>1000</v>
      </c>
      <c r="I165" s="27">
        <f t="shared" si="48"/>
        <v>4000</v>
      </c>
      <c r="J165" s="28"/>
      <c r="K165" s="29">
        <v>106</v>
      </c>
      <c r="L165" s="30">
        <v>0.05</v>
      </c>
      <c r="M165" s="31">
        <f t="shared" si="49"/>
        <v>5.3000000000000007</v>
      </c>
      <c r="N165" s="31">
        <f t="shared" si="50"/>
        <v>111.3</v>
      </c>
      <c r="O165" s="25"/>
      <c r="P165" s="22">
        <v>44987</v>
      </c>
      <c r="Q165" s="25"/>
      <c r="R165" s="32" t="s">
        <v>278</v>
      </c>
      <c r="S165" s="21"/>
      <c r="T165" s="32" t="s">
        <v>139</v>
      </c>
      <c r="U165" s="21"/>
    </row>
    <row r="166" spans="1:21" ht="20.100000000000001" customHeight="1" x14ac:dyDescent="0.3">
      <c r="A166" s="44">
        <v>158</v>
      </c>
      <c r="B166" s="22">
        <v>44987</v>
      </c>
      <c r="C166" s="76"/>
      <c r="D166" s="24" t="s">
        <v>257</v>
      </c>
      <c r="E166" s="25"/>
      <c r="F166" s="26">
        <v>4</v>
      </c>
      <c r="G166" s="62" t="s">
        <v>51</v>
      </c>
      <c r="H166" s="26">
        <v>1000</v>
      </c>
      <c r="I166" s="27">
        <f t="shared" ref="I166:I168" si="51">F166*H166</f>
        <v>4000</v>
      </c>
      <c r="J166" s="28"/>
      <c r="K166" s="29">
        <v>106</v>
      </c>
      <c r="L166" s="30">
        <v>0.05</v>
      </c>
      <c r="M166" s="31">
        <f t="shared" ref="M166:M168" si="52">K166*L166</f>
        <v>5.3000000000000007</v>
      </c>
      <c r="N166" s="31">
        <f t="shared" ref="N166:N168" si="53">K166+M166</f>
        <v>111.3</v>
      </c>
      <c r="O166" s="25"/>
      <c r="P166" s="22">
        <v>44987</v>
      </c>
      <c r="Q166" s="25"/>
      <c r="R166" s="32" t="s">
        <v>278</v>
      </c>
      <c r="S166" s="21"/>
      <c r="T166" s="32" t="s">
        <v>139</v>
      </c>
      <c r="U166" s="21"/>
    </row>
    <row r="167" spans="1:21" ht="20.100000000000001" customHeight="1" x14ac:dyDescent="0.3">
      <c r="A167" s="44">
        <v>159</v>
      </c>
      <c r="B167" s="22">
        <v>44987</v>
      </c>
      <c r="C167" s="76"/>
      <c r="D167" s="24" t="s">
        <v>246</v>
      </c>
      <c r="E167" s="25"/>
      <c r="F167" s="26">
        <v>4</v>
      </c>
      <c r="G167" s="62" t="s">
        <v>51</v>
      </c>
      <c r="H167" s="26">
        <v>1000</v>
      </c>
      <c r="I167" s="27">
        <f t="shared" si="51"/>
        <v>4000</v>
      </c>
      <c r="J167" s="28"/>
      <c r="K167" s="29">
        <v>119</v>
      </c>
      <c r="L167" s="30">
        <v>0.05</v>
      </c>
      <c r="M167" s="31">
        <f t="shared" si="52"/>
        <v>5.95</v>
      </c>
      <c r="N167" s="31">
        <f t="shared" si="53"/>
        <v>124.95</v>
      </c>
      <c r="O167" s="25"/>
      <c r="P167" s="22">
        <v>44987</v>
      </c>
      <c r="Q167" s="25"/>
      <c r="R167" s="32" t="s">
        <v>278</v>
      </c>
      <c r="S167" s="21"/>
      <c r="T167" s="32" t="s">
        <v>139</v>
      </c>
      <c r="U167" s="21"/>
    </row>
    <row r="168" spans="1:21" ht="20.100000000000001" customHeight="1" x14ac:dyDescent="0.3">
      <c r="A168" s="44">
        <v>160</v>
      </c>
      <c r="B168" s="22">
        <v>44987</v>
      </c>
      <c r="C168" s="76"/>
      <c r="D168" s="24" t="s">
        <v>256</v>
      </c>
      <c r="E168" s="25"/>
      <c r="F168" s="26">
        <v>4</v>
      </c>
      <c r="G168" s="62" t="s">
        <v>51</v>
      </c>
      <c r="H168" s="26">
        <v>1000</v>
      </c>
      <c r="I168" s="27">
        <f t="shared" si="51"/>
        <v>4000</v>
      </c>
      <c r="J168" s="28"/>
      <c r="K168" s="29">
        <v>57</v>
      </c>
      <c r="L168" s="30">
        <v>0.05</v>
      </c>
      <c r="M168" s="31">
        <f t="shared" si="52"/>
        <v>2.85</v>
      </c>
      <c r="N168" s="31">
        <f t="shared" si="53"/>
        <v>59.85</v>
      </c>
      <c r="O168" s="25"/>
      <c r="P168" s="22">
        <v>44987</v>
      </c>
      <c r="Q168" s="25"/>
      <c r="R168" s="32" t="s">
        <v>278</v>
      </c>
      <c r="S168" s="21"/>
      <c r="T168" s="32" t="s">
        <v>139</v>
      </c>
      <c r="U168" s="21"/>
    </row>
    <row r="169" spans="1:21" ht="20.100000000000001" customHeight="1" x14ac:dyDescent="0.3">
      <c r="A169" s="44">
        <v>161</v>
      </c>
      <c r="B169" s="22">
        <v>44987</v>
      </c>
      <c r="C169" s="76"/>
      <c r="D169" s="24" t="s">
        <v>247</v>
      </c>
      <c r="E169" s="25"/>
      <c r="F169" s="26">
        <v>4</v>
      </c>
      <c r="G169" s="62" t="s">
        <v>51</v>
      </c>
      <c r="H169" s="26">
        <v>1000</v>
      </c>
      <c r="I169" s="27">
        <f t="shared" ref="I169:I180" si="54">F169*H169</f>
        <v>4000</v>
      </c>
      <c r="J169" s="28"/>
      <c r="K169" s="29">
        <v>126</v>
      </c>
      <c r="L169" s="30">
        <v>0.05</v>
      </c>
      <c r="M169" s="31">
        <f t="shared" ref="M169:M180" si="55">K169*L169</f>
        <v>6.3000000000000007</v>
      </c>
      <c r="N169" s="31">
        <f t="shared" ref="N169:N180" si="56">K169+M169</f>
        <v>132.30000000000001</v>
      </c>
      <c r="O169" s="25"/>
      <c r="P169" s="22">
        <v>44987</v>
      </c>
      <c r="Q169" s="25"/>
      <c r="R169" s="32" t="s">
        <v>278</v>
      </c>
      <c r="S169" s="21"/>
      <c r="T169" s="32" t="s">
        <v>139</v>
      </c>
      <c r="U169" s="21"/>
    </row>
    <row r="170" spans="1:21" ht="20.100000000000001" customHeight="1" x14ac:dyDescent="0.3">
      <c r="A170" s="44">
        <v>162</v>
      </c>
      <c r="B170" s="22">
        <v>44987</v>
      </c>
      <c r="C170" s="76"/>
      <c r="D170" s="24" t="s">
        <v>253</v>
      </c>
      <c r="E170" s="25"/>
      <c r="F170" s="26">
        <v>4</v>
      </c>
      <c r="G170" s="62" t="s">
        <v>51</v>
      </c>
      <c r="H170" s="26">
        <v>1000</v>
      </c>
      <c r="I170" s="27">
        <f t="shared" si="54"/>
        <v>4000</v>
      </c>
      <c r="J170" s="28"/>
      <c r="K170" s="29">
        <v>1961</v>
      </c>
      <c r="L170" s="30">
        <v>0.05</v>
      </c>
      <c r="M170" s="31">
        <f t="shared" si="55"/>
        <v>98.050000000000011</v>
      </c>
      <c r="N170" s="31">
        <f t="shared" si="56"/>
        <v>2059.0500000000002</v>
      </c>
      <c r="O170" s="25"/>
      <c r="P170" s="22">
        <v>44987</v>
      </c>
      <c r="Q170" s="25"/>
      <c r="R170" s="32" t="s">
        <v>278</v>
      </c>
      <c r="S170" s="21"/>
      <c r="T170" s="32" t="s">
        <v>139</v>
      </c>
      <c r="U170" s="21"/>
    </row>
    <row r="171" spans="1:21" ht="20.100000000000001" customHeight="1" x14ac:dyDescent="0.3">
      <c r="A171" s="44">
        <v>163</v>
      </c>
      <c r="B171" s="22">
        <v>44987</v>
      </c>
      <c r="C171" s="76"/>
      <c r="D171" s="24" t="s">
        <v>277</v>
      </c>
      <c r="E171" s="25"/>
      <c r="F171" s="26">
        <v>46</v>
      </c>
      <c r="G171" s="62" t="s">
        <v>51</v>
      </c>
      <c r="H171" s="26">
        <v>1000</v>
      </c>
      <c r="I171" s="27">
        <f t="shared" si="54"/>
        <v>46000</v>
      </c>
      <c r="J171" s="28"/>
      <c r="K171" s="29">
        <v>1313</v>
      </c>
      <c r="L171" s="30">
        <v>0.05</v>
      </c>
      <c r="M171" s="31">
        <f t="shared" si="55"/>
        <v>65.650000000000006</v>
      </c>
      <c r="N171" s="31">
        <f t="shared" si="56"/>
        <v>1378.65</v>
      </c>
      <c r="O171" s="25"/>
      <c r="P171" s="22">
        <v>44987</v>
      </c>
      <c r="Q171" s="25"/>
      <c r="R171" s="32" t="s">
        <v>278</v>
      </c>
      <c r="S171" s="21"/>
      <c r="T171" s="32" t="s">
        <v>139</v>
      </c>
      <c r="U171" s="21"/>
    </row>
    <row r="172" spans="1:21" ht="20.100000000000001" customHeight="1" x14ac:dyDescent="0.3">
      <c r="A172" s="44">
        <v>164</v>
      </c>
      <c r="B172" s="22">
        <v>44987</v>
      </c>
      <c r="C172" s="76"/>
      <c r="D172" s="24" t="s">
        <v>254</v>
      </c>
      <c r="E172" s="25"/>
      <c r="F172" s="26">
        <v>4</v>
      </c>
      <c r="G172" s="62" t="s">
        <v>51</v>
      </c>
      <c r="H172" s="26">
        <v>1000</v>
      </c>
      <c r="I172" s="27">
        <f t="shared" si="54"/>
        <v>4000</v>
      </c>
      <c r="J172" s="28"/>
      <c r="K172" s="29">
        <v>919</v>
      </c>
      <c r="L172" s="30">
        <v>0.05</v>
      </c>
      <c r="M172" s="31">
        <f t="shared" si="55"/>
        <v>45.95</v>
      </c>
      <c r="N172" s="31">
        <f t="shared" si="56"/>
        <v>964.95</v>
      </c>
      <c r="O172" s="25"/>
      <c r="P172" s="22">
        <v>44987</v>
      </c>
      <c r="Q172" s="25"/>
      <c r="R172" s="32" t="s">
        <v>278</v>
      </c>
      <c r="S172" s="21"/>
      <c r="T172" s="32" t="s">
        <v>139</v>
      </c>
      <c r="U172" s="21"/>
    </row>
    <row r="173" spans="1:21" ht="20.100000000000001" customHeight="1" x14ac:dyDescent="0.3">
      <c r="A173" s="44">
        <v>165</v>
      </c>
      <c r="B173" s="22">
        <v>44987</v>
      </c>
      <c r="C173" s="76"/>
      <c r="D173" s="24" t="s">
        <v>248</v>
      </c>
      <c r="E173" s="25"/>
      <c r="F173" s="26">
        <v>4</v>
      </c>
      <c r="G173" s="62" t="s">
        <v>51</v>
      </c>
      <c r="H173" s="26">
        <v>1000</v>
      </c>
      <c r="I173" s="27">
        <f t="shared" si="54"/>
        <v>4000</v>
      </c>
      <c r="J173" s="28"/>
      <c r="K173" s="29">
        <v>2021</v>
      </c>
      <c r="L173" s="30">
        <v>0.05</v>
      </c>
      <c r="M173" s="31">
        <f t="shared" si="55"/>
        <v>101.05000000000001</v>
      </c>
      <c r="N173" s="31">
        <f t="shared" si="56"/>
        <v>2122.0500000000002</v>
      </c>
      <c r="O173" s="25"/>
      <c r="P173" s="22">
        <v>44987</v>
      </c>
      <c r="Q173" s="25"/>
      <c r="R173" s="32" t="s">
        <v>278</v>
      </c>
      <c r="S173" s="21"/>
      <c r="T173" s="32" t="s">
        <v>139</v>
      </c>
      <c r="U173" s="21"/>
    </row>
    <row r="174" spans="1:21" ht="20.100000000000001" customHeight="1" x14ac:dyDescent="0.3">
      <c r="A174" s="44">
        <v>166</v>
      </c>
      <c r="B174" s="22">
        <v>44987</v>
      </c>
      <c r="C174" s="76"/>
      <c r="D174" s="24" t="s">
        <v>249</v>
      </c>
      <c r="E174" s="25"/>
      <c r="F174" s="26">
        <v>4</v>
      </c>
      <c r="G174" s="62" t="s">
        <v>51</v>
      </c>
      <c r="H174" s="26">
        <v>1000</v>
      </c>
      <c r="I174" s="27">
        <f t="shared" si="54"/>
        <v>4000</v>
      </c>
      <c r="J174" s="28"/>
      <c r="K174" s="29">
        <v>2835</v>
      </c>
      <c r="L174" s="30">
        <v>0.05</v>
      </c>
      <c r="M174" s="31">
        <f t="shared" si="55"/>
        <v>141.75</v>
      </c>
      <c r="N174" s="31">
        <f t="shared" si="56"/>
        <v>2976.75</v>
      </c>
      <c r="O174" s="25"/>
      <c r="P174" s="22">
        <v>44987</v>
      </c>
      <c r="Q174" s="25"/>
      <c r="R174" s="32" t="s">
        <v>278</v>
      </c>
      <c r="S174" s="21"/>
      <c r="T174" s="32" t="s">
        <v>139</v>
      </c>
      <c r="U174" s="21"/>
    </row>
    <row r="175" spans="1:21" ht="20.100000000000001" customHeight="1" x14ac:dyDescent="0.3">
      <c r="A175" s="44">
        <v>167</v>
      </c>
      <c r="B175" s="22">
        <v>44987</v>
      </c>
      <c r="C175" s="76"/>
      <c r="D175" s="24" t="s">
        <v>148</v>
      </c>
      <c r="E175" s="25"/>
      <c r="F175" s="26">
        <v>4</v>
      </c>
      <c r="G175" s="62" t="s">
        <v>51</v>
      </c>
      <c r="H175" s="26">
        <v>1000</v>
      </c>
      <c r="I175" s="27">
        <f t="shared" si="54"/>
        <v>4000</v>
      </c>
      <c r="J175" s="28"/>
      <c r="K175" s="29">
        <v>2363</v>
      </c>
      <c r="L175" s="30">
        <v>0.05</v>
      </c>
      <c r="M175" s="31">
        <f t="shared" si="55"/>
        <v>118.15</v>
      </c>
      <c r="N175" s="31">
        <f t="shared" si="56"/>
        <v>2481.15</v>
      </c>
      <c r="O175" s="25"/>
      <c r="P175" s="22">
        <v>44987</v>
      </c>
      <c r="Q175" s="25"/>
      <c r="R175" s="32" t="s">
        <v>278</v>
      </c>
      <c r="S175" s="21"/>
      <c r="T175" s="32" t="s">
        <v>139</v>
      </c>
      <c r="U175" s="21"/>
    </row>
    <row r="176" spans="1:21" ht="20.100000000000001" customHeight="1" x14ac:dyDescent="0.3">
      <c r="A176" s="44">
        <v>168</v>
      </c>
      <c r="B176" s="22">
        <v>44987</v>
      </c>
      <c r="C176" s="76"/>
      <c r="D176" s="24" t="s">
        <v>250</v>
      </c>
      <c r="E176" s="25"/>
      <c r="F176" s="26">
        <v>30</v>
      </c>
      <c r="G176" s="62" t="s">
        <v>52</v>
      </c>
      <c r="H176" s="26">
        <v>30</v>
      </c>
      <c r="I176" s="27">
        <f t="shared" si="54"/>
        <v>900</v>
      </c>
      <c r="J176" s="28"/>
      <c r="K176" s="29">
        <v>1.75</v>
      </c>
      <c r="L176" s="30">
        <v>0.05</v>
      </c>
      <c r="M176" s="31">
        <f t="shared" si="55"/>
        <v>8.7500000000000008E-2</v>
      </c>
      <c r="N176" s="31">
        <f t="shared" si="56"/>
        <v>1.8374999999999999</v>
      </c>
      <c r="O176" s="25"/>
      <c r="P176" s="22">
        <v>44987</v>
      </c>
      <c r="Q176" s="25"/>
      <c r="R176" s="32" t="s">
        <v>278</v>
      </c>
      <c r="S176" s="21"/>
      <c r="T176" s="32" t="s">
        <v>139</v>
      </c>
      <c r="U176" s="21"/>
    </row>
    <row r="177" spans="1:21" ht="20.100000000000001" customHeight="1" x14ac:dyDescent="0.3">
      <c r="A177" s="44">
        <v>169</v>
      </c>
      <c r="B177" s="22">
        <v>44987</v>
      </c>
      <c r="C177" s="76"/>
      <c r="D177" s="24" t="s">
        <v>251</v>
      </c>
      <c r="E177" s="25"/>
      <c r="F177" s="26">
        <v>5</v>
      </c>
      <c r="G177" s="62" t="s">
        <v>52</v>
      </c>
      <c r="H177" s="26">
        <v>500</v>
      </c>
      <c r="I177" s="27">
        <f t="shared" si="54"/>
        <v>2500</v>
      </c>
      <c r="J177" s="28"/>
      <c r="K177" s="29">
        <v>1.75</v>
      </c>
      <c r="L177" s="30">
        <v>0.05</v>
      </c>
      <c r="M177" s="31">
        <f t="shared" si="55"/>
        <v>8.7500000000000008E-2</v>
      </c>
      <c r="N177" s="31">
        <f t="shared" si="56"/>
        <v>1.8374999999999999</v>
      </c>
      <c r="O177" s="25"/>
      <c r="P177" s="22">
        <v>44987</v>
      </c>
      <c r="Q177" s="25"/>
      <c r="R177" s="32" t="s">
        <v>278</v>
      </c>
      <c r="S177" s="21"/>
      <c r="T177" s="32" t="s">
        <v>139</v>
      </c>
      <c r="U177" s="21"/>
    </row>
    <row r="178" spans="1:21" ht="20.100000000000001" customHeight="1" x14ac:dyDescent="0.3">
      <c r="A178" s="44">
        <v>170</v>
      </c>
      <c r="B178" s="22">
        <v>44987</v>
      </c>
      <c r="C178" s="76"/>
      <c r="D178" s="24" t="s">
        <v>252</v>
      </c>
      <c r="E178" s="25"/>
      <c r="F178" s="26">
        <v>5</v>
      </c>
      <c r="G178" s="62" t="s">
        <v>52</v>
      </c>
      <c r="H178" s="26">
        <v>200</v>
      </c>
      <c r="I178" s="27">
        <f t="shared" si="54"/>
        <v>1000</v>
      </c>
      <c r="J178" s="28"/>
      <c r="K178" s="29">
        <v>1.25</v>
      </c>
      <c r="L178" s="30">
        <v>0.05</v>
      </c>
      <c r="M178" s="31">
        <f t="shared" si="55"/>
        <v>6.25E-2</v>
      </c>
      <c r="N178" s="31">
        <f t="shared" si="56"/>
        <v>1.3125</v>
      </c>
      <c r="O178" s="25"/>
      <c r="P178" s="22">
        <v>44987</v>
      </c>
      <c r="Q178" s="25"/>
      <c r="R178" s="32" t="s">
        <v>278</v>
      </c>
      <c r="S178" s="21"/>
      <c r="T178" s="32" t="s">
        <v>139</v>
      </c>
      <c r="U178" s="21"/>
    </row>
    <row r="179" spans="1:21" ht="20.100000000000001" customHeight="1" x14ac:dyDescent="0.3">
      <c r="A179" s="44">
        <v>171</v>
      </c>
      <c r="B179" s="22">
        <v>44987</v>
      </c>
      <c r="C179" s="23"/>
      <c r="D179" s="24" t="s">
        <v>279</v>
      </c>
      <c r="E179" s="25"/>
      <c r="F179" s="26">
        <v>4</v>
      </c>
      <c r="G179" s="62" t="s">
        <v>51</v>
      </c>
      <c r="H179" s="26">
        <v>1000</v>
      </c>
      <c r="I179" s="27">
        <f t="shared" si="54"/>
        <v>4000</v>
      </c>
      <c r="J179" s="28"/>
      <c r="K179" s="29">
        <v>1500</v>
      </c>
      <c r="L179" s="30">
        <v>0.05</v>
      </c>
      <c r="M179" s="31">
        <f t="shared" si="55"/>
        <v>75</v>
      </c>
      <c r="N179" s="31">
        <f t="shared" si="56"/>
        <v>1575</v>
      </c>
      <c r="O179" s="25"/>
      <c r="P179" s="22">
        <v>44987</v>
      </c>
      <c r="Q179" s="25"/>
      <c r="R179" s="32" t="s">
        <v>280</v>
      </c>
      <c r="S179" s="21"/>
      <c r="T179" s="32" t="s">
        <v>124</v>
      </c>
      <c r="U179" s="21"/>
    </row>
    <row r="180" spans="1:21" ht="20.100000000000001" customHeight="1" x14ac:dyDescent="0.3">
      <c r="A180" s="44">
        <v>172</v>
      </c>
      <c r="B180" s="22">
        <v>44987</v>
      </c>
      <c r="C180" s="23"/>
      <c r="D180" s="24" t="s">
        <v>242</v>
      </c>
      <c r="E180" s="25"/>
      <c r="F180" s="26">
        <v>4</v>
      </c>
      <c r="G180" s="62" t="s">
        <v>51</v>
      </c>
      <c r="H180" s="26">
        <v>1000</v>
      </c>
      <c r="I180" s="27">
        <f t="shared" si="54"/>
        <v>4000</v>
      </c>
      <c r="J180" s="28"/>
      <c r="K180" s="29">
        <v>902.48</v>
      </c>
      <c r="L180" s="30">
        <v>0.05</v>
      </c>
      <c r="M180" s="31">
        <f t="shared" si="55"/>
        <v>45.124000000000002</v>
      </c>
      <c r="N180" s="31">
        <f t="shared" si="56"/>
        <v>947.60400000000004</v>
      </c>
      <c r="O180" s="25"/>
      <c r="P180" s="22">
        <v>44987</v>
      </c>
      <c r="Q180" s="25"/>
      <c r="R180" s="32" t="s">
        <v>280</v>
      </c>
      <c r="S180" s="21"/>
      <c r="T180" s="32" t="s">
        <v>124</v>
      </c>
      <c r="U180" s="21"/>
    </row>
    <row r="181" spans="1:21" ht="20.100000000000001" customHeight="1" x14ac:dyDescent="0.3">
      <c r="A181" s="44">
        <v>173</v>
      </c>
      <c r="B181" s="22">
        <v>44987</v>
      </c>
      <c r="C181" s="23"/>
      <c r="D181" s="24" t="s">
        <v>243</v>
      </c>
      <c r="E181" s="25"/>
      <c r="F181" s="26">
        <v>4</v>
      </c>
      <c r="G181" s="62" t="s">
        <v>51</v>
      </c>
      <c r="H181" s="26">
        <v>1000</v>
      </c>
      <c r="I181" s="27">
        <f t="shared" ref="I181:I190" si="57">F181*H181</f>
        <v>4000</v>
      </c>
      <c r="J181" s="28"/>
      <c r="K181" s="29">
        <v>2435.25</v>
      </c>
      <c r="L181" s="30">
        <v>0.05</v>
      </c>
      <c r="M181" s="31">
        <f t="shared" ref="M181:M190" si="58">K181*L181</f>
        <v>121.7625</v>
      </c>
      <c r="N181" s="31">
        <f t="shared" ref="N181:N190" si="59">K181+M181</f>
        <v>2557.0124999999998</v>
      </c>
      <c r="O181" s="25"/>
      <c r="P181" s="22">
        <v>44987</v>
      </c>
      <c r="Q181" s="25"/>
      <c r="R181" s="32" t="s">
        <v>280</v>
      </c>
      <c r="S181" s="21"/>
      <c r="T181" s="32" t="s">
        <v>124</v>
      </c>
      <c r="U181" s="21"/>
    </row>
    <row r="182" spans="1:21" ht="20.100000000000001" customHeight="1" x14ac:dyDescent="0.3">
      <c r="A182" s="44">
        <v>174</v>
      </c>
      <c r="B182" s="22">
        <v>44987</v>
      </c>
      <c r="C182" s="23"/>
      <c r="D182" s="24" t="s">
        <v>115</v>
      </c>
      <c r="E182" s="25"/>
      <c r="F182" s="26">
        <v>4</v>
      </c>
      <c r="G182" s="62" t="s">
        <v>51</v>
      </c>
      <c r="H182" s="26">
        <v>1000</v>
      </c>
      <c r="I182" s="27">
        <f t="shared" si="57"/>
        <v>4000</v>
      </c>
      <c r="J182" s="28"/>
      <c r="K182" s="29">
        <v>2772</v>
      </c>
      <c r="L182" s="30">
        <v>0.05</v>
      </c>
      <c r="M182" s="31">
        <f t="shared" si="58"/>
        <v>138.6</v>
      </c>
      <c r="N182" s="31">
        <f t="shared" si="59"/>
        <v>2910.6</v>
      </c>
      <c r="O182" s="25"/>
      <c r="P182" s="22">
        <v>44987</v>
      </c>
      <c r="Q182" s="25"/>
      <c r="R182" s="32" t="s">
        <v>281</v>
      </c>
      <c r="S182" s="21"/>
      <c r="T182" s="32" t="s">
        <v>117</v>
      </c>
      <c r="U182" s="21"/>
    </row>
    <row r="183" spans="1:21" ht="20.100000000000001" customHeight="1" x14ac:dyDescent="0.3">
      <c r="A183" s="44">
        <v>175</v>
      </c>
      <c r="B183" s="22">
        <v>44987</v>
      </c>
      <c r="C183" s="23"/>
      <c r="D183" s="24" t="s">
        <v>130</v>
      </c>
      <c r="E183" s="25"/>
      <c r="F183" s="26">
        <v>5</v>
      </c>
      <c r="G183" s="62" t="s">
        <v>51</v>
      </c>
      <c r="H183" s="26">
        <v>2500</v>
      </c>
      <c r="I183" s="27">
        <f t="shared" si="57"/>
        <v>12500</v>
      </c>
      <c r="J183" s="28"/>
      <c r="K183" s="29">
        <v>550</v>
      </c>
      <c r="L183" s="30">
        <v>0.05</v>
      </c>
      <c r="M183" s="31">
        <f t="shared" si="58"/>
        <v>27.5</v>
      </c>
      <c r="N183" s="31">
        <f t="shared" si="59"/>
        <v>577.5</v>
      </c>
      <c r="O183" s="25"/>
      <c r="P183" s="22">
        <v>44987</v>
      </c>
      <c r="Q183" s="25"/>
      <c r="R183" s="32" t="s">
        <v>282</v>
      </c>
      <c r="S183" s="21"/>
      <c r="T183" s="32" t="s">
        <v>49</v>
      </c>
      <c r="U183" s="21"/>
    </row>
    <row r="184" spans="1:21" ht="20.100000000000001" customHeight="1" x14ac:dyDescent="0.3">
      <c r="A184" s="44">
        <v>176</v>
      </c>
      <c r="B184" s="22">
        <v>44987</v>
      </c>
      <c r="C184" s="23"/>
      <c r="D184" s="24" t="s">
        <v>263</v>
      </c>
      <c r="E184" s="25"/>
      <c r="F184" s="26">
        <v>5</v>
      </c>
      <c r="G184" s="62" t="s">
        <v>51</v>
      </c>
      <c r="H184" s="26">
        <v>1000</v>
      </c>
      <c r="I184" s="27">
        <f t="shared" si="57"/>
        <v>5000</v>
      </c>
      <c r="J184" s="28"/>
      <c r="K184" s="29">
        <v>480</v>
      </c>
      <c r="L184" s="30">
        <v>0.05</v>
      </c>
      <c r="M184" s="31">
        <f t="shared" si="58"/>
        <v>24</v>
      </c>
      <c r="N184" s="31">
        <f t="shared" si="59"/>
        <v>504</v>
      </c>
      <c r="O184" s="25"/>
      <c r="P184" s="22">
        <v>44987</v>
      </c>
      <c r="Q184" s="25"/>
      <c r="R184" s="32" t="s">
        <v>283</v>
      </c>
      <c r="S184" s="21"/>
      <c r="T184" s="32" t="s">
        <v>265</v>
      </c>
      <c r="U184" s="21"/>
    </row>
    <row r="185" spans="1:21" ht="20.100000000000001" customHeight="1" x14ac:dyDescent="0.3">
      <c r="A185" s="44">
        <v>177</v>
      </c>
      <c r="B185" s="22">
        <v>44993</v>
      </c>
      <c r="C185" s="23"/>
      <c r="D185" s="24" t="s">
        <v>284</v>
      </c>
      <c r="E185" s="25"/>
      <c r="F185" s="26">
        <v>20</v>
      </c>
      <c r="G185" s="62" t="s">
        <v>18</v>
      </c>
      <c r="H185" s="26">
        <v>25</v>
      </c>
      <c r="I185" s="27">
        <f t="shared" si="57"/>
        <v>500</v>
      </c>
      <c r="J185" s="28"/>
      <c r="K185" s="29">
        <v>3389.85</v>
      </c>
      <c r="L185" s="30">
        <v>0.18</v>
      </c>
      <c r="M185" s="31">
        <f t="shared" si="58"/>
        <v>610.173</v>
      </c>
      <c r="N185" s="31">
        <f t="shared" si="59"/>
        <v>4000.0230000000001</v>
      </c>
      <c r="O185" s="25"/>
      <c r="P185" s="22">
        <v>45000</v>
      </c>
      <c r="Q185" s="25"/>
      <c r="R185" s="32" t="s">
        <v>286</v>
      </c>
      <c r="S185" s="21"/>
      <c r="T185" s="32" t="s">
        <v>214</v>
      </c>
      <c r="U185" s="21"/>
    </row>
    <row r="186" spans="1:21" ht="20.100000000000001" customHeight="1" x14ac:dyDescent="0.3">
      <c r="A186" s="44">
        <v>178</v>
      </c>
      <c r="B186" s="22">
        <v>44993</v>
      </c>
      <c r="C186" s="23"/>
      <c r="D186" s="24" t="s">
        <v>285</v>
      </c>
      <c r="E186" s="25"/>
      <c r="F186" s="26">
        <v>20</v>
      </c>
      <c r="G186" s="62" t="s">
        <v>18</v>
      </c>
      <c r="H186" s="26">
        <v>25</v>
      </c>
      <c r="I186" s="27">
        <f t="shared" si="57"/>
        <v>500</v>
      </c>
      <c r="J186" s="28"/>
      <c r="K186" s="29">
        <v>5000</v>
      </c>
      <c r="L186" s="30">
        <v>0.18</v>
      </c>
      <c r="M186" s="31">
        <f t="shared" si="58"/>
        <v>900</v>
      </c>
      <c r="N186" s="31">
        <f t="shared" si="59"/>
        <v>5900</v>
      </c>
      <c r="O186" s="25"/>
      <c r="P186" s="22">
        <v>45000</v>
      </c>
      <c r="Q186" s="25"/>
      <c r="R186" s="32" t="s">
        <v>286</v>
      </c>
      <c r="S186" s="21"/>
      <c r="T186" s="32" t="s">
        <v>214</v>
      </c>
      <c r="U186" s="21"/>
    </row>
    <row r="187" spans="1:21" ht="20.100000000000001" customHeight="1" x14ac:dyDescent="0.3">
      <c r="A187" s="44">
        <v>179</v>
      </c>
      <c r="B187" s="68" t="s">
        <v>189</v>
      </c>
      <c r="C187" s="23"/>
      <c r="D187" s="24" t="s">
        <v>287</v>
      </c>
      <c r="E187" s="25"/>
      <c r="F187" s="26">
        <v>4</v>
      </c>
      <c r="G187" s="62" t="s">
        <v>18</v>
      </c>
      <c r="H187" s="26">
        <v>25</v>
      </c>
      <c r="I187" s="27">
        <f t="shared" si="57"/>
        <v>100</v>
      </c>
      <c r="J187" s="28"/>
      <c r="K187" s="29">
        <v>23000</v>
      </c>
      <c r="L187" s="30"/>
      <c r="M187" s="31">
        <f t="shared" si="58"/>
        <v>0</v>
      </c>
      <c r="N187" s="31">
        <f t="shared" si="59"/>
        <v>23000</v>
      </c>
      <c r="O187" s="25"/>
      <c r="P187" s="22">
        <v>45000</v>
      </c>
      <c r="Q187" s="25"/>
      <c r="R187" s="32" t="s">
        <v>288</v>
      </c>
      <c r="S187" s="21"/>
      <c r="T187" s="32" t="s">
        <v>289</v>
      </c>
      <c r="U187" s="21"/>
    </row>
    <row r="188" spans="1:21" ht="20.100000000000001" customHeight="1" x14ac:dyDescent="0.3">
      <c r="A188" s="44">
        <v>180</v>
      </c>
      <c r="B188" s="22">
        <v>45007</v>
      </c>
      <c r="C188" s="23"/>
      <c r="D188" s="24" t="s">
        <v>291</v>
      </c>
      <c r="E188" s="25"/>
      <c r="F188" s="26">
        <v>25</v>
      </c>
      <c r="G188" s="62" t="s">
        <v>18</v>
      </c>
      <c r="H188" s="26">
        <v>20</v>
      </c>
      <c r="I188" s="27">
        <f t="shared" si="57"/>
        <v>500</v>
      </c>
      <c r="J188" s="28"/>
      <c r="K188" s="29">
        <v>3000</v>
      </c>
      <c r="L188" s="30"/>
      <c r="M188" s="31">
        <f t="shared" si="58"/>
        <v>0</v>
      </c>
      <c r="N188" s="31">
        <f t="shared" si="59"/>
        <v>3000</v>
      </c>
      <c r="O188" s="25"/>
      <c r="P188" s="22">
        <v>45007</v>
      </c>
      <c r="Q188" s="25"/>
      <c r="R188" s="32" t="s">
        <v>292</v>
      </c>
      <c r="S188" s="21"/>
      <c r="T188" s="32" t="s">
        <v>154</v>
      </c>
      <c r="U188" s="21"/>
    </row>
    <row r="189" spans="1:21" ht="20.100000000000001" customHeight="1" x14ac:dyDescent="0.3">
      <c r="A189" s="44">
        <v>181</v>
      </c>
      <c r="B189" s="22">
        <v>45007</v>
      </c>
      <c r="C189" s="23"/>
      <c r="D189" s="24" t="s">
        <v>69</v>
      </c>
      <c r="E189" s="25"/>
      <c r="F189" s="26">
        <v>25</v>
      </c>
      <c r="G189" s="62" t="s">
        <v>18</v>
      </c>
      <c r="H189" s="26">
        <v>20</v>
      </c>
      <c r="I189" s="27">
        <f t="shared" si="57"/>
        <v>500</v>
      </c>
      <c r="J189" s="28"/>
      <c r="K189" s="29">
        <v>5500</v>
      </c>
      <c r="L189" s="30"/>
      <c r="M189" s="31">
        <f t="shared" si="58"/>
        <v>0</v>
      </c>
      <c r="N189" s="31">
        <f t="shared" si="59"/>
        <v>5500</v>
      </c>
      <c r="O189" s="25"/>
      <c r="P189" s="22">
        <v>45007</v>
      </c>
      <c r="Q189" s="25"/>
      <c r="R189" s="32" t="s">
        <v>293</v>
      </c>
      <c r="S189" s="21"/>
      <c r="T189" s="32" t="s">
        <v>74</v>
      </c>
      <c r="U189" s="21"/>
    </row>
    <row r="190" spans="1:21" ht="20.100000000000001" customHeight="1" x14ac:dyDescent="0.3">
      <c r="A190" s="44">
        <v>182</v>
      </c>
      <c r="B190" s="22">
        <v>45007</v>
      </c>
      <c r="C190" s="23"/>
      <c r="D190" s="24" t="s">
        <v>295</v>
      </c>
      <c r="E190" s="25"/>
      <c r="F190" s="26">
        <v>8</v>
      </c>
      <c r="G190" s="62" t="s">
        <v>18</v>
      </c>
      <c r="H190" s="26">
        <v>25</v>
      </c>
      <c r="I190" s="27">
        <f t="shared" si="57"/>
        <v>200</v>
      </c>
      <c r="J190" s="28"/>
      <c r="K190" s="29">
        <v>6500</v>
      </c>
      <c r="L190" s="30"/>
      <c r="M190" s="31">
        <f t="shared" si="58"/>
        <v>0</v>
      </c>
      <c r="N190" s="31">
        <f t="shared" si="59"/>
        <v>6500</v>
      </c>
      <c r="O190" s="25"/>
      <c r="P190" s="22">
        <v>45007</v>
      </c>
      <c r="Q190" s="25"/>
      <c r="R190" s="32" t="s">
        <v>294</v>
      </c>
      <c r="S190" s="21"/>
      <c r="T190" s="32" t="s">
        <v>30</v>
      </c>
      <c r="U190" s="21"/>
    </row>
    <row r="191" spans="1:21" ht="20.100000000000001" customHeight="1" x14ac:dyDescent="0.3">
      <c r="A191" s="44">
        <v>183</v>
      </c>
      <c r="B191" s="22">
        <v>45015</v>
      </c>
      <c r="C191" s="23"/>
      <c r="D191" s="24" t="s">
        <v>296</v>
      </c>
      <c r="E191" s="25"/>
      <c r="F191" s="26">
        <v>20</v>
      </c>
      <c r="G191" s="62" t="s">
        <v>18</v>
      </c>
      <c r="H191" s="26">
        <v>25</v>
      </c>
      <c r="I191" s="27">
        <f t="shared" ref="I191:I200" si="60">F191*H191</f>
        <v>500</v>
      </c>
      <c r="J191" s="28"/>
      <c r="K191" s="29">
        <v>1750</v>
      </c>
      <c r="L191" s="30"/>
      <c r="M191" s="31">
        <f t="shared" ref="M191:M200" si="61">K191*L191</f>
        <v>0</v>
      </c>
      <c r="N191" s="31">
        <f t="shared" ref="N191:N200" si="62">K191+M191</f>
        <v>1750</v>
      </c>
      <c r="O191" s="25"/>
      <c r="P191" s="22">
        <v>45015</v>
      </c>
      <c r="Q191" s="25"/>
      <c r="R191" s="32" t="s">
        <v>298</v>
      </c>
      <c r="S191" s="21"/>
      <c r="T191" s="32" t="s">
        <v>28</v>
      </c>
      <c r="U191" s="21"/>
    </row>
    <row r="192" spans="1:21" ht="20.100000000000001" customHeight="1" x14ac:dyDescent="0.3">
      <c r="A192" s="44">
        <v>184</v>
      </c>
      <c r="B192" s="22">
        <v>45015</v>
      </c>
      <c r="C192" s="23"/>
      <c r="D192" s="24" t="s">
        <v>297</v>
      </c>
      <c r="E192" s="25"/>
      <c r="F192" s="26">
        <v>500</v>
      </c>
      <c r="G192" s="62" t="s">
        <v>18</v>
      </c>
      <c r="H192" s="26">
        <v>1</v>
      </c>
      <c r="I192" s="27">
        <f t="shared" si="60"/>
        <v>500</v>
      </c>
      <c r="J192" s="28"/>
      <c r="K192" s="29">
        <v>135</v>
      </c>
      <c r="L192" s="30"/>
      <c r="M192" s="31">
        <f t="shared" si="61"/>
        <v>0</v>
      </c>
      <c r="N192" s="31">
        <f t="shared" si="62"/>
        <v>135</v>
      </c>
      <c r="O192" s="25"/>
      <c r="P192" s="22">
        <v>45015</v>
      </c>
      <c r="Q192" s="25"/>
      <c r="R192" s="32" t="s">
        <v>298</v>
      </c>
      <c r="S192" s="21"/>
      <c r="T192" s="32" t="s">
        <v>28</v>
      </c>
      <c r="U192" s="21"/>
    </row>
    <row r="193" spans="1:21" ht="20.100000000000001" customHeight="1" x14ac:dyDescent="0.3">
      <c r="A193" s="44">
        <v>185</v>
      </c>
      <c r="B193" s="22">
        <v>45015</v>
      </c>
      <c r="C193" s="23"/>
      <c r="D193" s="24" t="s">
        <v>300</v>
      </c>
      <c r="E193" s="25"/>
      <c r="F193" s="26">
        <v>50</v>
      </c>
      <c r="G193" s="62" t="s">
        <v>18</v>
      </c>
      <c r="H193" s="26">
        <v>20</v>
      </c>
      <c r="I193" s="27">
        <f t="shared" si="60"/>
        <v>1000</v>
      </c>
      <c r="J193" s="28"/>
      <c r="K193" s="29">
        <v>1800</v>
      </c>
      <c r="L193" s="30"/>
      <c r="M193" s="31">
        <f t="shared" si="61"/>
        <v>0</v>
      </c>
      <c r="N193" s="31">
        <f t="shared" si="62"/>
        <v>1800</v>
      </c>
      <c r="O193" s="25"/>
      <c r="P193" s="22">
        <v>45015</v>
      </c>
      <c r="Q193" s="25"/>
      <c r="R193" s="32" t="s">
        <v>299</v>
      </c>
      <c r="S193" s="21"/>
      <c r="T193" s="32" t="s">
        <v>195</v>
      </c>
      <c r="U193" s="21"/>
    </row>
    <row r="194" spans="1:21" ht="20.100000000000001" customHeight="1" x14ac:dyDescent="0.3">
      <c r="A194" s="44">
        <v>186</v>
      </c>
      <c r="B194" s="22"/>
      <c r="C194" s="23"/>
      <c r="D194" s="24"/>
      <c r="E194" s="25"/>
      <c r="F194" s="26"/>
      <c r="G194" s="62"/>
      <c r="H194" s="26"/>
      <c r="I194" s="27">
        <f t="shared" si="60"/>
        <v>0</v>
      </c>
      <c r="J194" s="28"/>
      <c r="K194" s="29"/>
      <c r="L194" s="30"/>
      <c r="M194" s="31">
        <f t="shared" si="61"/>
        <v>0</v>
      </c>
      <c r="N194" s="31">
        <f t="shared" si="62"/>
        <v>0</v>
      </c>
      <c r="O194" s="25"/>
      <c r="P194" s="22"/>
      <c r="Q194" s="25"/>
      <c r="R194" s="32" t="s">
        <v>13</v>
      </c>
      <c r="S194" s="21"/>
      <c r="T194" s="32"/>
      <c r="U194" s="21"/>
    </row>
    <row r="195" spans="1:21" ht="20.100000000000001" customHeight="1" x14ac:dyDescent="0.3">
      <c r="A195" s="44">
        <v>187</v>
      </c>
      <c r="B195" s="22"/>
      <c r="C195" s="23"/>
      <c r="D195" s="24"/>
      <c r="E195" s="25"/>
      <c r="F195" s="26"/>
      <c r="G195" s="62"/>
      <c r="H195" s="26"/>
      <c r="I195" s="27">
        <f t="shared" si="60"/>
        <v>0</v>
      </c>
      <c r="J195" s="28"/>
      <c r="K195" s="29"/>
      <c r="L195" s="30"/>
      <c r="M195" s="31">
        <f t="shared" si="61"/>
        <v>0</v>
      </c>
      <c r="N195" s="31">
        <f t="shared" si="62"/>
        <v>0</v>
      </c>
      <c r="O195" s="25"/>
      <c r="P195" s="22"/>
      <c r="Q195" s="25"/>
      <c r="R195" s="32" t="s">
        <v>13</v>
      </c>
      <c r="S195" s="21"/>
      <c r="T195" s="32"/>
      <c r="U195" s="21"/>
    </row>
    <row r="196" spans="1:21" ht="20.100000000000001" customHeight="1" x14ac:dyDescent="0.3">
      <c r="A196" s="44">
        <v>188</v>
      </c>
      <c r="B196" s="22"/>
      <c r="C196" s="23"/>
      <c r="D196" s="24"/>
      <c r="E196" s="25"/>
      <c r="F196" s="26"/>
      <c r="G196" s="62"/>
      <c r="H196" s="26"/>
      <c r="I196" s="27">
        <f t="shared" si="60"/>
        <v>0</v>
      </c>
      <c r="J196" s="28"/>
      <c r="K196" s="29"/>
      <c r="L196" s="30"/>
      <c r="M196" s="31">
        <f t="shared" si="61"/>
        <v>0</v>
      </c>
      <c r="N196" s="31">
        <f t="shared" si="62"/>
        <v>0</v>
      </c>
      <c r="O196" s="25"/>
      <c r="P196" s="22"/>
      <c r="Q196" s="25"/>
      <c r="R196" s="32" t="s">
        <v>13</v>
      </c>
      <c r="S196" s="21"/>
      <c r="T196" s="32"/>
      <c r="U196" s="21"/>
    </row>
    <row r="197" spans="1:21" ht="20.100000000000001" customHeight="1" x14ac:dyDescent="0.3">
      <c r="A197" s="44">
        <v>189</v>
      </c>
      <c r="B197" s="22"/>
      <c r="C197" s="23"/>
      <c r="D197" s="24"/>
      <c r="E197" s="25"/>
      <c r="F197" s="26"/>
      <c r="G197" s="62"/>
      <c r="H197" s="26"/>
      <c r="I197" s="27">
        <f t="shared" si="60"/>
        <v>0</v>
      </c>
      <c r="J197" s="28"/>
      <c r="K197" s="29"/>
      <c r="L197" s="30"/>
      <c r="M197" s="31">
        <f t="shared" si="61"/>
        <v>0</v>
      </c>
      <c r="N197" s="31">
        <f t="shared" si="62"/>
        <v>0</v>
      </c>
      <c r="O197" s="25"/>
      <c r="P197" s="22"/>
      <c r="Q197" s="25"/>
      <c r="R197" s="32" t="s">
        <v>13</v>
      </c>
      <c r="S197" s="21"/>
      <c r="T197" s="32"/>
      <c r="U197" s="21"/>
    </row>
    <row r="198" spans="1:21" ht="20.100000000000001" customHeight="1" x14ac:dyDescent="0.3">
      <c r="A198" s="44">
        <v>190</v>
      </c>
      <c r="B198" s="22"/>
      <c r="C198" s="23"/>
      <c r="D198" s="24"/>
      <c r="E198" s="25"/>
      <c r="F198" s="26"/>
      <c r="G198" s="62"/>
      <c r="H198" s="26"/>
      <c r="I198" s="27">
        <f t="shared" si="60"/>
        <v>0</v>
      </c>
      <c r="J198" s="28"/>
      <c r="K198" s="29"/>
      <c r="L198" s="30"/>
      <c r="M198" s="31">
        <f t="shared" si="61"/>
        <v>0</v>
      </c>
      <c r="N198" s="31">
        <f t="shared" si="62"/>
        <v>0</v>
      </c>
      <c r="O198" s="25"/>
      <c r="P198" s="22"/>
      <c r="Q198" s="25"/>
      <c r="R198" s="32" t="s">
        <v>13</v>
      </c>
      <c r="S198" s="21"/>
      <c r="T198" s="32"/>
      <c r="U198" s="21"/>
    </row>
    <row r="199" spans="1:21" ht="20.100000000000001" customHeight="1" x14ac:dyDescent="0.3">
      <c r="A199" s="44">
        <v>191</v>
      </c>
      <c r="B199" s="22"/>
      <c r="C199" s="23"/>
      <c r="D199" s="24"/>
      <c r="E199" s="25"/>
      <c r="F199" s="26"/>
      <c r="G199" s="62"/>
      <c r="H199" s="26"/>
      <c r="I199" s="27">
        <f t="shared" si="60"/>
        <v>0</v>
      </c>
      <c r="J199" s="28"/>
      <c r="K199" s="29"/>
      <c r="L199" s="30"/>
      <c r="M199" s="31">
        <f t="shared" si="61"/>
        <v>0</v>
      </c>
      <c r="N199" s="31">
        <f t="shared" si="62"/>
        <v>0</v>
      </c>
      <c r="O199" s="25"/>
      <c r="P199" s="22"/>
      <c r="Q199" s="25"/>
      <c r="R199" s="32" t="s">
        <v>13</v>
      </c>
      <c r="S199" s="21"/>
      <c r="T199" s="32"/>
      <c r="U199" s="21"/>
    </row>
    <row r="200" spans="1:21" ht="20.100000000000001" customHeight="1" x14ac:dyDescent="0.3">
      <c r="A200" s="44">
        <v>192</v>
      </c>
      <c r="B200" s="22"/>
      <c r="C200" s="23"/>
      <c r="D200" s="24"/>
      <c r="E200" s="25"/>
      <c r="F200" s="26"/>
      <c r="G200" s="62"/>
      <c r="H200" s="26"/>
      <c r="I200" s="27">
        <f t="shared" si="60"/>
        <v>0</v>
      </c>
      <c r="J200" s="28"/>
      <c r="K200" s="29"/>
      <c r="L200" s="30"/>
      <c r="M200" s="31">
        <f t="shared" si="61"/>
        <v>0</v>
      </c>
      <c r="N200" s="31">
        <f t="shared" si="62"/>
        <v>0</v>
      </c>
      <c r="O200" s="25"/>
      <c r="P200" s="22"/>
      <c r="Q200" s="25"/>
      <c r="R200" s="32" t="s">
        <v>13</v>
      </c>
      <c r="S200" s="21"/>
      <c r="T200" s="32"/>
      <c r="U200" s="21"/>
    </row>
    <row r="201" spans="1:21" ht="20.100000000000001" customHeight="1" x14ac:dyDescent="0.3">
      <c r="A201" s="44">
        <v>193</v>
      </c>
      <c r="B201" s="22"/>
      <c r="C201" s="23"/>
      <c r="D201" s="24"/>
      <c r="E201" s="25"/>
      <c r="F201" s="26"/>
      <c r="G201" s="62"/>
      <c r="H201" s="26"/>
      <c r="I201" s="27">
        <f t="shared" ref="I201:I220" si="63">F201*H201</f>
        <v>0</v>
      </c>
      <c r="J201" s="28"/>
      <c r="K201" s="29"/>
      <c r="L201" s="30"/>
      <c r="M201" s="31">
        <f t="shared" ref="M201:M220" si="64">K201*L201</f>
        <v>0</v>
      </c>
      <c r="N201" s="31">
        <f t="shared" ref="N201:N220" si="65">K201+M201</f>
        <v>0</v>
      </c>
      <c r="O201" s="25"/>
      <c r="P201" s="22"/>
      <c r="Q201" s="25"/>
      <c r="R201" s="32" t="s">
        <v>13</v>
      </c>
      <c r="S201" s="21"/>
      <c r="T201" s="32"/>
      <c r="U201" s="21"/>
    </row>
    <row r="202" spans="1:21" ht="20.100000000000001" customHeight="1" x14ac:dyDescent="0.3">
      <c r="A202" s="44">
        <v>194</v>
      </c>
      <c r="B202" s="22"/>
      <c r="C202" s="23"/>
      <c r="D202" s="24"/>
      <c r="E202" s="25"/>
      <c r="F202" s="26"/>
      <c r="G202" s="62"/>
      <c r="H202" s="26"/>
      <c r="I202" s="27">
        <f t="shared" si="63"/>
        <v>0</v>
      </c>
      <c r="J202" s="28"/>
      <c r="K202" s="29"/>
      <c r="L202" s="30"/>
      <c r="M202" s="31">
        <f t="shared" si="64"/>
        <v>0</v>
      </c>
      <c r="N202" s="31">
        <f t="shared" si="65"/>
        <v>0</v>
      </c>
      <c r="O202" s="25"/>
      <c r="P202" s="22"/>
      <c r="Q202" s="25"/>
      <c r="R202" s="32" t="s">
        <v>13</v>
      </c>
      <c r="S202" s="21"/>
      <c r="T202" s="32"/>
      <c r="U202" s="21"/>
    </row>
    <row r="203" spans="1:21" ht="20.100000000000001" customHeight="1" x14ac:dyDescent="0.3">
      <c r="A203" s="44">
        <v>195</v>
      </c>
      <c r="B203" s="22"/>
      <c r="C203" s="23"/>
      <c r="D203" s="24"/>
      <c r="E203" s="25"/>
      <c r="F203" s="26"/>
      <c r="G203" s="62"/>
      <c r="H203" s="26"/>
      <c r="I203" s="27">
        <f t="shared" si="63"/>
        <v>0</v>
      </c>
      <c r="J203" s="28"/>
      <c r="K203" s="29"/>
      <c r="L203" s="30"/>
      <c r="M203" s="31">
        <f t="shared" si="64"/>
        <v>0</v>
      </c>
      <c r="N203" s="31">
        <f t="shared" si="65"/>
        <v>0</v>
      </c>
      <c r="O203" s="25"/>
      <c r="P203" s="22"/>
      <c r="Q203" s="25"/>
      <c r="R203" s="32" t="s">
        <v>13</v>
      </c>
      <c r="S203" s="21"/>
      <c r="T203" s="32"/>
      <c r="U203" s="21"/>
    </row>
    <row r="204" spans="1:21" ht="20.100000000000001" customHeight="1" x14ac:dyDescent="0.3">
      <c r="A204" s="44">
        <v>196</v>
      </c>
      <c r="B204" s="22"/>
      <c r="C204" s="23"/>
      <c r="D204" s="24"/>
      <c r="E204" s="25"/>
      <c r="F204" s="26"/>
      <c r="G204" s="62"/>
      <c r="H204" s="26"/>
      <c r="I204" s="27">
        <f t="shared" si="63"/>
        <v>0</v>
      </c>
      <c r="J204" s="28"/>
      <c r="K204" s="29"/>
      <c r="L204" s="30"/>
      <c r="M204" s="31">
        <f t="shared" si="64"/>
        <v>0</v>
      </c>
      <c r="N204" s="31">
        <f t="shared" si="65"/>
        <v>0</v>
      </c>
      <c r="O204" s="25"/>
      <c r="P204" s="22"/>
      <c r="Q204" s="25"/>
      <c r="R204" s="32" t="s">
        <v>13</v>
      </c>
      <c r="S204" s="21"/>
      <c r="T204" s="32"/>
      <c r="U204" s="21"/>
    </row>
    <row r="205" spans="1:21" ht="20.100000000000001" customHeight="1" x14ac:dyDescent="0.3">
      <c r="A205" s="44">
        <v>197</v>
      </c>
      <c r="B205" s="22"/>
      <c r="C205" s="23"/>
      <c r="D205" s="24"/>
      <c r="E205" s="25"/>
      <c r="F205" s="26"/>
      <c r="G205" s="62"/>
      <c r="H205" s="26"/>
      <c r="I205" s="27">
        <f t="shared" si="63"/>
        <v>0</v>
      </c>
      <c r="J205" s="28"/>
      <c r="K205" s="29"/>
      <c r="L205" s="30"/>
      <c r="M205" s="31">
        <f t="shared" si="64"/>
        <v>0</v>
      </c>
      <c r="N205" s="31">
        <f t="shared" si="65"/>
        <v>0</v>
      </c>
      <c r="O205" s="25"/>
      <c r="P205" s="22"/>
      <c r="Q205" s="25"/>
      <c r="R205" s="32" t="s">
        <v>13</v>
      </c>
      <c r="S205" s="21"/>
      <c r="T205" s="32"/>
      <c r="U205" s="21"/>
    </row>
    <row r="206" spans="1:21" ht="20.100000000000001" customHeight="1" x14ac:dyDescent="0.3">
      <c r="A206" s="44">
        <v>198</v>
      </c>
      <c r="B206" s="22"/>
      <c r="C206" s="23"/>
      <c r="D206" s="24"/>
      <c r="E206" s="25"/>
      <c r="F206" s="26"/>
      <c r="G206" s="62"/>
      <c r="H206" s="26"/>
      <c r="I206" s="27">
        <f t="shared" si="63"/>
        <v>0</v>
      </c>
      <c r="J206" s="28"/>
      <c r="K206" s="29"/>
      <c r="L206" s="30"/>
      <c r="M206" s="31">
        <f t="shared" si="64"/>
        <v>0</v>
      </c>
      <c r="N206" s="31">
        <f t="shared" si="65"/>
        <v>0</v>
      </c>
      <c r="O206" s="25"/>
      <c r="P206" s="22"/>
      <c r="Q206" s="25"/>
      <c r="R206" s="32" t="s">
        <v>13</v>
      </c>
      <c r="S206" s="21"/>
      <c r="T206" s="32"/>
      <c r="U206" s="21"/>
    </row>
    <row r="207" spans="1:21" ht="20.100000000000001" customHeight="1" x14ac:dyDescent="0.3">
      <c r="A207" s="44">
        <v>199</v>
      </c>
      <c r="B207" s="22"/>
      <c r="C207" s="23"/>
      <c r="D207" s="24"/>
      <c r="E207" s="25"/>
      <c r="F207" s="26"/>
      <c r="G207" s="62"/>
      <c r="H207" s="26"/>
      <c r="I207" s="27">
        <f t="shared" si="63"/>
        <v>0</v>
      </c>
      <c r="J207" s="28"/>
      <c r="K207" s="29"/>
      <c r="L207" s="30"/>
      <c r="M207" s="31">
        <f t="shared" si="64"/>
        <v>0</v>
      </c>
      <c r="N207" s="31">
        <f t="shared" si="65"/>
        <v>0</v>
      </c>
      <c r="O207" s="25"/>
      <c r="P207" s="22"/>
      <c r="Q207" s="25"/>
      <c r="R207" s="32" t="s">
        <v>13</v>
      </c>
      <c r="S207" s="21"/>
      <c r="T207" s="32"/>
      <c r="U207" s="21"/>
    </row>
    <row r="208" spans="1:21" ht="20.100000000000001" customHeight="1" x14ac:dyDescent="0.3">
      <c r="A208" s="44">
        <v>200</v>
      </c>
      <c r="B208" s="22"/>
      <c r="C208" s="23"/>
      <c r="D208" s="24"/>
      <c r="E208" s="25"/>
      <c r="F208" s="26"/>
      <c r="G208" s="62"/>
      <c r="H208" s="26"/>
      <c r="I208" s="27">
        <f t="shared" si="63"/>
        <v>0</v>
      </c>
      <c r="J208" s="28"/>
      <c r="K208" s="29"/>
      <c r="L208" s="30"/>
      <c r="M208" s="31">
        <f t="shared" si="64"/>
        <v>0</v>
      </c>
      <c r="N208" s="31">
        <f t="shared" si="65"/>
        <v>0</v>
      </c>
      <c r="O208" s="25"/>
      <c r="P208" s="22"/>
      <c r="Q208" s="25"/>
      <c r="R208" s="32" t="s">
        <v>13</v>
      </c>
      <c r="S208" s="21"/>
      <c r="T208" s="32"/>
      <c r="U208" s="21"/>
    </row>
    <row r="209" spans="1:21" ht="20.100000000000001" customHeight="1" x14ac:dyDescent="0.3">
      <c r="A209" s="44">
        <v>201</v>
      </c>
      <c r="B209" s="22"/>
      <c r="C209" s="23"/>
      <c r="D209" s="24"/>
      <c r="E209" s="25"/>
      <c r="F209" s="26"/>
      <c r="G209" s="62"/>
      <c r="H209" s="26"/>
      <c r="I209" s="27">
        <f t="shared" si="63"/>
        <v>0</v>
      </c>
      <c r="J209" s="28"/>
      <c r="K209" s="29"/>
      <c r="L209" s="30"/>
      <c r="M209" s="31">
        <f t="shared" si="64"/>
        <v>0</v>
      </c>
      <c r="N209" s="31">
        <f t="shared" si="65"/>
        <v>0</v>
      </c>
      <c r="O209" s="25"/>
      <c r="P209" s="22"/>
      <c r="Q209" s="25"/>
      <c r="R209" s="32" t="s">
        <v>13</v>
      </c>
      <c r="S209" s="21"/>
      <c r="T209" s="32"/>
      <c r="U209" s="21"/>
    </row>
    <row r="210" spans="1:21" ht="20.100000000000001" customHeight="1" x14ac:dyDescent="0.3">
      <c r="A210" s="44">
        <v>202</v>
      </c>
      <c r="B210" s="22"/>
      <c r="C210" s="23"/>
      <c r="D210" s="24"/>
      <c r="E210" s="25"/>
      <c r="F210" s="26"/>
      <c r="G210" s="62"/>
      <c r="H210" s="26"/>
      <c r="I210" s="27">
        <f t="shared" si="63"/>
        <v>0</v>
      </c>
      <c r="J210" s="28"/>
      <c r="K210" s="29"/>
      <c r="L210" s="30"/>
      <c r="M210" s="31">
        <f t="shared" si="64"/>
        <v>0</v>
      </c>
      <c r="N210" s="31">
        <f t="shared" si="65"/>
        <v>0</v>
      </c>
      <c r="O210" s="25"/>
      <c r="P210" s="22"/>
      <c r="Q210" s="25"/>
      <c r="R210" s="32" t="s">
        <v>13</v>
      </c>
      <c r="S210" s="21"/>
      <c r="T210" s="32"/>
      <c r="U210" s="21"/>
    </row>
    <row r="211" spans="1:21" ht="20.100000000000001" customHeight="1" x14ac:dyDescent="0.3">
      <c r="A211" s="44">
        <v>203</v>
      </c>
      <c r="B211" s="22"/>
      <c r="C211" s="23"/>
      <c r="D211" s="24"/>
      <c r="E211" s="25"/>
      <c r="F211" s="26"/>
      <c r="G211" s="62"/>
      <c r="H211" s="26"/>
      <c r="I211" s="27">
        <f t="shared" si="63"/>
        <v>0</v>
      </c>
      <c r="J211" s="28"/>
      <c r="K211" s="29"/>
      <c r="L211" s="30"/>
      <c r="M211" s="31">
        <f t="shared" si="64"/>
        <v>0</v>
      </c>
      <c r="N211" s="31">
        <f t="shared" si="65"/>
        <v>0</v>
      </c>
      <c r="O211" s="25"/>
      <c r="P211" s="22"/>
      <c r="Q211" s="25"/>
      <c r="R211" s="32" t="s">
        <v>13</v>
      </c>
      <c r="S211" s="21"/>
      <c r="T211" s="32"/>
      <c r="U211" s="21"/>
    </row>
    <row r="212" spans="1:21" ht="20.100000000000001" customHeight="1" x14ac:dyDescent="0.3">
      <c r="A212" s="44">
        <v>204</v>
      </c>
      <c r="B212" s="22"/>
      <c r="C212" s="23"/>
      <c r="D212" s="24"/>
      <c r="E212" s="25"/>
      <c r="F212" s="26"/>
      <c r="G212" s="62"/>
      <c r="H212" s="26"/>
      <c r="I212" s="27">
        <f t="shared" si="63"/>
        <v>0</v>
      </c>
      <c r="J212" s="28"/>
      <c r="K212" s="29"/>
      <c r="L212" s="30"/>
      <c r="M212" s="31">
        <f t="shared" si="64"/>
        <v>0</v>
      </c>
      <c r="N212" s="31">
        <f t="shared" si="65"/>
        <v>0</v>
      </c>
      <c r="O212" s="25"/>
      <c r="P212" s="22"/>
      <c r="Q212" s="25"/>
      <c r="R212" s="32" t="s">
        <v>13</v>
      </c>
      <c r="S212" s="21"/>
      <c r="T212" s="32"/>
      <c r="U212" s="21"/>
    </row>
    <row r="213" spans="1:21" ht="20.100000000000001" customHeight="1" x14ac:dyDescent="0.3">
      <c r="A213" s="44">
        <v>205</v>
      </c>
      <c r="B213" s="22"/>
      <c r="C213" s="23"/>
      <c r="D213" s="24"/>
      <c r="E213" s="25"/>
      <c r="F213" s="26"/>
      <c r="G213" s="62"/>
      <c r="H213" s="26"/>
      <c r="I213" s="27">
        <f t="shared" si="63"/>
        <v>0</v>
      </c>
      <c r="J213" s="28"/>
      <c r="K213" s="29"/>
      <c r="L213" s="30"/>
      <c r="M213" s="31">
        <f t="shared" si="64"/>
        <v>0</v>
      </c>
      <c r="N213" s="31">
        <f t="shared" si="65"/>
        <v>0</v>
      </c>
      <c r="O213" s="25"/>
      <c r="P213" s="22"/>
      <c r="Q213" s="25"/>
      <c r="R213" s="32" t="s">
        <v>13</v>
      </c>
      <c r="S213" s="21"/>
      <c r="T213" s="32"/>
      <c r="U213" s="21"/>
    </row>
    <row r="214" spans="1:21" ht="20.100000000000001" customHeight="1" x14ac:dyDescent="0.3">
      <c r="A214" s="44">
        <v>206</v>
      </c>
      <c r="B214" s="22"/>
      <c r="C214" s="23"/>
      <c r="D214" s="24"/>
      <c r="E214" s="25"/>
      <c r="F214" s="26"/>
      <c r="G214" s="62"/>
      <c r="H214" s="26"/>
      <c r="I214" s="27">
        <f t="shared" si="63"/>
        <v>0</v>
      </c>
      <c r="J214" s="28"/>
      <c r="K214" s="29"/>
      <c r="L214" s="30"/>
      <c r="M214" s="31">
        <f t="shared" si="64"/>
        <v>0</v>
      </c>
      <c r="N214" s="31">
        <f t="shared" si="65"/>
        <v>0</v>
      </c>
      <c r="O214" s="25"/>
      <c r="P214" s="22"/>
      <c r="Q214" s="25"/>
      <c r="R214" s="32" t="s">
        <v>13</v>
      </c>
      <c r="S214" s="21"/>
      <c r="T214" s="32"/>
      <c r="U214" s="21"/>
    </row>
    <row r="215" spans="1:21" ht="20.100000000000001" customHeight="1" x14ac:dyDescent="0.3">
      <c r="A215" s="44">
        <v>207</v>
      </c>
      <c r="B215" s="22"/>
      <c r="C215" s="23"/>
      <c r="D215" s="24"/>
      <c r="E215" s="25"/>
      <c r="F215" s="26"/>
      <c r="G215" s="62"/>
      <c r="H215" s="26"/>
      <c r="I215" s="27">
        <f t="shared" si="63"/>
        <v>0</v>
      </c>
      <c r="J215" s="28"/>
      <c r="K215" s="29"/>
      <c r="L215" s="30"/>
      <c r="M215" s="31">
        <f t="shared" si="64"/>
        <v>0</v>
      </c>
      <c r="N215" s="31">
        <f t="shared" si="65"/>
        <v>0</v>
      </c>
      <c r="O215" s="25"/>
      <c r="P215" s="22"/>
      <c r="Q215" s="25"/>
      <c r="R215" s="32" t="s">
        <v>13</v>
      </c>
      <c r="S215" s="21"/>
      <c r="T215" s="32"/>
      <c r="U215" s="21"/>
    </row>
    <row r="216" spans="1:21" ht="20.100000000000001" customHeight="1" x14ac:dyDescent="0.3">
      <c r="A216" s="44">
        <v>208</v>
      </c>
      <c r="B216" s="22"/>
      <c r="C216" s="23"/>
      <c r="D216" s="24"/>
      <c r="E216" s="25"/>
      <c r="F216" s="26"/>
      <c r="G216" s="62"/>
      <c r="H216" s="26"/>
      <c r="I216" s="27">
        <f t="shared" si="63"/>
        <v>0</v>
      </c>
      <c r="J216" s="28"/>
      <c r="K216" s="29"/>
      <c r="L216" s="30"/>
      <c r="M216" s="31">
        <f t="shared" si="64"/>
        <v>0</v>
      </c>
      <c r="N216" s="31">
        <f t="shared" si="65"/>
        <v>0</v>
      </c>
      <c r="O216" s="25"/>
      <c r="P216" s="22"/>
      <c r="Q216" s="25"/>
      <c r="R216" s="32" t="s">
        <v>13</v>
      </c>
      <c r="S216" s="21"/>
      <c r="T216" s="32"/>
      <c r="U216" s="21"/>
    </row>
    <row r="217" spans="1:21" ht="20.100000000000001" customHeight="1" x14ac:dyDescent="0.3">
      <c r="A217" s="44">
        <v>209</v>
      </c>
      <c r="B217" s="22"/>
      <c r="C217" s="23"/>
      <c r="D217" s="24"/>
      <c r="E217" s="25"/>
      <c r="F217" s="26"/>
      <c r="G217" s="62"/>
      <c r="H217" s="26"/>
      <c r="I217" s="27">
        <f t="shared" si="63"/>
        <v>0</v>
      </c>
      <c r="J217" s="28"/>
      <c r="K217" s="29"/>
      <c r="L217" s="30"/>
      <c r="M217" s="31">
        <f t="shared" si="64"/>
        <v>0</v>
      </c>
      <c r="N217" s="31">
        <f t="shared" si="65"/>
        <v>0</v>
      </c>
      <c r="O217" s="25"/>
      <c r="P217" s="22"/>
      <c r="Q217" s="25"/>
      <c r="R217" s="32" t="s">
        <v>13</v>
      </c>
      <c r="S217" s="21"/>
      <c r="T217" s="32"/>
      <c r="U217" s="21"/>
    </row>
    <row r="218" spans="1:21" ht="20.100000000000001" customHeight="1" x14ac:dyDescent="0.3">
      <c r="A218" s="44">
        <v>210</v>
      </c>
      <c r="B218" s="22"/>
      <c r="C218" s="23"/>
      <c r="D218" s="24"/>
      <c r="E218" s="25"/>
      <c r="F218" s="26"/>
      <c r="G218" s="62"/>
      <c r="H218" s="26"/>
      <c r="I218" s="27">
        <f t="shared" si="63"/>
        <v>0</v>
      </c>
      <c r="J218" s="28"/>
      <c r="K218" s="29"/>
      <c r="L218" s="30"/>
      <c r="M218" s="31">
        <f t="shared" si="64"/>
        <v>0</v>
      </c>
      <c r="N218" s="31">
        <f t="shared" si="65"/>
        <v>0</v>
      </c>
      <c r="O218" s="25"/>
      <c r="P218" s="22"/>
      <c r="Q218" s="25"/>
      <c r="R218" s="32" t="s">
        <v>13</v>
      </c>
      <c r="S218" s="21"/>
      <c r="T218" s="32"/>
      <c r="U218" s="21"/>
    </row>
    <row r="219" spans="1:21" ht="20.100000000000001" customHeight="1" x14ac:dyDescent="0.3">
      <c r="A219" s="44">
        <v>211</v>
      </c>
      <c r="B219" s="22"/>
      <c r="C219" s="23"/>
      <c r="D219" s="24"/>
      <c r="E219" s="25"/>
      <c r="F219" s="26"/>
      <c r="G219" s="62"/>
      <c r="H219" s="26"/>
      <c r="I219" s="27">
        <f t="shared" si="63"/>
        <v>0</v>
      </c>
      <c r="J219" s="28"/>
      <c r="K219" s="29"/>
      <c r="L219" s="30"/>
      <c r="M219" s="31">
        <f t="shared" si="64"/>
        <v>0</v>
      </c>
      <c r="N219" s="31">
        <f t="shared" si="65"/>
        <v>0</v>
      </c>
      <c r="O219" s="25"/>
      <c r="P219" s="22"/>
      <c r="Q219" s="25"/>
      <c r="R219" s="32" t="s">
        <v>13</v>
      </c>
      <c r="S219" s="21"/>
      <c r="T219" s="32"/>
      <c r="U219" s="21"/>
    </row>
    <row r="220" spans="1:21" ht="20.100000000000001" customHeight="1" x14ac:dyDescent="0.3">
      <c r="A220" s="44">
        <v>212</v>
      </c>
      <c r="B220" s="22"/>
      <c r="C220" s="23"/>
      <c r="D220" s="24"/>
      <c r="E220" s="25"/>
      <c r="F220" s="26"/>
      <c r="G220" s="62"/>
      <c r="H220" s="26"/>
      <c r="I220" s="27">
        <f t="shared" si="63"/>
        <v>0</v>
      </c>
      <c r="J220" s="28"/>
      <c r="K220" s="29"/>
      <c r="L220" s="30"/>
      <c r="M220" s="31">
        <f t="shared" si="64"/>
        <v>0</v>
      </c>
      <c r="N220" s="31">
        <f t="shared" si="65"/>
        <v>0</v>
      </c>
      <c r="O220" s="25"/>
      <c r="P220" s="22"/>
      <c r="Q220" s="25"/>
      <c r="R220" s="32" t="s">
        <v>13</v>
      </c>
      <c r="S220" s="21"/>
      <c r="T220" s="32"/>
      <c r="U220" s="21"/>
    </row>
    <row r="221" spans="1:21" ht="20.100000000000001" customHeight="1" x14ac:dyDescent="0.3"/>
    <row r="222" spans="1:21" ht="20.100000000000001" customHeight="1" x14ac:dyDescent="0.3"/>
    <row r="223" spans="1:21" ht="20.100000000000001" customHeight="1" x14ac:dyDescent="0.3"/>
    <row r="224" spans="1:21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  <row r="342" ht="20.100000000000001" customHeight="1" x14ac:dyDescent="0.3"/>
    <row r="343" ht="20.100000000000001" customHeight="1" x14ac:dyDescent="0.3"/>
    <row r="344" ht="20.100000000000001" customHeight="1" x14ac:dyDescent="0.3"/>
    <row r="345" ht="20.100000000000001" customHeight="1" x14ac:dyDescent="0.3"/>
    <row r="346" ht="20.100000000000001" customHeight="1" x14ac:dyDescent="0.3"/>
    <row r="347" ht="20.100000000000001" customHeight="1" x14ac:dyDescent="0.3"/>
    <row r="348" ht="20.100000000000001" customHeight="1" x14ac:dyDescent="0.3"/>
    <row r="349" ht="20.100000000000001" customHeight="1" x14ac:dyDescent="0.3"/>
    <row r="350" ht="20.100000000000001" customHeight="1" x14ac:dyDescent="0.3"/>
    <row r="351" ht="20.100000000000001" customHeight="1" x14ac:dyDescent="0.3"/>
    <row r="352" ht="20.100000000000001" customHeight="1" x14ac:dyDescent="0.3"/>
    <row r="353" ht="20.100000000000001" customHeight="1" x14ac:dyDescent="0.3"/>
    <row r="354" ht="20.100000000000001" customHeight="1" x14ac:dyDescent="0.3"/>
    <row r="355" ht="20.100000000000001" customHeight="1" x14ac:dyDescent="0.3"/>
    <row r="356" ht="20.100000000000001" customHeight="1" x14ac:dyDescent="0.3"/>
    <row r="357" ht="20.100000000000001" customHeight="1" x14ac:dyDescent="0.3"/>
    <row r="358" ht="20.100000000000001" customHeight="1" x14ac:dyDescent="0.3"/>
    <row r="359" ht="20.100000000000001" customHeight="1" x14ac:dyDescent="0.3"/>
    <row r="360" ht="20.100000000000001" customHeight="1" x14ac:dyDescent="0.3"/>
    <row r="361" ht="20.100000000000001" customHeight="1" x14ac:dyDescent="0.3"/>
    <row r="362" ht="20.100000000000001" customHeight="1" x14ac:dyDescent="0.3"/>
    <row r="363" ht="20.100000000000001" customHeight="1" x14ac:dyDescent="0.3"/>
    <row r="364" ht="20.100000000000001" customHeight="1" x14ac:dyDescent="0.3"/>
    <row r="365" ht="20.100000000000001" customHeight="1" x14ac:dyDescent="0.3"/>
    <row r="366" ht="20.100000000000001" customHeight="1" x14ac:dyDescent="0.3"/>
    <row r="367" ht="20.100000000000001" customHeight="1" x14ac:dyDescent="0.3"/>
    <row r="368" ht="20.100000000000001" customHeight="1" x14ac:dyDescent="0.3"/>
    <row r="369" ht="20.100000000000001" customHeight="1" x14ac:dyDescent="0.3"/>
    <row r="370" ht="20.100000000000001" customHeight="1" x14ac:dyDescent="0.3"/>
    <row r="371" ht="20.100000000000001" customHeight="1" x14ac:dyDescent="0.3"/>
    <row r="372" ht="20.100000000000001" customHeight="1" x14ac:dyDescent="0.3"/>
    <row r="373" ht="20.100000000000001" customHeight="1" x14ac:dyDescent="0.3"/>
    <row r="374" ht="20.100000000000001" customHeight="1" x14ac:dyDescent="0.3"/>
    <row r="375" ht="20.100000000000001" customHeight="1" x14ac:dyDescent="0.3"/>
    <row r="376" ht="20.100000000000001" customHeight="1" x14ac:dyDescent="0.3"/>
    <row r="377" ht="20.100000000000001" customHeight="1" x14ac:dyDescent="0.3"/>
    <row r="378" ht="20.100000000000001" customHeight="1" x14ac:dyDescent="0.3"/>
    <row r="379" ht="20.100000000000001" customHeight="1" x14ac:dyDescent="0.3"/>
    <row r="380" ht="20.100000000000001" customHeight="1" x14ac:dyDescent="0.3"/>
    <row r="381" ht="20.100000000000001" customHeight="1" x14ac:dyDescent="0.3"/>
    <row r="382" ht="20.100000000000001" customHeight="1" x14ac:dyDescent="0.3"/>
    <row r="383" ht="20.100000000000001" customHeight="1" x14ac:dyDescent="0.3"/>
    <row r="384" ht="20.100000000000001" customHeight="1" x14ac:dyDescent="0.3"/>
    <row r="385" ht="20.100000000000001" customHeight="1" x14ac:dyDescent="0.3"/>
    <row r="386" ht="20.100000000000001" customHeight="1" x14ac:dyDescent="0.3"/>
    <row r="387" ht="20.100000000000001" customHeight="1" x14ac:dyDescent="0.3"/>
    <row r="388" ht="20.100000000000001" customHeight="1" x14ac:dyDescent="0.3"/>
    <row r="389" ht="20.100000000000001" customHeight="1" x14ac:dyDescent="0.3"/>
    <row r="390" ht="20.100000000000001" customHeight="1" x14ac:dyDescent="0.3"/>
    <row r="391" ht="20.100000000000001" customHeight="1" x14ac:dyDescent="0.3"/>
    <row r="392" ht="20.100000000000001" customHeight="1" x14ac:dyDescent="0.3"/>
    <row r="393" ht="20.100000000000001" customHeight="1" x14ac:dyDescent="0.3"/>
    <row r="394" ht="20.100000000000001" customHeight="1" x14ac:dyDescent="0.3"/>
    <row r="395" ht="20.100000000000001" customHeight="1" x14ac:dyDescent="0.3"/>
    <row r="396" ht="20.100000000000001" customHeight="1" x14ac:dyDescent="0.3"/>
    <row r="397" ht="20.100000000000001" customHeight="1" x14ac:dyDescent="0.3"/>
    <row r="398" ht="20.100000000000001" customHeight="1" x14ac:dyDescent="0.3"/>
    <row r="399" ht="20.100000000000001" customHeight="1" x14ac:dyDescent="0.3"/>
    <row r="400" ht="20.100000000000001" customHeight="1" x14ac:dyDescent="0.3"/>
    <row r="401" ht="20.100000000000001" customHeight="1" x14ac:dyDescent="0.3"/>
    <row r="402" ht="20.100000000000001" customHeight="1" x14ac:dyDescent="0.3"/>
    <row r="403" ht="20.100000000000001" customHeight="1" x14ac:dyDescent="0.3"/>
    <row r="404" ht="20.100000000000001" customHeight="1" x14ac:dyDescent="0.3"/>
    <row r="405" ht="20.100000000000001" customHeight="1" x14ac:dyDescent="0.3"/>
    <row r="406" ht="20.100000000000001" customHeight="1" x14ac:dyDescent="0.3"/>
    <row r="407" ht="20.100000000000001" customHeight="1" x14ac:dyDescent="0.3"/>
    <row r="408" ht="20.100000000000001" customHeight="1" x14ac:dyDescent="0.3"/>
    <row r="409" ht="20.100000000000001" customHeight="1" x14ac:dyDescent="0.3"/>
    <row r="410" ht="20.100000000000001" customHeight="1" x14ac:dyDescent="0.3"/>
    <row r="411" ht="20.100000000000001" customHeight="1" x14ac:dyDescent="0.3"/>
    <row r="412" ht="20.100000000000001" customHeight="1" x14ac:dyDescent="0.3"/>
    <row r="413" ht="20.100000000000001" customHeight="1" x14ac:dyDescent="0.3"/>
    <row r="414" ht="20.100000000000001" customHeight="1" x14ac:dyDescent="0.3"/>
    <row r="415" ht="20.100000000000001" customHeight="1" x14ac:dyDescent="0.3"/>
    <row r="416" ht="20.100000000000001" customHeight="1" x14ac:dyDescent="0.3"/>
    <row r="417" ht="20.100000000000001" customHeight="1" x14ac:dyDescent="0.3"/>
    <row r="418" ht="20.100000000000001" customHeight="1" x14ac:dyDescent="0.3"/>
    <row r="419" ht="20.100000000000001" customHeight="1" x14ac:dyDescent="0.3"/>
    <row r="420" ht="20.100000000000001" customHeight="1" x14ac:dyDescent="0.3"/>
    <row r="421" ht="20.100000000000001" customHeight="1" x14ac:dyDescent="0.3"/>
    <row r="422" ht="20.100000000000001" customHeight="1" x14ac:dyDescent="0.3"/>
    <row r="423" ht="20.100000000000001" customHeight="1" x14ac:dyDescent="0.3"/>
    <row r="424" ht="20.100000000000001" customHeight="1" x14ac:dyDescent="0.3"/>
    <row r="425" ht="20.100000000000001" customHeight="1" x14ac:dyDescent="0.3"/>
    <row r="426" ht="20.100000000000001" customHeight="1" x14ac:dyDescent="0.3"/>
    <row r="427" ht="20.100000000000001" customHeight="1" x14ac:dyDescent="0.3"/>
    <row r="428" ht="20.100000000000001" customHeight="1" x14ac:dyDescent="0.3"/>
    <row r="429" ht="20.100000000000001" customHeight="1" x14ac:dyDescent="0.3"/>
    <row r="430" ht="20.100000000000001" customHeight="1" x14ac:dyDescent="0.3"/>
    <row r="431" ht="20.100000000000001" customHeight="1" x14ac:dyDescent="0.3"/>
    <row r="432" ht="20.100000000000001" customHeight="1" x14ac:dyDescent="0.3"/>
    <row r="433" ht="20.100000000000001" customHeight="1" x14ac:dyDescent="0.3"/>
    <row r="434" ht="20.100000000000001" customHeight="1" x14ac:dyDescent="0.3"/>
    <row r="435" ht="20.100000000000001" customHeight="1" x14ac:dyDescent="0.3"/>
    <row r="436" ht="20.100000000000001" customHeight="1" x14ac:dyDescent="0.3"/>
    <row r="437" ht="20.100000000000001" customHeight="1" x14ac:dyDescent="0.3"/>
    <row r="438" ht="20.100000000000001" customHeight="1" x14ac:dyDescent="0.3"/>
    <row r="439" ht="20.100000000000001" customHeight="1" x14ac:dyDescent="0.3"/>
    <row r="440" ht="20.100000000000001" customHeight="1" x14ac:dyDescent="0.3"/>
    <row r="441" ht="20.100000000000001" customHeight="1" x14ac:dyDescent="0.3"/>
    <row r="442" ht="20.100000000000001" customHeight="1" x14ac:dyDescent="0.3"/>
    <row r="443" ht="20.100000000000001" customHeight="1" x14ac:dyDescent="0.3"/>
    <row r="444" ht="20.100000000000001" customHeight="1" x14ac:dyDescent="0.3"/>
    <row r="445" ht="20.100000000000001" customHeight="1" x14ac:dyDescent="0.3"/>
    <row r="446" ht="20.100000000000001" customHeight="1" x14ac:dyDescent="0.3"/>
    <row r="447" ht="20.100000000000001" customHeight="1" x14ac:dyDescent="0.3"/>
    <row r="448" ht="20.100000000000001" customHeight="1" x14ac:dyDescent="0.3"/>
    <row r="449" ht="20.100000000000001" customHeight="1" x14ac:dyDescent="0.3"/>
    <row r="450" ht="20.100000000000001" customHeight="1" x14ac:dyDescent="0.3"/>
    <row r="451" ht="20.100000000000001" customHeight="1" x14ac:dyDescent="0.3"/>
    <row r="452" ht="20.100000000000001" customHeight="1" x14ac:dyDescent="0.3"/>
    <row r="453" ht="20.100000000000001" customHeight="1" x14ac:dyDescent="0.3"/>
    <row r="454" ht="20.100000000000001" customHeight="1" x14ac:dyDescent="0.3"/>
    <row r="455" ht="20.100000000000001" customHeight="1" x14ac:dyDescent="0.3"/>
    <row r="456" ht="20.100000000000001" customHeight="1" x14ac:dyDescent="0.3"/>
    <row r="457" ht="20.100000000000001" customHeight="1" x14ac:dyDescent="0.3"/>
    <row r="458" ht="20.100000000000001" customHeight="1" x14ac:dyDescent="0.3"/>
    <row r="459" ht="20.100000000000001" customHeight="1" x14ac:dyDescent="0.3"/>
    <row r="460" ht="20.100000000000001" customHeight="1" x14ac:dyDescent="0.3"/>
    <row r="461" ht="20.100000000000001" customHeight="1" x14ac:dyDescent="0.3"/>
    <row r="462" ht="20.100000000000001" customHeight="1" x14ac:dyDescent="0.3"/>
    <row r="463" ht="20.100000000000001" customHeight="1" x14ac:dyDescent="0.3"/>
    <row r="464" ht="20.100000000000001" customHeight="1" x14ac:dyDescent="0.3"/>
    <row r="465" ht="20.100000000000001" customHeight="1" x14ac:dyDescent="0.3"/>
    <row r="466" ht="20.100000000000001" customHeight="1" x14ac:dyDescent="0.3"/>
    <row r="467" ht="20.100000000000001" customHeight="1" x14ac:dyDescent="0.3"/>
    <row r="468" ht="20.100000000000001" customHeight="1" x14ac:dyDescent="0.3"/>
    <row r="469" ht="20.100000000000001" customHeight="1" x14ac:dyDescent="0.3"/>
    <row r="470" ht="20.100000000000001" customHeight="1" x14ac:dyDescent="0.3"/>
    <row r="471" ht="20.100000000000001" customHeight="1" x14ac:dyDescent="0.3"/>
    <row r="472" ht="20.100000000000001" customHeight="1" x14ac:dyDescent="0.3"/>
    <row r="473" ht="20.100000000000001" customHeight="1" x14ac:dyDescent="0.3"/>
    <row r="474" ht="20.100000000000001" customHeight="1" x14ac:dyDescent="0.3"/>
    <row r="475" ht="20.100000000000001" customHeight="1" x14ac:dyDescent="0.3"/>
    <row r="476" ht="20.100000000000001" customHeight="1" x14ac:dyDescent="0.3"/>
    <row r="477" ht="20.100000000000001" customHeight="1" x14ac:dyDescent="0.3"/>
    <row r="478" ht="20.100000000000001" customHeight="1" x14ac:dyDescent="0.3"/>
    <row r="479" ht="20.100000000000001" customHeight="1" x14ac:dyDescent="0.3"/>
    <row r="480" ht="20.100000000000001" customHeight="1" x14ac:dyDescent="0.3"/>
    <row r="481" ht="20.100000000000001" customHeight="1" x14ac:dyDescent="0.3"/>
    <row r="482" ht="20.100000000000001" customHeight="1" x14ac:dyDescent="0.3"/>
    <row r="483" ht="20.100000000000001" customHeight="1" x14ac:dyDescent="0.3"/>
    <row r="484" ht="20.100000000000001" customHeight="1" x14ac:dyDescent="0.3"/>
    <row r="485" ht="20.100000000000001" customHeight="1" x14ac:dyDescent="0.3"/>
    <row r="486" ht="20.100000000000001" customHeight="1" x14ac:dyDescent="0.3"/>
    <row r="487" ht="20.100000000000001" customHeight="1" x14ac:dyDescent="0.3"/>
    <row r="488" ht="20.100000000000001" customHeight="1" x14ac:dyDescent="0.3"/>
    <row r="489" ht="20.100000000000001" customHeight="1" x14ac:dyDescent="0.3"/>
    <row r="490" ht="20.100000000000001" customHeight="1" x14ac:dyDescent="0.3"/>
    <row r="491" ht="20.100000000000001" customHeight="1" x14ac:dyDescent="0.3"/>
    <row r="492" ht="20.100000000000001" customHeight="1" x14ac:dyDescent="0.3"/>
    <row r="493" ht="20.100000000000001" customHeight="1" x14ac:dyDescent="0.3"/>
    <row r="494" ht="20.100000000000001" customHeight="1" x14ac:dyDescent="0.3"/>
    <row r="495" ht="20.100000000000001" customHeight="1" x14ac:dyDescent="0.3"/>
    <row r="496" ht="20.100000000000001" customHeight="1" x14ac:dyDescent="0.3"/>
    <row r="497" ht="20.100000000000001" customHeight="1" x14ac:dyDescent="0.3"/>
    <row r="498" ht="20.100000000000001" customHeight="1" x14ac:dyDescent="0.3"/>
    <row r="499" ht="20.100000000000001" customHeight="1" x14ac:dyDescent="0.3"/>
    <row r="500" ht="20.100000000000001" customHeight="1" x14ac:dyDescent="0.3"/>
    <row r="501" ht="20.100000000000001" customHeight="1" x14ac:dyDescent="0.3"/>
    <row r="502" ht="20.100000000000001" customHeight="1" x14ac:dyDescent="0.3"/>
    <row r="503" ht="20.100000000000001" customHeight="1" x14ac:dyDescent="0.3"/>
    <row r="504" ht="20.100000000000001" customHeight="1" x14ac:dyDescent="0.3"/>
    <row r="505" ht="20.100000000000001" customHeight="1" x14ac:dyDescent="0.3"/>
    <row r="506" ht="20.100000000000001" customHeight="1" x14ac:dyDescent="0.3"/>
    <row r="507" ht="20.100000000000001" customHeight="1" x14ac:dyDescent="0.3"/>
    <row r="508" ht="20.100000000000001" customHeight="1" x14ac:dyDescent="0.3"/>
    <row r="509" ht="20.100000000000001" customHeight="1" x14ac:dyDescent="0.3"/>
    <row r="510" ht="20.100000000000001" customHeight="1" x14ac:dyDescent="0.3"/>
  </sheetData>
  <autoFilter ref="D2:D510"/>
  <mergeCells count="4">
    <mergeCell ref="F5:I5"/>
    <mergeCell ref="K5:N5"/>
    <mergeCell ref="P5:T5"/>
    <mergeCell ref="S3:T3"/>
  </mergeCells>
  <pageMargins left="0.2" right="0.2" top="0.5" bottom="0.75" header="0.3" footer="0.3"/>
  <pageSetup scale="6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10"/>
  <sheetViews>
    <sheetView workbookViewId="0">
      <pane ySplit="5" topLeftCell="A6" activePane="bottomLeft" state="frozen"/>
      <selection pane="bottomLeft" activeCell="F14" sqref="F14:G14"/>
    </sheetView>
  </sheetViews>
  <sheetFormatPr defaultRowHeight="16.5" x14ac:dyDescent="0.3"/>
  <cols>
    <col min="1" max="1" width="4.140625" style="45" customWidth="1"/>
    <col min="2" max="2" width="11.7109375" style="35" customWidth="1"/>
    <col min="3" max="3" width="2.85546875" style="35" customWidth="1"/>
    <col min="4" max="4" width="25.85546875" style="35" customWidth="1"/>
    <col min="5" max="5" width="3.140625" style="35" customWidth="1"/>
    <col min="6" max="6" width="9.140625" style="35" customWidth="1"/>
    <col min="7" max="7" width="14.5703125" style="35" customWidth="1"/>
    <col min="8" max="8" width="6.42578125" style="35" customWidth="1"/>
    <col min="9" max="9" width="8.7109375" style="35" customWidth="1"/>
    <col min="10" max="10" width="3.42578125" style="35" customWidth="1"/>
    <col min="11" max="11" width="8.5703125" style="35" customWidth="1"/>
    <col min="12" max="12" width="7.7109375" style="35" customWidth="1"/>
    <col min="13" max="13" width="7.5703125" style="35" customWidth="1"/>
    <col min="14" max="14" width="9.140625" style="35"/>
    <col min="15" max="15" width="3.5703125" style="35" customWidth="1"/>
    <col min="16" max="16" width="10.7109375" style="55" customWidth="1"/>
    <col min="17" max="17" width="5.85546875" style="55" customWidth="1"/>
    <col min="18" max="18" width="6.28515625" style="55" customWidth="1"/>
    <col min="19" max="20" width="9.7109375" style="55" customWidth="1"/>
    <col min="21" max="21" width="8.85546875" style="35" customWidth="1"/>
    <col min="22" max="22" width="3.140625" style="35" customWidth="1"/>
    <col min="23" max="16384" width="9.140625" style="35"/>
  </cols>
  <sheetData>
    <row r="1" spans="1:22" ht="17.25" thickBot="1" x14ac:dyDescent="0.35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9"/>
      <c r="Q1" s="59"/>
      <c r="R1" s="59"/>
      <c r="S1" s="59"/>
      <c r="T1" s="59"/>
      <c r="U1" s="58"/>
      <c r="V1" s="58"/>
    </row>
    <row r="2" spans="1:22" x14ac:dyDescent="0.3">
      <c r="A2" s="43"/>
      <c r="B2" s="2"/>
      <c r="C2" s="1"/>
      <c r="D2" s="1"/>
      <c r="E2" s="1"/>
      <c r="F2" s="1"/>
      <c r="G2" s="1"/>
      <c r="H2" s="1"/>
      <c r="I2" s="1"/>
      <c r="J2" s="1"/>
      <c r="K2" s="3"/>
      <c r="L2" s="4"/>
      <c r="M2" s="5"/>
      <c r="N2" s="5"/>
      <c r="O2" s="1"/>
      <c r="P2" s="48"/>
      <c r="Q2" s="49"/>
      <c r="R2" s="49"/>
      <c r="S2" s="49"/>
      <c r="T2" s="49"/>
      <c r="U2" s="1"/>
      <c r="V2" s="51"/>
    </row>
    <row r="3" spans="1:22" ht="20.100000000000001" customHeight="1" thickBot="1" x14ac:dyDescent="0.35">
      <c r="A3" s="43"/>
      <c r="B3" s="42" t="s">
        <v>15</v>
      </c>
      <c r="C3" s="1"/>
      <c r="D3" s="1"/>
      <c r="E3" s="36" t="s">
        <v>34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  <c r="Q3" s="56"/>
      <c r="R3" s="56"/>
      <c r="S3" s="181" t="s">
        <v>301</v>
      </c>
      <c r="T3" s="193"/>
      <c r="U3" s="182"/>
      <c r="V3" s="51"/>
    </row>
    <row r="4" spans="1:22" ht="17.25" thickTop="1" x14ac:dyDescent="0.3">
      <c r="A4" s="43"/>
      <c r="B4" s="2"/>
      <c r="C4" s="1"/>
      <c r="D4" s="1"/>
      <c r="E4" s="1"/>
      <c r="F4" s="1"/>
      <c r="G4" s="1"/>
      <c r="H4" s="6"/>
      <c r="I4" s="6"/>
      <c r="J4" s="1"/>
      <c r="K4" s="3"/>
      <c r="L4" s="4"/>
      <c r="M4" s="5"/>
      <c r="N4" s="5"/>
      <c r="O4" s="1"/>
      <c r="P4" s="48"/>
      <c r="Q4" s="49"/>
      <c r="R4" s="49"/>
      <c r="S4" s="49"/>
      <c r="T4" s="49"/>
      <c r="U4" s="1"/>
      <c r="V4" s="51"/>
    </row>
    <row r="5" spans="1:22" ht="30" customHeight="1" x14ac:dyDescent="0.3">
      <c r="A5" s="43"/>
      <c r="B5" s="8" t="s">
        <v>0</v>
      </c>
      <c r="C5" s="7"/>
      <c r="D5" s="47" t="s">
        <v>79</v>
      </c>
      <c r="E5" s="7"/>
      <c r="F5" s="178" t="s">
        <v>80</v>
      </c>
      <c r="G5" s="178"/>
      <c r="H5" s="178"/>
      <c r="I5" s="178"/>
      <c r="J5" s="9"/>
      <c r="K5" s="179" t="s">
        <v>81</v>
      </c>
      <c r="L5" s="179"/>
      <c r="M5" s="179"/>
      <c r="N5" s="179"/>
      <c r="O5" s="7"/>
      <c r="P5" s="180" t="s">
        <v>82</v>
      </c>
      <c r="Q5" s="180"/>
      <c r="R5" s="180"/>
      <c r="S5" s="180"/>
      <c r="T5" s="180"/>
      <c r="U5" s="180"/>
      <c r="V5" s="7"/>
    </row>
    <row r="6" spans="1:22" x14ac:dyDescent="0.3">
      <c r="A6" s="43"/>
      <c r="B6" s="2"/>
      <c r="C6" s="1"/>
      <c r="D6" s="1"/>
      <c r="E6" s="1"/>
      <c r="F6" s="10"/>
      <c r="G6" s="10"/>
      <c r="H6" s="1"/>
      <c r="I6" s="1"/>
      <c r="J6" s="1"/>
      <c r="K6" s="3"/>
      <c r="L6" s="4"/>
      <c r="M6" s="5"/>
      <c r="N6" s="5"/>
      <c r="O6" s="1"/>
      <c r="P6" s="48"/>
      <c r="Q6" s="49"/>
      <c r="R6" s="49"/>
      <c r="S6" s="49"/>
      <c r="T6" s="49"/>
      <c r="U6" s="1"/>
      <c r="V6" s="1"/>
    </row>
    <row r="7" spans="1:22" ht="30" customHeight="1" x14ac:dyDescent="0.3">
      <c r="A7" s="44"/>
      <c r="B7" s="12" t="s">
        <v>83</v>
      </c>
      <c r="C7" s="13"/>
      <c r="D7" s="14" t="s">
        <v>12</v>
      </c>
      <c r="E7" s="11"/>
      <c r="F7" s="188" t="s">
        <v>84</v>
      </c>
      <c r="G7" s="189"/>
      <c r="H7" s="15" t="s">
        <v>4</v>
      </c>
      <c r="I7" s="15" t="s">
        <v>6</v>
      </c>
      <c r="J7" s="16"/>
      <c r="K7" s="190" t="s">
        <v>85</v>
      </c>
      <c r="L7" s="191"/>
      <c r="M7" s="192"/>
      <c r="N7" s="50" t="s">
        <v>86</v>
      </c>
      <c r="O7" s="11"/>
      <c r="P7" s="12" t="s">
        <v>87</v>
      </c>
      <c r="Q7" s="15" t="s">
        <v>88</v>
      </c>
      <c r="R7" s="15" t="s">
        <v>89</v>
      </c>
      <c r="S7" s="15" t="s">
        <v>90</v>
      </c>
      <c r="T7" s="15" t="s">
        <v>91</v>
      </c>
      <c r="U7" s="15" t="s">
        <v>92</v>
      </c>
      <c r="V7" s="11"/>
    </row>
    <row r="8" spans="1:22" x14ac:dyDescent="0.3">
      <c r="A8" s="43"/>
      <c r="B8" s="2"/>
      <c r="C8" s="1"/>
      <c r="D8" s="1"/>
      <c r="E8" s="1"/>
      <c r="F8" s="1"/>
      <c r="G8" s="1"/>
      <c r="H8" s="1"/>
      <c r="I8" s="1"/>
      <c r="J8" s="20"/>
      <c r="K8" s="3"/>
      <c r="L8" s="4"/>
      <c r="M8" s="5"/>
      <c r="N8" s="5"/>
      <c r="O8" s="1"/>
      <c r="P8" s="48" t="s">
        <v>93</v>
      </c>
      <c r="Q8" s="49"/>
      <c r="R8" s="49"/>
      <c r="S8" s="48"/>
      <c r="T8" s="48" t="s">
        <v>93</v>
      </c>
      <c r="U8" s="1"/>
      <c r="V8" s="51"/>
    </row>
    <row r="9" spans="1:22" ht="20.100000000000001" customHeight="1" x14ac:dyDescent="0.3">
      <c r="A9" s="44">
        <v>1</v>
      </c>
      <c r="B9" s="22">
        <f>+'Order Details Aug22-Mar23'!P9</f>
        <v>44803</v>
      </c>
      <c r="C9" s="23"/>
      <c r="D9" s="53" t="str">
        <f>+'Order Details Aug22-Mar23'!T9</f>
        <v>We Care Animal Health</v>
      </c>
      <c r="E9" s="25"/>
      <c r="F9" s="183" t="str">
        <f>+'Order Details Aug22-Mar23'!D9</f>
        <v>FLYVIN</v>
      </c>
      <c r="G9" s="184"/>
      <c r="H9" s="26" t="str">
        <f>+'Order Details Aug22-Mar23'!G9</f>
        <v>Kg</v>
      </c>
      <c r="I9" s="27">
        <f>+'Order Details Aug22-Mar23'!I9</f>
        <v>70</v>
      </c>
      <c r="J9" s="28"/>
      <c r="K9" s="185" t="str">
        <f>+'Order Details Aug22-Mar23'!R9</f>
        <v>PO / NBF / 300822/ 01</v>
      </c>
      <c r="L9" s="186"/>
      <c r="M9" s="187"/>
      <c r="N9" s="31">
        <f>+'Order Details Aug22-Mar23'!F9*'Order Details Aug22-Mar23'!N9</f>
        <v>50400</v>
      </c>
      <c r="O9" s="25"/>
      <c r="P9" s="22"/>
      <c r="Q9" s="26"/>
      <c r="R9" s="26">
        <v>7</v>
      </c>
      <c r="S9" s="22">
        <f>P9+R9</f>
        <v>7</v>
      </c>
      <c r="T9" s="22"/>
      <c r="U9" s="31">
        <v>50400</v>
      </c>
      <c r="V9" s="51"/>
    </row>
    <row r="10" spans="1:22" ht="20.100000000000001" customHeight="1" x14ac:dyDescent="0.3">
      <c r="A10" s="44">
        <v>2</v>
      </c>
      <c r="B10" s="22"/>
      <c r="C10" s="23"/>
      <c r="D10" s="54" t="str">
        <f>+'Order Details Aug22-Mar23'!T10</f>
        <v>Supplied from Hitech Kolkata</v>
      </c>
      <c r="E10" s="25"/>
      <c r="F10" s="183" t="str">
        <f>+'Order Details Aug22-Mar23'!D10</f>
        <v>DLM</v>
      </c>
      <c r="G10" s="184"/>
      <c r="H10" s="26" t="str">
        <f>+'Order Details Aug22-Mar23'!G10</f>
        <v>Kg</v>
      </c>
      <c r="I10" s="27">
        <f>+'Order Details Aug22-Mar23'!I10</f>
        <v>500</v>
      </c>
      <c r="J10" s="28"/>
      <c r="K10" s="185"/>
      <c r="L10" s="186"/>
      <c r="M10" s="187"/>
      <c r="N10" s="31">
        <f>+'Order Details Aug22-Mar23'!F10*'Order Details Aug22-Mar23'!N10</f>
        <v>0</v>
      </c>
      <c r="O10" s="25"/>
      <c r="P10" s="22"/>
      <c r="Q10" s="26"/>
      <c r="R10" s="62" t="s">
        <v>16</v>
      </c>
      <c r="S10" s="22" t="e">
        <f t="shared" ref="S10:S50" si="0">P10+R10</f>
        <v>#VALUE!</v>
      </c>
      <c r="T10" s="22"/>
      <c r="U10" s="31"/>
      <c r="V10" s="51"/>
    </row>
    <row r="11" spans="1:22" ht="20.100000000000001" customHeight="1" x14ac:dyDescent="0.3">
      <c r="A11" s="44">
        <v>3</v>
      </c>
      <c r="B11" s="22">
        <f>+'Order Details Aug22-Mar23'!P11</f>
        <v>44810</v>
      </c>
      <c r="C11" s="23"/>
      <c r="D11" s="53" t="str">
        <f>+'Order Details Aug22-Mar23'!T11</f>
        <v>Avitech Nutrition Pvt Ltd</v>
      </c>
      <c r="E11" s="25"/>
      <c r="F11" s="183" t="str">
        <f>+'Order Details Aug22-Mar23'!D11</f>
        <v>BREEDER VITAMIN PREMIX-HYD</v>
      </c>
      <c r="G11" s="184"/>
      <c r="H11" s="26" t="str">
        <f>+'Order Details Aug22-Mar23'!G11</f>
        <v>Kg</v>
      </c>
      <c r="I11" s="27">
        <f>+'Order Details Aug22-Mar23'!I11</f>
        <v>500</v>
      </c>
      <c r="J11" s="28"/>
      <c r="K11" s="185" t="str">
        <f>+'Order Details Aug22-Mar23'!R11</f>
        <v>PO / NBF / 060922 / 01</v>
      </c>
      <c r="L11" s="186"/>
      <c r="M11" s="187"/>
      <c r="N11" s="31">
        <f>+'Order Details Aug22-Mar23'!F11*'Order Details Aug22-Mar23'!N11</f>
        <v>362000</v>
      </c>
      <c r="O11" s="25"/>
      <c r="P11" s="22"/>
      <c r="Q11" s="26"/>
      <c r="R11" s="26">
        <v>3</v>
      </c>
      <c r="S11" s="22">
        <f t="shared" si="0"/>
        <v>3</v>
      </c>
      <c r="T11" s="22"/>
      <c r="U11" s="31"/>
      <c r="V11" s="51"/>
    </row>
    <row r="12" spans="1:22" ht="20.100000000000001" customHeight="1" x14ac:dyDescent="0.3">
      <c r="A12" s="44">
        <v>4</v>
      </c>
      <c r="B12" s="22"/>
      <c r="C12" s="23"/>
      <c r="D12" s="54" t="str">
        <f>+'Order Details Aug22-Mar23'!T12</f>
        <v>Supplied from Hitech Kolkata</v>
      </c>
      <c r="E12" s="25"/>
      <c r="F12" s="183" t="str">
        <f>+'Order Details Aug22-Mar23'!D12</f>
        <v xml:space="preserve">ALKAKARB (Sodi Bicarb) </v>
      </c>
      <c r="G12" s="184"/>
      <c r="H12" s="26" t="str">
        <f>+'Order Details Aug22-Mar23'!G12</f>
        <v>Kg</v>
      </c>
      <c r="I12" s="27">
        <f>+'Order Details Aug22-Mar23'!I12</f>
        <v>1500</v>
      </c>
      <c r="J12" s="28"/>
      <c r="K12" s="185"/>
      <c r="L12" s="186"/>
      <c r="M12" s="187"/>
      <c r="N12" s="31">
        <f>+'Order Details Aug22-Mar23'!F12*'Order Details Aug22-Mar23'!N12</f>
        <v>0</v>
      </c>
      <c r="O12" s="25"/>
      <c r="P12" s="22"/>
      <c r="Q12" s="26"/>
      <c r="R12" s="62" t="s">
        <v>16</v>
      </c>
      <c r="S12" s="22" t="e">
        <f t="shared" si="0"/>
        <v>#VALUE!</v>
      </c>
      <c r="T12" s="22"/>
      <c r="U12" s="31"/>
      <c r="V12" s="51"/>
    </row>
    <row r="13" spans="1:22" ht="20.100000000000001" customHeight="1" x14ac:dyDescent="0.3">
      <c r="A13" s="44">
        <v>5</v>
      </c>
      <c r="B13" s="22">
        <f>+'Order Details Aug22-Mar23'!P13</f>
        <v>44810</v>
      </c>
      <c r="C13" s="23"/>
      <c r="D13" s="53" t="str">
        <f>+'Order Details Aug22-Mar23'!T13</f>
        <v>Stats Speciality Products</v>
      </c>
      <c r="E13" s="25"/>
      <c r="F13" s="183" t="str">
        <f>+'Order Details Aug22-Mar23'!D13</f>
        <v xml:space="preserve">KEMZYME - XPF </v>
      </c>
      <c r="G13" s="184"/>
      <c r="H13" s="26" t="str">
        <f>+'Order Details Aug22-Mar23'!G13</f>
        <v>Kg</v>
      </c>
      <c r="I13" s="27">
        <f>+'Order Details Aug22-Mar23'!I13</f>
        <v>100</v>
      </c>
      <c r="J13" s="28"/>
      <c r="K13" s="185" t="str">
        <f>+'Order Details Aug22-Mar23'!R13</f>
        <v>PO / NBF / 060922 / 03</v>
      </c>
      <c r="L13" s="186"/>
      <c r="M13" s="187"/>
      <c r="N13" s="31">
        <f>+'Order Details Aug22-Mar23'!F13*'Order Details Aug22-Mar23'!N13</f>
        <v>26000</v>
      </c>
      <c r="O13" s="25"/>
      <c r="P13" s="22"/>
      <c r="Q13" s="26"/>
      <c r="R13" s="26">
        <v>45</v>
      </c>
      <c r="S13" s="22">
        <f t="shared" si="0"/>
        <v>45</v>
      </c>
      <c r="T13" s="22"/>
      <c r="U13" s="31"/>
      <c r="V13" s="51"/>
    </row>
    <row r="14" spans="1:22" ht="20.100000000000001" customHeight="1" x14ac:dyDescent="0.3">
      <c r="A14" s="44">
        <v>6</v>
      </c>
      <c r="B14" s="22"/>
      <c r="C14" s="23"/>
      <c r="D14" s="54" t="str">
        <f>+'Order Details Aug22-Mar23'!T14</f>
        <v>Supplied from Hitech Kolkata</v>
      </c>
      <c r="E14" s="25"/>
      <c r="F14" s="183" t="str">
        <f>+'Order Details Aug22-Mar23'!D14</f>
        <v>ENRA GUARD</v>
      </c>
      <c r="G14" s="184"/>
      <c r="H14" s="26" t="str">
        <f>+'Order Details Aug22-Mar23'!G14</f>
        <v>Kg</v>
      </c>
      <c r="I14" s="27">
        <f>+'Order Details Aug22-Mar23'!I14</f>
        <v>200</v>
      </c>
      <c r="J14" s="28"/>
      <c r="K14" s="185"/>
      <c r="L14" s="186"/>
      <c r="M14" s="187"/>
      <c r="N14" s="31">
        <f>+'Order Details Aug22-Mar23'!F14*'Order Details Aug22-Mar23'!N14</f>
        <v>0</v>
      </c>
      <c r="O14" s="25"/>
      <c r="P14" s="22"/>
      <c r="Q14" s="26"/>
      <c r="R14" s="62" t="s">
        <v>16</v>
      </c>
      <c r="S14" s="22" t="e">
        <f t="shared" si="0"/>
        <v>#VALUE!</v>
      </c>
      <c r="T14" s="22"/>
      <c r="U14" s="31"/>
      <c r="V14" s="51"/>
    </row>
    <row r="15" spans="1:22" ht="20.100000000000001" customHeight="1" x14ac:dyDescent="0.3">
      <c r="A15" s="44">
        <v>7</v>
      </c>
      <c r="B15" s="22">
        <f>+'Order Details Aug22-Mar23'!P15</f>
        <v>44810</v>
      </c>
      <c r="C15" s="23"/>
      <c r="D15" s="53" t="str">
        <f>+'Order Details Aug22-Mar23'!T15</f>
        <v>Das Drug Centre, Habra</v>
      </c>
      <c r="E15" s="25"/>
      <c r="F15" s="183" t="str">
        <f>+'Order Details Aug22-Mar23'!D15</f>
        <v>KOLIN-PLUS instead of BIOCHOLINE</v>
      </c>
      <c r="G15" s="184"/>
      <c r="H15" s="26" t="str">
        <f>+'Order Details Aug22-Mar23'!G15</f>
        <v>Kg</v>
      </c>
      <c r="I15" s="27">
        <f>+'Order Details Aug22-Mar23'!I15</f>
        <v>500</v>
      </c>
      <c r="J15" s="28"/>
      <c r="K15" s="185" t="str">
        <f>+'Order Details Aug22-Mar23'!R15</f>
        <v>PO / NBF / 060922 / 02</v>
      </c>
      <c r="L15" s="186"/>
      <c r="M15" s="187"/>
      <c r="N15" s="31">
        <f>+'Order Details Aug22-Mar23'!F15*'Order Details Aug22-Mar23'!N15</f>
        <v>35000</v>
      </c>
      <c r="O15" s="25"/>
      <c r="P15" s="22"/>
      <c r="Q15" s="26"/>
      <c r="R15" s="26">
        <v>45</v>
      </c>
      <c r="S15" s="22">
        <f t="shared" si="0"/>
        <v>45</v>
      </c>
      <c r="T15" s="22"/>
      <c r="U15" s="31"/>
      <c r="V15" s="51"/>
    </row>
    <row r="16" spans="1:22" s="39" customFormat="1" ht="20.100000000000001" customHeight="1" x14ac:dyDescent="0.2">
      <c r="A16" s="44">
        <v>8</v>
      </c>
      <c r="B16" s="22">
        <f>+'Order Details Aug22-Mar23'!P16</f>
        <v>44818</v>
      </c>
      <c r="C16" s="23"/>
      <c r="D16" s="53" t="str">
        <f>+'Order Details Aug22-Mar23'!T16</f>
        <v>B V Biocrop - Hitech Division</v>
      </c>
      <c r="E16" s="25"/>
      <c r="F16" s="183" t="str">
        <f>+'Order Details Aug22-Mar23'!D16</f>
        <v>TRACEMIN-BB</v>
      </c>
      <c r="G16" s="184"/>
      <c r="H16" s="26" t="str">
        <f>+'Order Details Aug22-Mar23'!G16</f>
        <v>Kg</v>
      </c>
      <c r="I16" s="27">
        <f>+'Order Details Aug22-Mar23'!I16</f>
        <v>500</v>
      </c>
      <c r="J16" s="28"/>
      <c r="K16" s="185" t="str">
        <f>+'Order Details Aug22-Mar23'!R16</f>
        <v>PO / NBF / 140922 / 01</v>
      </c>
      <c r="L16" s="186"/>
      <c r="M16" s="187"/>
      <c r="N16" s="31">
        <f>+'Order Details Aug22-Mar23'!F16*'Order Details Aug22-Mar23'!N16</f>
        <v>35000</v>
      </c>
      <c r="O16" s="25"/>
      <c r="P16" s="22"/>
      <c r="Q16" s="26"/>
      <c r="R16" s="26">
        <v>7</v>
      </c>
      <c r="S16" s="22">
        <f t="shared" si="0"/>
        <v>7</v>
      </c>
      <c r="T16" s="22"/>
      <c r="U16" s="31"/>
      <c r="V16" s="52"/>
    </row>
    <row r="17" spans="1:22" s="39" customFormat="1" ht="20.100000000000001" customHeight="1" x14ac:dyDescent="0.2">
      <c r="A17" s="44">
        <v>9</v>
      </c>
      <c r="B17" s="22">
        <f>+'Order Details Aug22-Mar23'!P17</f>
        <v>44818</v>
      </c>
      <c r="C17" s="23"/>
      <c r="D17" s="53" t="str">
        <f>+'Order Details Aug22-Mar23'!T17</f>
        <v xml:space="preserve">Not done due to Repeat order </v>
      </c>
      <c r="E17" s="25"/>
      <c r="F17" s="183" t="str">
        <f>+'Order Details Aug22-Mar23'!D17</f>
        <v>KEMZYME - XPF</v>
      </c>
      <c r="G17" s="184"/>
      <c r="H17" s="26" t="str">
        <f>+'Order Details Aug22-Mar23'!G17</f>
        <v>Kg</v>
      </c>
      <c r="I17" s="27">
        <f>+'Order Details Aug22-Mar23'!I17</f>
        <v>200</v>
      </c>
      <c r="J17" s="28"/>
      <c r="K17" s="185"/>
      <c r="L17" s="186"/>
      <c r="M17" s="187"/>
      <c r="N17" s="31">
        <f>+'Order Details Aug22-Mar23'!F17*'Order Details Aug22-Mar23'!N17</f>
        <v>52000</v>
      </c>
      <c r="O17" s="25"/>
      <c r="P17" s="22"/>
      <c r="Q17" s="26"/>
      <c r="R17" s="62" t="s">
        <v>16</v>
      </c>
      <c r="S17" s="22" t="e">
        <f t="shared" si="0"/>
        <v>#VALUE!</v>
      </c>
      <c r="T17" s="22"/>
      <c r="U17" s="31"/>
      <c r="V17" s="52"/>
    </row>
    <row r="18" spans="1:22" s="39" customFormat="1" ht="20.100000000000001" customHeight="1" x14ac:dyDescent="0.2">
      <c r="A18" s="44">
        <v>10</v>
      </c>
      <c r="B18" s="22">
        <f>+'Order Details Aug22-Mar23'!P18</f>
        <v>44818</v>
      </c>
      <c r="C18" s="23"/>
      <c r="D18" s="53" t="str">
        <f>+'Order Details Aug22-Mar23'!T18</f>
        <v>Zeus Biotech Pvt Ltd</v>
      </c>
      <c r="E18" s="25"/>
      <c r="F18" s="183" t="str">
        <f>+'Order Details Aug22-Mar23'!D18</f>
        <v>SELCON FORTE</v>
      </c>
      <c r="G18" s="184"/>
      <c r="H18" s="26" t="str">
        <f>+'Order Details Aug22-Mar23'!G18</f>
        <v>Kg</v>
      </c>
      <c r="I18" s="27">
        <f>+'Order Details Aug22-Mar23'!I18</f>
        <v>200</v>
      </c>
      <c r="J18" s="28"/>
      <c r="K18" s="185" t="str">
        <f>+'Order Details Aug22-Mar23'!R18</f>
        <v>PO / NBF / 140922 / 02</v>
      </c>
      <c r="L18" s="186"/>
      <c r="M18" s="187"/>
      <c r="N18" s="31">
        <f>+'Order Details Aug22-Mar23'!F18*'Order Details Aug22-Mar23'!N18</f>
        <v>80000</v>
      </c>
      <c r="O18" s="25"/>
      <c r="P18" s="22"/>
      <c r="Q18" s="26"/>
      <c r="R18" s="61">
        <v>45</v>
      </c>
      <c r="S18" s="22">
        <f t="shared" si="0"/>
        <v>45</v>
      </c>
      <c r="T18" s="22"/>
      <c r="U18" s="31"/>
      <c r="V18" s="52"/>
    </row>
    <row r="19" spans="1:22" s="39" customFormat="1" ht="20.100000000000001" customHeight="1" x14ac:dyDescent="0.2">
      <c r="A19" s="44">
        <v>11</v>
      </c>
      <c r="B19" s="22">
        <f>+'Order Details Aug22-Mar23'!P19</f>
        <v>44818</v>
      </c>
      <c r="C19" s="23"/>
      <c r="D19" s="53" t="str">
        <f>+'Order Details Aug22-Mar23'!T19</f>
        <v>Izda Health Care</v>
      </c>
      <c r="E19" s="25"/>
      <c r="F19" s="183" t="str">
        <f>+'Order Details Aug22-Mar23'!D19</f>
        <v>OVASTIM</v>
      </c>
      <c r="G19" s="184"/>
      <c r="H19" s="26" t="str">
        <f>+'Order Details Aug22-Mar23'!G19</f>
        <v>Kg</v>
      </c>
      <c r="I19" s="27">
        <f>+'Order Details Aug22-Mar23'!I19</f>
        <v>300</v>
      </c>
      <c r="J19" s="28"/>
      <c r="K19" s="185" t="str">
        <f>+'Order Details Aug22-Mar23'!R19</f>
        <v>PO / NBF / 140922 / 03</v>
      </c>
      <c r="L19" s="186"/>
      <c r="M19" s="187"/>
      <c r="N19" s="31">
        <f>+'Order Details Aug22-Mar23'!F19*'Order Details Aug22-Mar23'!N19</f>
        <v>120000</v>
      </c>
      <c r="O19" s="25"/>
      <c r="P19" s="22"/>
      <c r="Q19" s="26"/>
      <c r="R19" s="26">
        <v>45</v>
      </c>
      <c r="S19" s="22">
        <f t="shared" si="0"/>
        <v>45</v>
      </c>
      <c r="T19" s="22"/>
      <c r="U19" s="31"/>
      <c r="V19" s="52"/>
    </row>
    <row r="20" spans="1:22" ht="20.100000000000001" customHeight="1" x14ac:dyDescent="0.3">
      <c r="A20" s="44">
        <v>12</v>
      </c>
      <c r="B20" s="22">
        <f>+'Order Details Aug22-Mar23'!P20</f>
        <v>44826</v>
      </c>
      <c r="C20" s="23"/>
      <c r="D20" s="53" t="str">
        <f>+'Order Details Aug22-Mar23'!T20</f>
        <v>APC Nutrients Limited</v>
      </c>
      <c r="E20" s="25"/>
      <c r="F20" s="183" t="str">
        <f>+'Order Details Aug22-Mar23'!D20</f>
        <v>VOLAMEL</v>
      </c>
      <c r="G20" s="184"/>
      <c r="H20" s="26" t="str">
        <f>+'Order Details Aug22-Mar23'!G20</f>
        <v>Kg</v>
      </c>
      <c r="I20" s="27">
        <f>+'Order Details Aug22-Mar23'!I20</f>
        <v>300</v>
      </c>
      <c r="J20" s="28"/>
      <c r="K20" s="185" t="str">
        <f>+'Order Details Aug22-Mar23'!R20</f>
        <v>PO / NBF / 220922 / 01</v>
      </c>
      <c r="L20" s="186"/>
      <c r="M20" s="187"/>
      <c r="N20" s="31">
        <f>+'Order Details Aug22-Mar23'!F20*'Order Details Aug22-Mar23'!N20</f>
        <v>171000</v>
      </c>
      <c r="O20" s="25"/>
      <c r="P20" s="22"/>
      <c r="Q20" s="26"/>
      <c r="R20" s="26">
        <v>3</v>
      </c>
      <c r="S20" s="22">
        <f t="shared" si="0"/>
        <v>3</v>
      </c>
      <c r="T20" s="22"/>
      <c r="U20" s="31"/>
      <c r="V20" s="51"/>
    </row>
    <row r="21" spans="1:22" ht="20.100000000000001" customHeight="1" x14ac:dyDescent="0.3">
      <c r="A21" s="44">
        <v>13</v>
      </c>
      <c r="B21" s="22">
        <f>+'Order Details Aug22-Mar23'!P21</f>
        <v>44826</v>
      </c>
      <c r="C21" s="23"/>
      <c r="D21" s="53" t="str">
        <f>+'Order Details Aug22-Mar23'!T21</f>
        <v>Das Drug Centre, Habra</v>
      </c>
      <c r="E21" s="25"/>
      <c r="F21" s="183" t="str">
        <f>+'Order Details Aug22-Mar23'!D21</f>
        <v>STODI</v>
      </c>
      <c r="G21" s="184"/>
      <c r="H21" s="26" t="str">
        <f>+'Order Details Aug22-Mar23'!G21</f>
        <v>Kg</v>
      </c>
      <c r="I21" s="27">
        <f>+'Order Details Aug22-Mar23'!I21</f>
        <v>300</v>
      </c>
      <c r="J21" s="28"/>
      <c r="K21" s="185" t="str">
        <f>+'Order Details Aug22-Mar23'!R21</f>
        <v>PO / NBF / 220922 / 02</v>
      </c>
      <c r="L21" s="186"/>
      <c r="M21" s="187"/>
      <c r="N21" s="31">
        <f>+'Order Details Aug22-Mar23'!F21*'Order Details Aug22-Mar23'!N21</f>
        <v>21300</v>
      </c>
      <c r="O21" s="25"/>
      <c r="P21" s="22"/>
      <c r="Q21" s="26"/>
      <c r="R21" s="26">
        <v>45</v>
      </c>
      <c r="S21" s="22">
        <f t="shared" si="0"/>
        <v>45</v>
      </c>
      <c r="T21" s="22"/>
      <c r="U21" s="31"/>
      <c r="V21" s="51"/>
    </row>
    <row r="22" spans="1:22" ht="20.100000000000001" customHeight="1" x14ac:dyDescent="0.3">
      <c r="A22" s="44">
        <v>14</v>
      </c>
      <c r="B22" s="22">
        <f>+'Order Details Aug22-Mar23'!P22</f>
        <v>44826</v>
      </c>
      <c r="C22" s="23"/>
      <c r="D22" s="53" t="str">
        <f>+'Order Details Aug22-Mar23'!T22</f>
        <v>Tara Enterprises, Hyderabad</v>
      </c>
      <c r="E22" s="25"/>
      <c r="F22" s="183" t="str">
        <f>+'Order Details Aug22-Mar23'!D22</f>
        <v xml:space="preserve">HIPRAVIHAR CLON H-120 </v>
      </c>
      <c r="G22" s="184"/>
      <c r="H22" s="26" t="str">
        <f>+'Order Details Aug22-Mar23'!G22</f>
        <v>Dose</v>
      </c>
      <c r="I22" s="27">
        <f>+'Order Details Aug22-Mar23'!I22</f>
        <v>100000</v>
      </c>
      <c r="J22" s="28"/>
      <c r="K22" s="185" t="str">
        <f>+'Order Details Aug22-Mar23'!R22</f>
        <v>PO / NBF / 220922 / 03</v>
      </c>
      <c r="L22" s="186"/>
      <c r="M22" s="187"/>
      <c r="N22" s="31">
        <f>+'Order Details Aug22-Mar23'!F22*'Order Details Aug22-Mar23'!N22</f>
        <v>23100</v>
      </c>
      <c r="O22" s="25"/>
      <c r="P22" s="22"/>
      <c r="Q22" s="26"/>
      <c r="R22" s="26">
        <v>45</v>
      </c>
      <c r="S22" s="22">
        <f t="shared" si="0"/>
        <v>45</v>
      </c>
      <c r="T22" s="22"/>
      <c r="U22" s="31"/>
      <c r="V22" s="51"/>
    </row>
    <row r="23" spans="1:22" ht="20.100000000000001" customHeight="1" x14ac:dyDescent="0.3">
      <c r="A23" s="44">
        <v>15</v>
      </c>
      <c r="B23" s="22">
        <f>+'Order Details Aug22-Mar23'!P23</f>
        <v>44827</v>
      </c>
      <c r="C23" s="23"/>
      <c r="D23" s="53" t="str">
        <f>+'Order Details Aug22-Mar23'!T23</f>
        <v>Stats Speciality Products</v>
      </c>
      <c r="E23" s="25"/>
      <c r="F23" s="183" t="str">
        <f>+'Order Details Aug22-Mar23'!D23</f>
        <v>RECEPTOL (MSD)</v>
      </c>
      <c r="G23" s="184"/>
      <c r="H23" s="26" t="str">
        <f>+'Order Details Aug22-Mar23'!G23</f>
        <v>ML</v>
      </c>
      <c r="I23" s="27">
        <f>+'Order Details Aug22-Mar23'!I23</f>
        <v>400</v>
      </c>
      <c r="J23" s="28"/>
      <c r="K23" s="185" t="str">
        <f>+'Order Details Aug22-Mar23'!R23</f>
        <v>PO / NBF / 230922 / 01</v>
      </c>
      <c r="L23" s="186"/>
      <c r="M23" s="187"/>
      <c r="N23" s="31">
        <f>+'Order Details Aug22-Mar23'!F23*'Order Details Aug22-Mar23'!N23</f>
        <v>28000</v>
      </c>
      <c r="O23" s="25"/>
      <c r="P23" s="22"/>
      <c r="Q23" s="26"/>
      <c r="R23" s="26">
        <v>45</v>
      </c>
      <c r="S23" s="22">
        <f t="shared" si="0"/>
        <v>45</v>
      </c>
      <c r="T23" s="22"/>
      <c r="U23" s="31"/>
      <c r="V23" s="51"/>
    </row>
    <row r="24" spans="1:22" ht="20.100000000000001" customHeight="1" x14ac:dyDescent="0.3">
      <c r="A24" s="44">
        <v>16</v>
      </c>
      <c r="B24" s="22">
        <f>+'Order Details Aug22-Mar23'!P24</f>
        <v>44830</v>
      </c>
      <c r="C24" s="23"/>
      <c r="D24" s="53" t="str">
        <f>+'Order Details Aug22-Mar23'!T24</f>
        <v>ABP Enterprises</v>
      </c>
      <c r="E24" s="25"/>
      <c r="F24" s="183" t="str">
        <f>+'Order Details Aug22-Mar23'!D24</f>
        <v>KAMRAKSHA PLUS</v>
      </c>
      <c r="G24" s="184"/>
      <c r="H24" s="26" t="str">
        <f>+'Order Details Aug22-Mar23'!G24</f>
        <v>Ltr</v>
      </c>
      <c r="I24" s="27">
        <f>+'Order Details Aug22-Mar23'!I24</f>
        <v>100</v>
      </c>
      <c r="J24" s="28"/>
      <c r="K24" s="185" t="str">
        <f>+'Order Details Aug22-Mar23'!R24</f>
        <v>PO / NBF / 260922 / 01</v>
      </c>
      <c r="L24" s="186"/>
      <c r="M24" s="187"/>
      <c r="N24" s="31">
        <f>+'Order Details Aug22-Mar23'!F24*'Order Details Aug22-Mar23'!N24</f>
        <v>32999.879999999997</v>
      </c>
      <c r="O24" s="25"/>
      <c r="P24" s="22"/>
      <c r="Q24" s="26"/>
      <c r="R24" s="26">
        <v>10</v>
      </c>
      <c r="S24" s="22">
        <f t="shared" si="0"/>
        <v>10</v>
      </c>
      <c r="T24" s="22"/>
      <c r="U24" s="31"/>
      <c r="V24" s="51"/>
    </row>
    <row r="25" spans="1:22" ht="20.100000000000001" customHeight="1" x14ac:dyDescent="0.3">
      <c r="A25" s="44">
        <v>17</v>
      </c>
      <c r="B25" s="22">
        <f>+'Order Details Aug22-Mar23'!P25</f>
        <v>44830</v>
      </c>
      <c r="C25" s="23"/>
      <c r="D25" s="53" t="str">
        <f>+'Order Details Aug22-Mar23'!T25</f>
        <v>Izda Health Care</v>
      </c>
      <c r="E25" s="25"/>
      <c r="F25" s="183" t="str">
        <f>+'Order Details Aug22-Mar23'!D25</f>
        <v>DEFORCE INJECTION (Idza)</v>
      </c>
      <c r="G25" s="184"/>
      <c r="H25" s="26" t="str">
        <f>+'Order Details Aug22-Mar23'!G25</f>
        <v>ML</v>
      </c>
      <c r="I25" s="27">
        <f>+'Order Details Aug22-Mar23'!I25</f>
        <v>500</v>
      </c>
      <c r="J25" s="28"/>
      <c r="K25" s="185" t="str">
        <f>+'Order Details Aug22-Mar23'!R25</f>
        <v>PO / NBF / 260922 / 02</v>
      </c>
      <c r="L25" s="186"/>
      <c r="M25" s="187"/>
      <c r="N25" s="31">
        <f>+'Order Details Aug22-Mar23'!F25*'Order Details Aug22-Mar23'!N25</f>
        <v>42000</v>
      </c>
      <c r="O25" s="25"/>
      <c r="P25" s="22"/>
      <c r="Q25" s="26"/>
      <c r="R25" s="26">
        <v>45</v>
      </c>
      <c r="S25" s="22">
        <f t="shared" si="0"/>
        <v>45</v>
      </c>
      <c r="T25" s="22"/>
      <c r="U25" s="31"/>
      <c r="V25" s="51"/>
    </row>
    <row r="26" spans="1:22" ht="20.100000000000001" customHeight="1" x14ac:dyDescent="0.3">
      <c r="A26" s="44">
        <v>18</v>
      </c>
      <c r="B26" s="22">
        <f>+'Order Details Aug22-Mar23'!P26</f>
        <v>44830</v>
      </c>
      <c r="C26" s="23"/>
      <c r="D26" s="53" t="str">
        <f>+'Order Details Aug22-Mar23'!T26</f>
        <v>Das Drug Centre, Habra</v>
      </c>
      <c r="E26" s="25"/>
      <c r="F26" s="183" t="str">
        <f>+'Order Details Aug22-Mar23'!D26</f>
        <v>AMBIPLEX</v>
      </c>
      <c r="G26" s="184"/>
      <c r="H26" s="26" t="str">
        <f>+'Order Details Aug22-Mar23'!G26</f>
        <v>Ltr</v>
      </c>
      <c r="I26" s="27">
        <f>+'Order Details Aug22-Mar23'!I26</f>
        <v>100</v>
      </c>
      <c r="J26" s="28"/>
      <c r="K26" s="185" t="str">
        <f>+'Order Details Aug22-Mar23'!R26</f>
        <v>PO / NBF / 260922 / 03</v>
      </c>
      <c r="L26" s="186"/>
      <c r="M26" s="187"/>
      <c r="N26" s="31">
        <f>+'Order Details Aug22-Mar23'!F26*'Order Details Aug22-Mar23'!N26</f>
        <v>10300</v>
      </c>
      <c r="O26" s="25"/>
      <c r="P26" s="22"/>
      <c r="Q26" s="26"/>
      <c r="R26" s="26">
        <v>45</v>
      </c>
      <c r="S26" s="22">
        <f t="shared" si="0"/>
        <v>45</v>
      </c>
      <c r="T26" s="22"/>
      <c r="U26" s="31"/>
      <c r="V26" s="51"/>
    </row>
    <row r="27" spans="1:22" ht="20.100000000000001" customHeight="1" x14ac:dyDescent="0.3">
      <c r="A27" s="44">
        <v>19</v>
      </c>
      <c r="B27" s="22">
        <f>+'Order Details Aug22-Mar23'!P27</f>
        <v>44830</v>
      </c>
      <c r="C27" s="23"/>
      <c r="D27" s="53" t="str">
        <f>+'Order Details Aug22-Mar23'!T27</f>
        <v>Das Drug Centre, Habra</v>
      </c>
      <c r="E27" s="25"/>
      <c r="F27" s="183" t="str">
        <f>+'Order Details Aug22-Mar23'!D27</f>
        <v>URIMIN INJECTION</v>
      </c>
      <c r="G27" s="184"/>
      <c r="H27" s="26" t="str">
        <f>+'Order Details Aug22-Mar23'!G27</f>
        <v>ML</v>
      </c>
      <c r="I27" s="27">
        <f>+'Order Details Aug22-Mar23'!I27</f>
        <v>3000</v>
      </c>
      <c r="J27" s="28"/>
      <c r="K27" s="185" t="str">
        <f>+'Order Details Aug22-Mar23'!R27</f>
        <v>PO / NBF / 260922 / 03</v>
      </c>
      <c r="L27" s="186"/>
      <c r="M27" s="187"/>
      <c r="N27" s="31">
        <f>+'Order Details Aug22-Mar23'!F27*'Order Details Aug22-Mar23'!N27</f>
        <v>10056.06</v>
      </c>
      <c r="O27" s="25"/>
      <c r="P27" s="22"/>
      <c r="Q27" s="26"/>
      <c r="R27" s="26">
        <v>45</v>
      </c>
      <c r="S27" s="22">
        <f t="shared" si="0"/>
        <v>45</v>
      </c>
      <c r="T27" s="22"/>
      <c r="U27" s="31"/>
      <c r="V27" s="51"/>
    </row>
    <row r="28" spans="1:22" ht="20.100000000000001" customHeight="1" x14ac:dyDescent="0.3">
      <c r="A28" s="44">
        <v>20</v>
      </c>
      <c r="B28" s="22">
        <f>+'Order Details Aug22-Mar23'!P28</f>
        <v>44830</v>
      </c>
      <c r="C28" s="23"/>
      <c r="D28" s="53" t="str">
        <f>+'Order Details Aug22-Mar23'!T28</f>
        <v>B V Biocrop - Hitech Division</v>
      </c>
      <c r="E28" s="25"/>
      <c r="F28" s="183" t="str">
        <f>+'Order Details Aug22-Mar23'!D28</f>
        <v>AQUAMAX</v>
      </c>
      <c r="G28" s="184"/>
      <c r="H28" s="26" t="str">
        <f>+'Order Details Aug22-Mar23'!G28</f>
        <v>Ltr</v>
      </c>
      <c r="I28" s="27">
        <f>+'Order Details Aug22-Mar23'!I28</f>
        <v>200</v>
      </c>
      <c r="J28" s="28"/>
      <c r="K28" s="185" t="str">
        <f>+'Order Details Aug22-Mar23'!R28</f>
        <v>PO / NBF / 260922 / 04</v>
      </c>
      <c r="L28" s="186"/>
      <c r="M28" s="187"/>
      <c r="N28" s="31">
        <f>+'Order Details Aug22-Mar23'!F28*'Order Details Aug22-Mar23'!N28</f>
        <v>21570.400000000001</v>
      </c>
      <c r="O28" s="25"/>
      <c r="P28" s="22"/>
      <c r="Q28" s="26"/>
      <c r="R28" s="26">
        <v>7</v>
      </c>
      <c r="S28" s="22">
        <f t="shared" si="0"/>
        <v>7</v>
      </c>
      <c r="T28" s="22"/>
      <c r="U28" s="31"/>
      <c r="V28" s="51"/>
    </row>
    <row r="29" spans="1:22" ht="20.100000000000001" customHeight="1" x14ac:dyDescent="0.3">
      <c r="A29" s="44">
        <v>21</v>
      </c>
      <c r="B29" s="22">
        <f>+'Order Details Aug22-Mar23'!P29</f>
        <v>44830</v>
      </c>
      <c r="C29" s="23"/>
      <c r="D29" s="53" t="str">
        <f>+'Order Details Aug22-Mar23'!T29</f>
        <v>B V Biocrop - Hitech Division</v>
      </c>
      <c r="E29" s="25"/>
      <c r="F29" s="183" t="str">
        <f>+'Order Details Aug22-Mar23'!D29</f>
        <v>B- 904</v>
      </c>
      <c r="G29" s="184"/>
      <c r="H29" s="26" t="str">
        <f>+'Order Details Aug22-Mar23'!G29</f>
        <v>Ltr</v>
      </c>
      <c r="I29" s="27">
        <f>+'Order Details Aug22-Mar23'!I29</f>
        <v>60</v>
      </c>
      <c r="J29" s="28"/>
      <c r="K29" s="185" t="str">
        <f>+'Order Details Aug22-Mar23'!R29</f>
        <v>PO / NBF / 260922 / 04</v>
      </c>
      <c r="L29" s="186"/>
      <c r="M29" s="187"/>
      <c r="N29" s="31">
        <f>+'Order Details Aug22-Mar23'!F29*'Order Details Aug22-Mar23'!N29</f>
        <v>46345.68</v>
      </c>
      <c r="O29" s="25"/>
      <c r="P29" s="22"/>
      <c r="Q29" s="26"/>
      <c r="R29" s="26">
        <v>7</v>
      </c>
      <c r="S29" s="22">
        <f t="shared" si="0"/>
        <v>7</v>
      </c>
      <c r="T29" s="22"/>
      <c r="U29" s="31"/>
      <c r="V29" s="51"/>
    </row>
    <row r="30" spans="1:22" ht="20.100000000000001" customHeight="1" x14ac:dyDescent="0.3">
      <c r="A30" s="44">
        <v>22</v>
      </c>
      <c r="B30" s="22">
        <f>+'Order Details Aug22-Mar23'!P30</f>
        <v>44830</v>
      </c>
      <c r="C30" s="23"/>
      <c r="D30" s="53" t="str">
        <f>+'Order Details Aug22-Mar23'!T30</f>
        <v>B V Biocrop - Hitech Division</v>
      </c>
      <c r="E30" s="25"/>
      <c r="F30" s="183" t="str">
        <f>+'Order Details Aug22-Mar23'!D30</f>
        <v>BIO BUSTER PLUS</v>
      </c>
      <c r="G30" s="184"/>
      <c r="H30" s="26" t="str">
        <f>+'Order Details Aug22-Mar23'!G30</f>
        <v>Gms</v>
      </c>
      <c r="I30" s="27">
        <f>+'Order Details Aug22-Mar23'!I30</f>
        <v>6000</v>
      </c>
      <c r="J30" s="28"/>
      <c r="K30" s="185" t="str">
        <f>+'Order Details Aug22-Mar23'!R30</f>
        <v>PO / NBF / 260922 / 04</v>
      </c>
      <c r="L30" s="186"/>
      <c r="M30" s="187"/>
      <c r="N30" s="31">
        <f>+'Order Details Aug22-Mar23'!F30*'Order Details Aug22-Mar23'!N30</f>
        <v>5734.7999999999993</v>
      </c>
      <c r="O30" s="25"/>
      <c r="P30" s="22"/>
      <c r="Q30" s="26"/>
      <c r="R30" s="26">
        <v>7</v>
      </c>
      <c r="S30" s="22">
        <f t="shared" si="0"/>
        <v>7</v>
      </c>
      <c r="T30" s="22"/>
      <c r="U30" s="31"/>
      <c r="V30" s="51"/>
    </row>
    <row r="31" spans="1:22" ht="20.100000000000001" customHeight="1" x14ac:dyDescent="0.3">
      <c r="A31" s="44">
        <v>23</v>
      </c>
      <c r="B31" s="22">
        <f>+'Order Details Aug22-Mar23'!P31</f>
        <v>44851</v>
      </c>
      <c r="C31" s="23"/>
      <c r="D31" s="53" t="str">
        <f>+'Order Details Aug22-Mar23'!T31</f>
        <v>Alltech Biotechnology Pvt Ltd</v>
      </c>
      <c r="E31" s="25"/>
      <c r="F31" s="183" t="str">
        <f>+'Order Details Aug22-Mar23'!D31</f>
        <v>BIOPLEX POULTRY PAK</v>
      </c>
      <c r="G31" s="184"/>
      <c r="H31" s="26" t="str">
        <f>+'Order Details Aug22-Mar23'!G31</f>
        <v>Kg</v>
      </c>
      <c r="I31" s="27">
        <f>+'Order Details Aug22-Mar23'!I31</f>
        <v>500</v>
      </c>
      <c r="J31" s="28"/>
      <c r="K31" s="185" t="str">
        <f>+'Order Details Aug22-Mar23'!R31</f>
        <v>PO / NBF / 171022 / 01</v>
      </c>
      <c r="L31" s="186"/>
      <c r="M31" s="187"/>
      <c r="N31" s="31">
        <f>+'Order Details Aug22-Mar23'!F31*'Order Details Aug22-Mar23'!N31</f>
        <v>110000</v>
      </c>
      <c r="O31" s="25"/>
      <c r="P31" s="22"/>
      <c r="Q31" s="26"/>
      <c r="R31" s="61">
        <v>45</v>
      </c>
      <c r="S31" s="22">
        <f t="shared" si="0"/>
        <v>45</v>
      </c>
      <c r="T31" s="22"/>
      <c r="U31" s="31"/>
      <c r="V31" s="51"/>
    </row>
    <row r="32" spans="1:22" ht="20.100000000000001" customHeight="1" x14ac:dyDescent="0.3">
      <c r="A32" s="44">
        <v>24</v>
      </c>
      <c r="B32" s="22">
        <f>+'Order Details Aug22-Mar23'!P32</f>
        <v>44851</v>
      </c>
      <c r="C32" s="23"/>
      <c r="D32" s="53" t="str">
        <f>+'Order Details Aug22-Mar23'!T32</f>
        <v>Stats Speciality Products</v>
      </c>
      <c r="E32" s="25"/>
      <c r="F32" s="183" t="str">
        <f>+'Order Details Aug22-Mar23'!D32</f>
        <v>CLOSTAT - 12 / 365</v>
      </c>
      <c r="G32" s="184"/>
      <c r="H32" s="26" t="str">
        <f>+'Order Details Aug22-Mar23'!G32</f>
        <v>Kg</v>
      </c>
      <c r="I32" s="27">
        <f>+'Order Details Aug22-Mar23'!I32</f>
        <v>100</v>
      </c>
      <c r="J32" s="28"/>
      <c r="K32" s="185" t="str">
        <f>+'Order Details Aug22-Mar23'!R32</f>
        <v>PO / NBF / 171022 / 02</v>
      </c>
      <c r="L32" s="186"/>
      <c r="M32" s="187"/>
      <c r="N32" s="31">
        <f>+'Order Details Aug22-Mar23'!F32*'Order Details Aug22-Mar23'!N32</f>
        <v>56000</v>
      </c>
      <c r="O32" s="25"/>
      <c r="P32" s="22"/>
      <c r="Q32" s="26"/>
      <c r="R32" s="26">
        <v>45</v>
      </c>
      <c r="S32" s="22">
        <f t="shared" si="0"/>
        <v>45</v>
      </c>
      <c r="T32" s="22"/>
      <c r="U32" s="31"/>
      <c r="V32" s="51"/>
    </row>
    <row r="33" spans="1:22" ht="20.100000000000001" customHeight="1" x14ac:dyDescent="0.3">
      <c r="A33" s="44">
        <v>25</v>
      </c>
      <c r="B33" s="22">
        <f>+'Order Details Aug22-Mar23'!P33</f>
        <v>44851</v>
      </c>
      <c r="C33" s="23"/>
      <c r="D33" s="53" t="str">
        <f>+'Order Details Aug22-Mar23'!T33</f>
        <v>Stats Speciality Products</v>
      </c>
      <c r="E33" s="25"/>
      <c r="F33" s="183" t="str">
        <f>+'Order Details Aug22-Mar23'!D33</f>
        <v xml:space="preserve">KEMZYME - XPF </v>
      </c>
      <c r="G33" s="184"/>
      <c r="H33" s="26" t="str">
        <f>+'Order Details Aug22-Mar23'!G33</f>
        <v>Kg</v>
      </c>
      <c r="I33" s="27">
        <f>+'Order Details Aug22-Mar23'!I33</f>
        <v>100</v>
      </c>
      <c r="J33" s="28"/>
      <c r="K33" s="185" t="str">
        <f>+'Order Details Aug22-Mar23'!R33</f>
        <v>PO / NBF / 171022 / 02</v>
      </c>
      <c r="L33" s="186"/>
      <c r="M33" s="187"/>
      <c r="N33" s="31">
        <f>+'Order Details Aug22-Mar23'!F33*'Order Details Aug22-Mar23'!N33</f>
        <v>26000</v>
      </c>
      <c r="O33" s="25"/>
      <c r="P33" s="22"/>
      <c r="Q33" s="26"/>
      <c r="R33" s="26">
        <v>45</v>
      </c>
      <c r="S33" s="22">
        <f t="shared" si="0"/>
        <v>45</v>
      </c>
      <c r="T33" s="22"/>
      <c r="U33" s="31"/>
      <c r="V33" s="51"/>
    </row>
    <row r="34" spans="1:22" ht="20.100000000000001" customHeight="1" x14ac:dyDescent="0.3">
      <c r="A34" s="44">
        <v>26</v>
      </c>
      <c r="B34" s="22">
        <f>+'Order Details Aug22-Mar23'!P34</f>
        <v>44851</v>
      </c>
      <c r="C34" s="23"/>
      <c r="D34" s="53" t="str">
        <f>+'Order Details Aug22-Mar23'!T34</f>
        <v>Order has been cancelled</v>
      </c>
      <c r="E34" s="25"/>
      <c r="F34" s="183" t="str">
        <f>+'Order Details Aug22-Mar23'!D34</f>
        <v>TOXFIN - 365</v>
      </c>
      <c r="G34" s="184"/>
      <c r="H34" s="26" t="str">
        <f>+'Order Details Aug22-Mar23'!G34</f>
        <v>Kg</v>
      </c>
      <c r="I34" s="27">
        <f>+'Order Details Aug22-Mar23'!I34</f>
        <v>500</v>
      </c>
      <c r="J34" s="28"/>
      <c r="K34" s="185" t="str">
        <f>+'Order Details Aug22-Mar23'!R34</f>
        <v>PO / NBF / 171022 / 02</v>
      </c>
      <c r="L34" s="186"/>
      <c r="M34" s="187"/>
      <c r="N34" s="31">
        <f>+'Order Details Aug22-Mar23'!F34*'Order Details Aug22-Mar23'!N34</f>
        <v>70000</v>
      </c>
      <c r="O34" s="25"/>
      <c r="P34" s="22"/>
      <c r="Q34" s="26"/>
      <c r="R34" s="26">
        <v>45</v>
      </c>
      <c r="S34" s="22">
        <f t="shared" si="0"/>
        <v>45</v>
      </c>
      <c r="T34" s="22"/>
      <c r="U34" s="31"/>
      <c r="V34" s="51"/>
    </row>
    <row r="35" spans="1:22" ht="20.100000000000001" customHeight="1" x14ac:dyDescent="0.3">
      <c r="A35" s="44">
        <v>27</v>
      </c>
      <c r="B35" s="22"/>
      <c r="C35" s="23"/>
      <c r="D35" s="54" t="str">
        <f>+'Order Details Aug22-Mar23'!T35</f>
        <v>Supplied IMPORTED Materials</v>
      </c>
      <c r="E35" s="25"/>
      <c r="F35" s="183" t="str">
        <f>+'Order Details Aug22-Mar23'!D35</f>
        <v>MONO CALCIUM PHOSPHATE</v>
      </c>
      <c r="G35" s="184"/>
      <c r="H35" s="26" t="str">
        <f>+'Order Details Aug22-Mar23'!G35</f>
        <v>Kg</v>
      </c>
      <c r="I35" s="27">
        <f>+'Order Details Aug22-Mar23'!I35</f>
        <v>0</v>
      </c>
      <c r="J35" s="28"/>
      <c r="K35" s="185"/>
      <c r="L35" s="186"/>
      <c r="M35" s="187"/>
      <c r="N35" s="31">
        <f>+'Order Details Aug22-Mar23'!F35*'Order Details Aug22-Mar23'!N35</f>
        <v>0</v>
      </c>
      <c r="O35" s="25"/>
      <c r="P35" s="22"/>
      <c r="Q35" s="26"/>
      <c r="R35" s="62" t="s">
        <v>16</v>
      </c>
      <c r="S35" s="22" t="e">
        <f t="shared" si="0"/>
        <v>#VALUE!</v>
      </c>
      <c r="T35" s="22"/>
      <c r="U35" s="31"/>
      <c r="V35" s="51"/>
    </row>
    <row r="36" spans="1:22" ht="20.100000000000001" customHeight="1" x14ac:dyDescent="0.3">
      <c r="A36" s="44">
        <v>28</v>
      </c>
      <c r="B36" s="22">
        <f>+'Order Details Aug22-Mar23'!P36</f>
        <v>44856</v>
      </c>
      <c r="C36" s="23"/>
      <c r="D36" s="53" t="str">
        <f>+'Order Details Aug22-Mar23'!T36</f>
        <v>Trouw Nutrition India Pvt Ltd</v>
      </c>
      <c r="E36" s="25"/>
      <c r="F36" s="183" t="str">
        <f>+'Order Details Aug22-Mar23'!D36</f>
        <v>TOXO - XL</v>
      </c>
      <c r="G36" s="184"/>
      <c r="H36" s="26" t="str">
        <f>+'Order Details Aug22-Mar23'!G36</f>
        <v>Kg</v>
      </c>
      <c r="I36" s="27">
        <f>+'Order Details Aug22-Mar23'!I36</f>
        <v>500</v>
      </c>
      <c r="J36" s="28"/>
      <c r="K36" s="185" t="str">
        <f>+'Order Details Aug22-Mar23'!R36</f>
        <v>PO / NBF / 221022 / 01</v>
      </c>
      <c r="L36" s="186"/>
      <c r="M36" s="187"/>
      <c r="N36" s="31">
        <f>+'Order Details Aug22-Mar23'!F36*'Order Details Aug22-Mar23'!N36</f>
        <v>115000</v>
      </c>
      <c r="O36" s="25"/>
      <c r="P36" s="22"/>
      <c r="Q36" s="26"/>
      <c r="R36" s="26">
        <v>45</v>
      </c>
      <c r="S36" s="22">
        <f t="shared" si="0"/>
        <v>45</v>
      </c>
      <c r="T36" s="22"/>
      <c r="U36" s="31"/>
      <c r="V36" s="51"/>
    </row>
    <row r="37" spans="1:22" ht="20.100000000000001" customHeight="1" x14ac:dyDescent="0.3">
      <c r="A37" s="44">
        <v>29</v>
      </c>
      <c r="B37" s="22">
        <f>+'Order Details Aug22-Mar23'!P37</f>
        <v>44860</v>
      </c>
      <c r="C37" s="23"/>
      <c r="D37" s="53" t="str">
        <f>+'Order Details Aug22-Mar23'!T37</f>
        <v>Stallen South Asia Pvt Ltd</v>
      </c>
      <c r="E37" s="25"/>
      <c r="F37" s="183" t="str">
        <f>+'Order Details Aug22-Mar23'!D37</f>
        <v>FORLUTIN - 10%</v>
      </c>
      <c r="G37" s="184"/>
      <c r="H37" s="26" t="str">
        <f>+'Order Details Aug22-Mar23'!G37</f>
        <v>Kg</v>
      </c>
      <c r="I37" s="27">
        <f>+'Order Details Aug22-Mar23'!I37</f>
        <v>200</v>
      </c>
      <c r="J37" s="28"/>
      <c r="K37" s="185" t="str">
        <f>+'Order Details Aug22-Mar23'!R37</f>
        <v>PO / NBF / 261022 / 01</v>
      </c>
      <c r="L37" s="186"/>
      <c r="M37" s="187"/>
      <c r="N37" s="31">
        <f>+'Order Details Aug22-Mar23'!F37*'Order Details Aug22-Mar23'!N37</f>
        <v>141000</v>
      </c>
      <c r="O37" s="25"/>
      <c r="P37" s="22"/>
      <c r="Q37" s="26"/>
      <c r="R37" s="26">
        <v>45</v>
      </c>
      <c r="S37" s="22">
        <f t="shared" si="0"/>
        <v>45</v>
      </c>
      <c r="T37" s="22"/>
      <c r="U37" s="31"/>
      <c r="V37" s="51"/>
    </row>
    <row r="38" spans="1:22" ht="20.100000000000001" customHeight="1" x14ac:dyDescent="0.3">
      <c r="A38" s="44">
        <v>30</v>
      </c>
      <c r="B38" s="22">
        <f>+'Order Details Aug22-Mar23'!P38</f>
        <v>44867</v>
      </c>
      <c r="C38" s="23"/>
      <c r="D38" s="53" t="str">
        <f>+'Order Details Aug22-Mar23'!T38</f>
        <v xml:space="preserve">Huvephatrma Sea Pune </v>
      </c>
      <c r="E38" s="25"/>
      <c r="F38" s="183" t="str">
        <f>+'Order Details Aug22-Mar23'!D38</f>
        <v>TILMOVET</v>
      </c>
      <c r="G38" s="184"/>
      <c r="H38" s="26" t="str">
        <f>+'Order Details Aug22-Mar23'!G38</f>
        <v>ML</v>
      </c>
      <c r="I38" s="27">
        <f>+'Order Details Aug22-Mar23'!I38</f>
        <v>17280</v>
      </c>
      <c r="J38" s="28"/>
      <c r="K38" s="185" t="str">
        <f>+'Order Details Aug22-Mar23'!R38</f>
        <v>PO / NBF / 021122 / 01</v>
      </c>
      <c r="L38" s="186"/>
      <c r="M38" s="187"/>
      <c r="N38" s="31">
        <f>+'Order Details Aug22-Mar23'!F38*'Order Details Aug22-Mar23'!N38</f>
        <v>187488</v>
      </c>
      <c r="O38" s="25"/>
      <c r="P38" s="22"/>
      <c r="Q38" s="26"/>
      <c r="R38" s="26">
        <v>45</v>
      </c>
      <c r="S38" s="22">
        <f t="shared" si="0"/>
        <v>45</v>
      </c>
      <c r="T38" s="22"/>
      <c r="U38" s="31"/>
      <c r="V38" s="51"/>
    </row>
    <row r="39" spans="1:22" ht="20.100000000000001" customHeight="1" x14ac:dyDescent="0.3">
      <c r="A39" s="44">
        <v>31</v>
      </c>
      <c r="B39" s="22">
        <f>+'Order Details Aug22-Mar23'!P39</f>
        <v>44867</v>
      </c>
      <c r="C39" s="23"/>
      <c r="D39" s="53" t="str">
        <f>+'Order Details Aug22-Mar23'!T39</f>
        <v>Healers Associates</v>
      </c>
      <c r="E39" s="25"/>
      <c r="F39" s="183" t="str">
        <f>+'Order Details Aug22-Mar23'!D39</f>
        <v>SANEXT POWDER</v>
      </c>
      <c r="G39" s="184"/>
      <c r="H39" s="26" t="str">
        <f>+'Order Details Aug22-Mar23'!G39</f>
        <v>Kg</v>
      </c>
      <c r="I39" s="27">
        <f>+'Order Details Aug22-Mar23'!I39</f>
        <v>10</v>
      </c>
      <c r="J39" s="28"/>
      <c r="K39" s="185" t="str">
        <f>+'Order Details Aug22-Mar23'!R39</f>
        <v>PO / NBF / 021122 / 02</v>
      </c>
      <c r="L39" s="186"/>
      <c r="M39" s="187"/>
      <c r="N39" s="31">
        <f>+'Order Details Aug22-Mar23'!F39*'Order Details Aug22-Mar23'!N39</f>
        <v>30680</v>
      </c>
      <c r="O39" s="25"/>
      <c r="P39" s="22"/>
      <c r="Q39" s="26"/>
      <c r="R39" s="26">
        <v>45</v>
      </c>
      <c r="S39" s="22">
        <f t="shared" si="0"/>
        <v>45</v>
      </c>
      <c r="T39" s="22"/>
      <c r="U39" s="31"/>
      <c r="V39" s="51"/>
    </row>
    <row r="40" spans="1:22" ht="20.100000000000001" customHeight="1" x14ac:dyDescent="0.3">
      <c r="A40" s="44">
        <v>32</v>
      </c>
      <c r="B40" s="22">
        <f>+'Order Details Aug22-Mar23'!P40</f>
        <v>44867</v>
      </c>
      <c r="C40" s="23"/>
      <c r="D40" s="53" t="str">
        <f>+'Order Details Aug22-Mar23'!T40</f>
        <v>B V Biocrop - Hitech Division</v>
      </c>
      <c r="E40" s="25"/>
      <c r="F40" s="183" t="str">
        <f>+'Order Details Aug22-Mar23'!D40</f>
        <v>BV CLO-2 (10 Gms)</v>
      </c>
      <c r="G40" s="184"/>
      <c r="H40" s="26" t="str">
        <f>+'Order Details Aug22-Mar23'!G40</f>
        <v>Pcs</v>
      </c>
      <c r="I40" s="27">
        <f>+'Order Details Aug22-Mar23'!I40</f>
        <v>1000</v>
      </c>
      <c r="J40" s="28"/>
      <c r="K40" s="185" t="str">
        <f>+'Order Details Aug22-Mar23'!R40</f>
        <v>PO / NBF / 021122 / 03</v>
      </c>
      <c r="L40" s="186"/>
      <c r="M40" s="187"/>
      <c r="N40" s="31">
        <f>+'Order Details Aug22-Mar23'!F40*'Order Details Aug22-Mar23'!N40</f>
        <v>25960</v>
      </c>
      <c r="O40" s="25"/>
      <c r="P40" s="22"/>
      <c r="Q40" s="26"/>
      <c r="R40" s="26">
        <v>7</v>
      </c>
      <c r="S40" s="22">
        <f t="shared" si="0"/>
        <v>7</v>
      </c>
      <c r="T40" s="22"/>
      <c r="U40" s="31"/>
      <c r="V40" s="51"/>
    </row>
    <row r="41" spans="1:22" ht="20.100000000000001" customHeight="1" x14ac:dyDescent="0.3">
      <c r="A41" s="44">
        <v>33</v>
      </c>
      <c r="B41" s="22">
        <f>+'Order Details Aug22-Mar23'!P41</f>
        <v>44867</v>
      </c>
      <c r="C41" s="23"/>
      <c r="D41" s="53" t="str">
        <f>+'Order Details Aug22-Mar23'!T41</f>
        <v>Venkys India - AHP Division</v>
      </c>
      <c r="E41" s="25"/>
      <c r="F41" s="183" t="str">
        <f>+'Order Details Aug22-Mar23'!D41</f>
        <v>AMO PREMIX</v>
      </c>
      <c r="G41" s="184"/>
      <c r="H41" s="26" t="str">
        <f>+'Order Details Aug22-Mar23'!G41</f>
        <v>Gms</v>
      </c>
      <c r="I41" s="27">
        <f>+'Order Details Aug22-Mar23'!I41</f>
        <v>18000</v>
      </c>
      <c r="J41" s="28"/>
      <c r="K41" s="185" t="str">
        <f>+'Order Details Aug22-Mar23'!R41</f>
        <v>PO / NBF / 021122 / 04</v>
      </c>
      <c r="L41" s="186"/>
      <c r="M41" s="187"/>
      <c r="N41" s="31">
        <f>+'Order Details Aug22-Mar23'!F41*'Order Details Aug22-Mar23'!N41</f>
        <v>19404</v>
      </c>
      <c r="O41" s="25"/>
      <c r="P41" s="22"/>
      <c r="Q41" s="26"/>
      <c r="R41" s="26">
        <v>7</v>
      </c>
      <c r="S41" s="22">
        <f t="shared" si="0"/>
        <v>7</v>
      </c>
      <c r="T41" s="22"/>
      <c r="U41" s="31"/>
      <c r="V41" s="51"/>
    </row>
    <row r="42" spans="1:22" ht="20.100000000000001" customHeight="1" x14ac:dyDescent="0.3">
      <c r="A42" s="44">
        <v>34</v>
      </c>
      <c r="B42" s="22">
        <f>+'Order Details Aug22-Mar23'!P42</f>
        <v>44867</v>
      </c>
      <c r="C42" s="23"/>
      <c r="D42" s="53" t="str">
        <f>+'Order Details Aug22-Mar23'!T42</f>
        <v>Venkys India - AHP Division</v>
      </c>
      <c r="E42" s="25"/>
      <c r="F42" s="183" t="str">
        <f>+'Order Details Aug22-Mar23'!D42</f>
        <v>ELIMIN - 8</v>
      </c>
      <c r="G42" s="184"/>
      <c r="H42" s="26" t="str">
        <f>+'Order Details Aug22-Mar23'!G42</f>
        <v>Ltr</v>
      </c>
      <c r="I42" s="27">
        <f>+'Order Details Aug22-Mar23'!I42</f>
        <v>60</v>
      </c>
      <c r="J42" s="28"/>
      <c r="K42" s="185" t="str">
        <f>+'Order Details Aug22-Mar23'!R42</f>
        <v>PO / NBF / 021122 / 04</v>
      </c>
      <c r="L42" s="186"/>
      <c r="M42" s="187"/>
      <c r="N42" s="31">
        <f>+'Order Details Aug22-Mar23'!F42*'Order Details Aug22-Mar23'!N42</f>
        <v>14856</v>
      </c>
      <c r="O42" s="25"/>
      <c r="P42" s="22"/>
      <c r="Q42" s="26"/>
      <c r="R42" s="26">
        <v>7</v>
      </c>
      <c r="S42" s="22">
        <f t="shared" si="0"/>
        <v>7</v>
      </c>
      <c r="T42" s="22"/>
      <c r="U42" s="31"/>
      <c r="V42" s="51"/>
    </row>
    <row r="43" spans="1:22" ht="20.100000000000001" customHeight="1" x14ac:dyDescent="0.3">
      <c r="A43" s="44">
        <v>35</v>
      </c>
      <c r="B43" s="22">
        <f>+'Order Details Aug22-Mar23'!P43</f>
        <v>44868</v>
      </c>
      <c r="C43" s="23"/>
      <c r="D43" s="53" t="str">
        <f>+'Order Details Aug22-Mar23'!T43</f>
        <v>Crescent Marketing, Hyderabad</v>
      </c>
      <c r="E43" s="25"/>
      <c r="F43" s="183" t="str">
        <f>+'Order Details Aug22-Mar23'!D43</f>
        <v>BRONCHIN KILLED VACCINE</v>
      </c>
      <c r="G43" s="184"/>
      <c r="H43" s="26" t="str">
        <f>+'Order Details Aug22-Mar23'!G43</f>
        <v>Dose</v>
      </c>
      <c r="I43" s="27">
        <f>+'Order Details Aug22-Mar23'!I43</f>
        <v>13000</v>
      </c>
      <c r="J43" s="28"/>
      <c r="K43" s="185" t="str">
        <f>+'Order Details Aug22-Mar23'!R43</f>
        <v>PO / NBF / 031122 / 01</v>
      </c>
      <c r="L43" s="186"/>
      <c r="M43" s="187"/>
      <c r="N43" s="31">
        <f>+'Order Details Aug22-Mar23'!F43*'Order Details Aug22-Mar23'!N43</f>
        <v>37837.799999999996</v>
      </c>
      <c r="O43" s="25"/>
      <c r="P43" s="22"/>
      <c r="Q43" s="26"/>
      <c r="R43" s="26">
        <v>45</v>
      </c>
      <c r="S43" s="22">
        <f t="shared" si="0"/>
        <v>45</v>
      </c>
      <c r="T43" s="22"/>
      <c r="U43" s="31"/>
      <c r="V43" s="51"/>
    </row>
    <row r="44" spans="1:22" ht="20.100000000000001" customHeight="1" x14ac:dyDescent="0.3">
      <c r="A44" s="44">
        <v>36</v>
      </c>
      <c r="B44" s="22">
        <f>+'Order Details Aug22-Mar23'!P44</f>
        <v>44868</v>
      </c>
      <c r="C44" s="23"/>
      <c r="D44" s="53" t="str">
        <f>+'Order Details Aug22-Mar23'!T44</f>
        <v>Das Drug Centre, Habra</v>
      </c>
      <c r="E44" s="25"/>
      <c r="F44" s="183" t="str">
        <f>+'Order Details Aug22-Mar23'!D44</f>
        <v>KAYSOL FORTE</v>
      </c>
      <c r="G44" s="184"/>
      <c r="H44" s="26" t="str">
        <f>+'Order Details Aug22-Mar23'!G44</f>
        <v>Gms</v>
      </c>
      <c r="I44" s="27">
        <f>+'Order Details Aug22-Mar23'!I44</f>
        <v>4000</v>
      </c>
      <c r="J44" s="28"/>
      <c r="K44" s="185" t="str">
        <f>+'Order Details Aug22-Mar23'!R44</f>
        <v>PO / NBF / 031122 / 02</v>
      </c>
      <c r="L44" s="186"/>
      <c r="M44" s="187"/>
      <c r="N44" s="31">
        <f>+'Order Details Aug22-Mar23'!F44*'Order Details Aug22-Mar23'!N44</f>
        <v>5200</v>
      </c>
      <c r="O44" s="25"/>
      <c r="P44" s="22"/>
      <c r="Q44" s="26"/>
      <c r="R44" s="26">
        <v>45</v>
      </c>
      <c r="S44" s="22">
        <f t="shared" si="0"/>
        <v>45</v>
      </c>
      <c r="T44" s="22"/>
      <c r="U44" s="31"/>
      <c r="V44" s="51"/>
    </row>
    <row r="45" spans="1:22" ht="20.100000000000001" customHeight="1" x14ac:dyDescent="0.3">
      <c r="A45" s="44">
        <v>37</v>
      </c>
      <c r="B45" s="22">
        <f>+'Order Details Aug22-Mar23'!P45</f>
        <v>44868</v>
      </c>
      <c r="C45" s="23"/>
      <c r="D45" s="53" t="str">
        <f>+'Order Details Aug22-Mar23'!T45</f>
        <v>Das Drug Centre, Habra</v>
      </c>
      <c r="E45" s="25"/>
      <c r="F45" s="183" t="str">
        <f>+'Order Details Aug22-Mar23'!D45</f>
        <v>VVAANDOX</v>
      </c>
      <c r="G45" s="184"/>
      <c r="H45" s="26" t="str">
        <f>+'Order Details Aug22-Mar23'!G45</f>
        <v>Gms</v>
      </c>
      <c r="I45" s="27">
        <f>+'Order Details Aug22-Mar23'!I45</f>
        <v>20000</v>
      </c>
      <c r="J45" s="28"/>
      <c r="K45" s="185" t="str">
        <f>+'Order Details Aug22-Mar23'!R45</f>
        <v>PO / NBF / 031122 / 02</v>
      </c>
      <c r="L45" s="186"/>
      <c r="M45" s="187"/>
      <c r="N45" s="31">
        <f>+'Order Details Aug22-Mar23'!F45*'Order Details Aug22-Mar23'!N45</f>
        <v>35840</v>
      </c>
      <c r="O45" s="25"/>
      <c r="P45" s="22"/>
      <c r="Q45" s="26"/>
      <c r="R45" s="26">
        <v>45</v>
      </c>
      <c r="S45" s="22">
        <f t="shared" si="0"/>
        <v>45</v>
      </c>
      <c r="T45" s="22"/>
      <c r="U45" s="31"/>
      <c r="V45" s="51"/>
    </row>
    <row r="46" spans="1:22" ht="20.100000000000001" customHeight="1" x14ac:dyDescent="0.3">
      <c r="A46" s="44">
        <v>38</v>
      </c>
      <c r="B46" s="22">
        <f>+'Order Details Aug22-Mar23'!P46</f>
        <v>44868</v>
      </c>
      <c r="C46" s="23"/>
      <c r="D46" s="53" t="str">
        <f>+'Order Details Aug22-Mar23'!T46</f>
        <v>Hester Biosciences Limited</v>
      </c>
      <c r="E46" s="25"/>
      <c r="F46" s="183" t="str">
        <f>+'Order Details Aug22-Mar23'!D46</f>
        <v>IB MA-5 LIVE Vaccine</v>
      </c>
      <c r="G46" s="184"/>
      <c r="H46" s="26" t="str">
        <f>+'Order Details Aug22-Mar23'!G46</f>
        <v>Dose</v>
      </c>
      <c r="I46" s="27">
        <f>+'Order Details Aug22-Mar23'!I46</f>
        <v>27000</v>
      </c>
      <c r="J46" s="28"/>
      <c r="K46" s="185" t="str">
        <f>+'Order Details Aug22-Mar23'!R46</f>
        <v>PO / NBF / 031122 / 03</v>
      </c>
      <c r="L46" s="186"/>
      <c r="M46" s="187"/>
      <c r="N46" s="31">
        <f>+'Order Details Aug22-Mar23'!F46*'Order Details Aug22-Mar23'!N46</f>
        <v>7087.5</v>
      </c>
      <c r="O46" s="25"/>
      <c r="P46" s="22"/>
      <c r="Q46" s="26"/>
      <c r="R46" s="61">
        <v>7</v>
      </c>
      <c r="S46" s="22">
        <f t="shared" si="0"/>
        <v>7</v>
      </c>
      <c r="T46" s="22"/>
      <c r="U46" s="31"/>
      <c r="V46" s="51"/>
    </row>
    <row r="47" spans="1:22" ht="20.100000000000001" customHeight="1" x14ac:dyDescent="0.3">
      <c r="A47" s="44">
        <v>39</v>
      </c>
      <c r="B47" s="22">
        <f>+'Order Details Aug22-Mar23'!P47</f>
        <v>44868</v>
      </c>
      <c r="C47" s="23"/>
      <c r="D47" s="53" t="str">
        <f>+'Order Details Aug22-Mar23'!T47</f>
        <v>Hester Biosciences Limited</v>
      </c>
      <c r="E47" s="25"/>
      <c r="F47" s="183" t="str">
        <f>+'Order Details Aug22-Mar23'!D47</f>
        <v>ILT LIVE (GI-10000)</v>
      </c>
      <c r="G47" s="184"/>
      <c r="H47" s="26" t="str">
        <f>+'Order Details Aug22-Mar23'!G47</f>
        <v>Dose</v>
      </c>
      <c r="I47" s="27">
        <f>+'Order Details Aug22-Mar23'!I47</f>
        <v>54000</v>
      </c>
      <c r="J47" s="28"/>
      <c r="K47" s="185" t="str">
        <f>+'Order Details Aug22-Mar23'!R47</f>
        <v>PO / NBF / 031122 / 03</v>
      </c>
      <c r="L47" s="186"/>
      <c r="M47" s="187"/>
      <c r="N47" s="31">
        <f>+'Order Details Aug22-Mar23'!F47*'Order Details Aug22-Mar23'!N47</f>
        <v>85050</v>
      </c>
      <c r="O47" s="25"/>
      <c r="P47" s="22"/>
      <c r="Q47" s="26"/>
      <c r="R47" s="61">
        <v>7</v>
      </c>
      <c r="S47" s="22">
        <f t="shared" si="0"/>
        <v>7</v>
      </c>
      <c r="T47" s="22"/>
      <c r="U47" s="31"/>
      <c r="V47" s="51"/>
    </row>
    <row r="48" spans="1:22" ht="20.100000000000001" customHeight="1" x14ac:dyDescent="0.3">
      <c r="A48" s="44">
        <v>40</v>
      </c>
      <c r="B48" s="22">
        <f>+'Order Details Aug22-Mar23'!P48</f>
        <v>44868</v>
      </c>
      <c r="C48" s="23"/>
      <c r="D48" s="53" t="str">
        <f>+'Order Details Aug22-Mar23'!T48</f>
        <v>Hester Biosciences Limited</v>
      </c>
      <c r="E48" s="25"/>
      <c r="F48" s="183" t="str">
        <f>+'Order Details Aug22-Mar23'!D48</f>
        <v xml:space="preserve">INACTIVATED EDS </v>
      </c>
      <c r="G48" s="184"/>
      <c r="H48" s="26" t="str">
        <f>+'Order Details Aug22-Mar23'!G48</f>
        <v>Dose</v>
      </c>
      <c r="I48" s="27">
        <f>+'Order Details Aug22-Mar23'!I48</f>
        <v>27000</v>
      </c>
      <c r="J48" s="28"/>
      <c r="K48" s="185" t="str">
        <f>+'Order Details Aug22-Mar23'!R48</f>
        <v>PO / NBF / 031122 / 03</v>
      </c>
      <c r="L48" s="186"/>
      <c r="M48" s="187"/>
      <c r="N48" s="31">
        <f>+'Order Details Aug22-Mar23'!F48*'Order Details Aug22-Mar23'!N48</f>
        <v>32602.5</v>
      </c>
      <c r="O48" s="25"/>
      <c r="P48" s="22"/>
      <c r="Q48" s="26"/>
      <c r="R48" s="61">
        <v>7</v>
      </c>
      <c r="S48" s="22">
        <f t="shared" si="0"/>
        <v>7</v>
      </c>
      <c r="T48" s="22"/>
      <c r="U48" s="31"/>
      <c r="V48" s="51"/>
    </row>
    <row r="49" spans="1:22" ht="20.100000000000001" customHeight="1" x14ac:dyDescent="0.3">
      <c r="A49" s="44">
        <v>41</v>
      </c>
      <c r="B49" s="22">
        <f>+'Order Details Aug22-Mar23'!P49</f>
        <v>44868</v>
      </c>
      <c r="C49" s="23"/>
      <c r="D49" s="53" t="str">
        <f>+'Order Details Aug22-Mar23'!T49</f>
        <v>Hester Biosciences Limited</v>
      </c>
      <c r="E49" s="25"/>
      <c r="F49" s="183" t="str">
        <f>+'Order Details Aug22-Mar23'!D49</f>
        <v>INACTIVATED PULLET ND (LPAI)</v>
      </c>
      <c r="G49" s="184"/>
      <c r="H49" s="26" t="str">
        <f>+'Order Details Aug22-Mar23'!G49</f>
        <v>Dose</v>
      </c>
      <c r="I49" s="27">
        <f>+'Order Details Aug22-Mar23'!I49</f>
        <v>78000</v>
      </c>
      <c r="J49" s="28"/>
      <c r="K49" s="185" t="str">
        <f>+'Order Details Aug22-Mar23'!R49</f>
        <v>PO / NBF / 031122 / 03</v>
      </c>
      <c r="L49" s="186"/>
      <c r="M49" s="187"/>
      <c r="N49" s="31">
        <f>+'Order Details Aug22-Mar23'!F49*'Order Details Aug22-Mar23'!N49</f>
        <v>73628.100000000006</v>
      </c>
      <c r="O49" s="25"/>
      <c r="P49" s="22"/>
      <c r="Q49" s="26"/>
      <c r="R49" s="61">
        <v>7</v>
      </c>
      <c r="S49" s="22">
        <f t="shared" si="0"/>
        <v>7</v>
      </c>
      <c r="T49" s="22"/>
      <c r="U49" s="31"/>
      <c r="V49" s="51"/>
    </row>
    <row r="50" spans="1:22" ht="20.100000000000001" customHeight="1" x14ac:dyDescent="0.3">
      <c r="A50" s="44">
        <v>42</v>
      </c>
      <c r="B50" s="22">
        <f>+'Order Details Aug22-Mar23'!P50</f>
        <v>44868</v>
      </c>
      <c r="C50" s="23"/>
      <c r="D50" s="53" t="str">
        <f>+'Order Details Aug22-Mar23'!T50</f>
        <v>Hester Biosciences Limited</v>
      </c>
      <c r="E50" s="25"/>
      <c r="F50" s="183" t="str">
        <f>+'Order Details Aug22-Mar23'!D50</f>
        <v>INACTIVATED PULLET ND (LPAI)</v>
      </c>
      <c r="G50" s="184"/>
      <c r="H50" s="26" t="str">
        <f>+'Order Details Aug22-Mar23'!G50</f>
        <v>Dose</v>
      </c>
      <c r="I50" s="27">
        <f>+'Order Details Aug22-Mar23'!I50</f>
        <v>40000</v>
      </c>
      <c r="J50" s="28"/>
      <c r="K50" s="185" t="str">
        <f>+'Order Details Aug22-Mar23'!R50</f>
        <v>PO / NBF / 031122 / 03</v>
      </c>
      <c r="L50" s="186"/>
      <c r="M50" s="187"/>
      <c r="N50" s="31">
        <f>+'Order Details Aug22-Mar23'!F50*'Order Details Aug22-Mar23'!N50</f>
        <v>101850</v>
      </c>
      <c r="O50" s="25"/>
      <c r="P50" s="22"/>
      <c r="Q50" s="26"/>
      <c r="R50" s="61">
        <v>7</v>
      </c>
      <c r="S50" s="22">
        <f t="shared" si="0"/>
        <v>7</v>
      </c>
      <c r="T50" s="22"/>
      <c r="U50" s="31"/>
      <c r="V50" s="51"/>
    </row>
    <row r="51" spans="1:22" ht="20.100000000000001" customHeight="1" x14ac:dyDescent="0.3">
      <c r="A51" s="44">
        <v>43</v>
      </c>
      <c r="B51" s="22">
        <f>+'Order Details Aug22-Mar23'!P51</f>
        <v>44868</v>
      </c>
      <c r="C51" s="23"/>
      <c r="D51" s="53" t="str">
        <f>+'Order Details Aug22-Mar23'!T51</f>
        <v>Tara Enterprises, Hyderabad</v>
      </c>
      <c r="E51" s="25"/>
      <c r="F51" s="183" t="str">
        <f>+'Order Details Aug22-Mar23'!D51</f>
        <v xml:space="preserve">HIPRAVIHAR Clone-79 </v>
      </c>
      <c r="G51" s="184"/>
      <c r="H51" s="26" t="str">
        <f>+'Order Details Aug22-Mar23'!G51</f>
        <v>Dose</v>
      </c>
      <c r="I51" s="27">
        <f>+'Order Details Aug22-Mar23'!I51</f>
        <v>30000</v>
      </c>
      <c r="J51" s="28"/>
      <c r="K51" s="185" t="str">
        <f>+'Order Details Aug22-Mar23'!R51</f>
        <v>PO / NBF / 031122 / 04</v>
      </c>
      <c r="L51" s="186"/>
      <c r="M51" s="187"/>
      <c r="N51" s="31">
        <f>+'Order Details Aug22-Mar23'!F51*'Order Details Aug22-Mar23'!N51</f>
        <v>3729.6000000000004</v>
      </c>
      <c r="O51" s="25"/>
      <c r="P51" s="22"/>
      <c r="Q51" s="26"/>
      <c r="R51" s="26">
        <v>45</v>
      </c>
      <c r="S51" s="22">
        <f t="shared" ref="S51:S60" si="1">P51+R51</f>
        <v>45</v>
      </c>
      <c r="T51" s="22"/>
      <c r="U51" s="31"/>
      <c r="V51" s="51"/>
    </row>
    <row r="52" spans="1:22" ht="20.100000000000001" customHeight="1" x14ac:dyDescent="0.3">
      <c r="A52" s="44">
        <v>44</v>
      </c>
      <c r="B52" s="22">
        <f>+'Order Details Aug22-Mar23'!P52</f>
        <v>44868</v>
      </c>
      <c r="C52" s="23"/>
      <c r="D52" s="53" t="str">
        <f>+'Order Details Aug22-Mar23'!T52</f>
        <v>Tara Enterprises, Hyderabad</v>
      </c>
      <c r="E52" s="25"/>
      <c r="F52" s="183" t="str">
        <f>+'Order Details Aug22-Mar23'!D52</f>
        <v>HIPRAVIHAR Clon H-120</v>
      </c>
      <c r="G52" s="184"/>
      <c r="H52" s="26" t="str">
        <f>+'Order Details Aug22-Mar23'!G52</f>
        <v>Dose</v>
      </c>
      <c r="I52" s="27">
        <f>+'Order Details Aug22-Mar23'!I52</f>
        <v>200000</v>
      </c>
      <c r="J52" s="28"/>
      <c r="K52" s="185" t="str">
        <f>+'Order Details Aug22-Mar23'!R52</f>
        <v>PO / NBF / 031122 / 04</v>
      </c>
      <c r="L52" s="186"/>
      <c r="M52" s="187"/>
      <c r="N52" s="31">
        <f>+'Order Details Aug22-Mar23'!F52*'Order Details Aug22-Mar23'!N52</f>
        <v>46200</v>
      </c>
      <c r="O52" s="25"/>
      <c r="P52" s="22"/>
      <c r="Q52" s="26"/>
      <c r="R52" s="26">
        <v>45</v>
      </c>
      <c r="S52" s="22">
        <f t="shared" si="1"/>
        <v>45</v>
      </c>
      <c r="T52" s="22"/>
      <c r="U52" s="31"/>
      <c r="V52" s="51"/>
    </row>
    <row r="53" spans="1:22" ht="20.100000000000001" customHeight="1" x14ac:dyDescent="0.3">
      <c r="A53" s="44">
        <v>45</v>
      </c>
      <c r="B53" s="22">
        <f>+'Order Details Aug22-Mar23'!P53</f>
        <v>44868</v>
      </c>
      <c r="C53" s="23"/>
      <c r="D53" s="53" t="str">
        <f>+'Order Details Aug22-Mar23'!T53</f>
        <v>Venkateshwara Hatcheries</v>
      </c>
      <c r="E53" s="25"/>
      <c r="F53" s="183" t="str">
        <f>+'Order Details Aug22-Mar23'!D53</f>
        <v xml:space="preserve">MD HVT+SB-1 Live Vaccine </v>
      </c>
      <c r="G53" s="184"/>
      <c r="H53" s="26" t="str">
        <f>+'Order Details Aug22-Mar23'!G53</f>
        <v>Dose</v>
      </c>
      <c r="I53" s="27">
        <f>+'Order Details Aug22-Mar23'!I53</f>
        <v>54000</v>
      </c>
      <c r="J53" s="28"/>
      <c r="K53" s="185" t="str">
        <f>+'Order Details Aug22-Mar23'!R53</f>
        <v>PO / NBF / 031122 / 05</v>
      </c>
      <c r="L53" s="186"/>
      <c r="M53" s="187"/>
      <c r="N53" s="31">
        <f>+'Order Details Aug22-Mar23'!F53*'Order Details Aug22-Mar23'!N53</f>
        <v>105915.6</v>
      </c>
      <c r="O53" s="25"/>
      <c r="P53" s="22"/>
      <c r="Q53" s="26"/>
      <c r="R53" s="61">
        <v>7</v>
      </c>
      <c r="S53" s="22">
        <f t="shared" si="1"/>
        <v>7</v>
      </c>
      <c r="T53" s="22"/>
      <c r="U53" s="31"/>
      <c r="V53" s="51"/>
    </row>
    <row r="54" spans="1:22" ht="20.100000000000001" customHeight="1" x14ac:dyDescent="0.3">
      <c r="A54" s="44">
        <v>46</v>
      </c>
      <c r="B54" s="22">
        <f>+'Order Details Aug22-Mar23'!P54</f>
        <v>44868</v>
      </c>
      <c r="C54" s="23"/>
      <c r="D54" s="53" t="str">
        <f>+'Order Details Aug22-Mar23'!T54</f>
        <v>Venkateshwara Hatcheries</v>
      </c>
      <c r="E54" s="25"/>
      <c r="F54" s="183" t="str">
        <f>+'Order Details Aug22-Mar23'!D54</f>
        <v xml:space="preserve">ND Lasota Live Vaccine </v>
      </c>
      <c r="G54" s="184"/>
      <c r="H54" s="26" t="str">
        <f>+'Order Details Aug22-Mar23'!G54</f>
        <v>Dose</v>
      </c>
      <c r="I54" s="27">
        <f>+'Order Details Aug22-Mar23'!I54</f>
        <v>27000</v>
      </c>
      <c r="J54" s="28"/>
      <c r="K54" s="185" t="str">
        <f>+'Order Details Aug22-Mar23'!R54</f>
        <v>PO / NBF / 031122 / 05</v>
      </c>
      <c r="L54" s="186"/>
      <c r="M54" s="187"/>
      <c r="N54" s="31">
        <f>+'Order Details Aug22-Mar23'!F54*'Order Details Aug22-Mar23'!N54</f>
        <v>1530.9</v>
      </c>
      <c r="O54" s="25"/>
      <c r="P54" s="22"/>
      <c r="Q54" s="26"/>
      <c r="R54" s="61">
        <v>7</v>
      </c>
      <c r="S54" s="22">
        <f t="shared" si="1"/>
        <v>7</v>
      </c>
      <c r="T54" s="22"/>
      <c r="U54" s="31"/>
      <c r="V54" s="51"/>
    </row>
    <row r="55" spans="1:22" ht="20.100000000000001" customHeight="1" x14ac:dyDescent="0.3">
      <c r="A55" s="44">
        <v>47</v>
      </c>
      <c r="B55" s="22">
        <f>+'Order Details Aug22-Mar23'!P55</f>
        <v>44868</v>
      </c>
      <c r="C55" s="23"/>
      <c r="D55" s="53" t="str">
        <f>+'Order Details Aug22-Mar23'!T55</f>
        <v>Venkateshwara Hatcheries</v>
      </c>
      <c r="E55" s="25"/>
      <c r="F55" s="183" t="str">
        <f>+'Order Details Aug22-Mar23'!D55</f>
        <v xml:space="preserve">IBD Intermediata Std Live Vac. </v>
      </c>
      <c r="G55" s="184"/>
      <c r="H55" s="26" t="str">
        <f>+'Order Details Aug22-Mar23'!G55</f>
        <v>Dose</v>
      </c>
      <c r="I55" s="27">
        <f>+'Order Details Aug22-Mar23'!I55</f>
        <v>27000</v>
      </c>
      <c r="J55" s="28"/>
      <c r="K55" s="185" t="str">
        <f>+'Order Details Aug22-Mar23'!R55</f>
        <v>PO / NBF / 031122 / 05</v>
      </c>
      <c r="L55" s="186"/>
      <c r="M55" s="187"/>
      <c r="N55" s="31">
        <f>+'Order Details Aug22-Mar23'!F55*'Order Details Aug22-Mar23'!N55</f>
        <v>4876.2</v>
      </c>
      <c r="O55" s="25"/>
      <c r="P55" s="22"/>
      <c r="Q55" s="26"/>
      <c r="R55" s="61">
        <v>7</v>
      </c>
      <c r="S55" s="22">
        <f t="shared" si="1"/>
        <v>7</v>
      </c>
      <c r="T55" s="22"/>
      <c r="U55" s="31"/>
      <c r="V55" s="51"/>
    </row>
    <row r="56" spans="1:22" ht="20.100000000000001" customHeight="1" x14ac:dyDescent="0.3">
      <c r="A56" s="44">
        <v>48</v>
      </c>
      <c r="B56" s="22">
        <f>+'Order Details Aug22-Mar23'!P56</f>
        <v>44868</v>
      </c>
      <c r="C56" s="23"/>
      <c r="D56" s="53" t="str">
        <f>+'Order Details Aug22-Mar23'!T56</f>
        <v>Venkateshwara Hatcheries</v>
      </c>
      <c r="E56" s="25"/>
      <c r="F56" s="183" t="str">
        <f>+'Order Details Aug22-Mar23'!D56</f>
        <v xml:space="preserve">IB H-120 Live Vaccine </v>
      </c>
      <c r="G56" s="184"/>
      <c r="H56" s="26" t="str">
        <f>+'Order Details Aug22-Mar23'!G56</f>
        <v>Dose</v>
      </c>
      <c r="I56" s="27">
        <f>+'Order Details Aug22-Mar23'!I56</f>
        <v>27000</v>
      </c>
      <c r="J56" s="28"/>
      <c r="K56" s="185" t="str">
        <f>+'Order Details Aug22-Mar23'!R56</f>
        <v>PO / NBF / 031122 / 05</v>
      </c>
      <c r="L56" s="186"/>
      <c r="M56" s="187"/>
      <c r="N56" s="31">
        <f>+'Order Details Aug22-Mar23'!F56*'Order Details Aug22-Mar23'!N56</f>
        <v>2579.85</v>
      </c>
      <c r="O56" s="25"/>
      <c r="P56" s="22"/>
      <c r="Q56" s="26"/>
      <c r="R56" s="61">
        <v>7</v>
      </c>
      <c r="S56" s="22">
        <f t="shared" si="1"/>
        <v>7</v>
      </c>
      <c r="T56" s="22"/>
      <c r="U56" s="31"/>
      <c r="V56" s="51"/>
    </row>
    <row r="57" spans="1:22" ht="20.100000000000001" customHeight="1" x14ac:dyDescent="0.3">
      <c r="A57" s="44">
        <v>49</v>
      </c>
      <c r="B57" s="22">
        <f>+'Order Details Aug22-Mar23'!P57</f>
        <v>44868</v>
      </c>
      <c r="C57" s="23"/>
      <c r="D57" s="53" t="str">
        <f>+'Order Details Aug22-Mar23'!T57</f>
        <v>Venkateshwara Hatcheries</v>
      </c>
      <c r="E57" s="25"/>
      <c r="F57" s="183" t="str">
        <f>+'Order Details Aug22-Mar23'!D57</f>
        <v xml:space="preserve">IBD Intermediata Plus Live Vac. </v>
      </c>
      <c r="G57" s="184"/>
      <c r="H57" s="26" t="str">
        <f>+'Order Details Aug22-Mar23'!G57</f>
        <v>Dose</v>
      </c>
      <c r="I57" s="27">
        <f>+'Order Details Aug22-Mar23'!I57</f>
        <v>27000</v>
      </c>
      <c r="J57" s="28"/>
      <c r="K57" s="185" t="str">
        <f>+'Order Details Aug22-Mar23'!R57</f>
        <v>PO / NBF / 031122 / 05</v>
      </c>
      <c r="L57" s="186"/>
      <c r="M57" s="187"/>
      <c r="N57" s="31">
        <f>+'Order Details Aug22-Mar23'!F57*'Order Details Aug22-Mar23'!N57</f>
        <v>6322.05</v>
      </c>
      <c r="O57" s="25"/>
      <c r="P57" s="22"/>
      <c r="Q57" s="26"/>
      <c r="R57" s="61">
        <v>7</v>
      </c>
      <c r="S57" s="22">
        <f t="shared" si="1"/>
        <v>7</v>
      </c>
      <c r="T57" s="22"/>
      <c r="U57" s="31"/>
      <c r="V57" s="51"/>
    </row>
    <row r="58" spans="1:22" ht="20.100000000000001" customHeight="1" x14ac:dyDescent="0.3">
      <c r="A58" s="44">
        <v>50</v>
      </c>
      <c r="B58" s="22">
        <f>+'Order Details Aug22-Mar23'!P58</f>
        <v>44868</v>
      </c>
      <c r="C58" s="23"/>
      <c r="D58" s="53" t="str">
        <f>+'Order Details Aug22-Mar23'!T58</f>
        <v>Venkateshwara Hatcheries</v>
      </c>
      <c r="E58" s="25"/>
      <c r="F58" s="183" t="str">
        <f>+'Order Details Aug22-Mar23'!D58</f>
        <v>Fowl Pox Live Vacccine</v>
      </c>
      <c r="G58" s="184"/>
      <c r="H58" s="26" t="str">
        <f>+'Order Details Aug22-Mar23'!G58</f>
        <v>Dose</v>
      </c>
      <c r="I58" s="27">
        <f>+'Order Details Aug22-Mar23'!I58</f>
        <v>54000</v>
      </c>
      <c r="J58" s="28"/>
      <c r="K58" s="185" t="str">
        <f>+'Order Details Aug22-Mar23'!R58</f>
        <v>PO / NBF / 031122 / 05</v>
      </c>
      <c r="L58" s="186"/>
      <c r="M58" s="187"/>
      <c r="N58" s="31">
        <f>+'Order Details Aug22-Mar23'!F58*'Order Details Aug22-Mar23'!N58</f>
        <v>6747.3</v>
      </c>
      <c r="O58" s="25"/>
      <c r="P58" s="22"/>
      <c r="Q58" s="26"/>
      <c r="R58" s="61">
        <v>7</v>
      </c>
      <c r="S58" s="22">
        <f t="shared" si="1"/>
        <v>7</v>
      </c>
      <c r="T58" s="22"/>
      <c r="U58" s="31"/>
      <c r="V58" s="51"/>
    </row>
    <row r="59" spans="1:22" ht="20.100000000000001" customHeight="1" x14ac:dyDescent="0.3">
      <c r="A59" s="44">
        <v>51</v>
      </c>
      <c r="B59" s="22">
        <f>+'Order Details Aug22-Mar23'!P59</f>
        <v>44868</v>
      </c>
      <c r="C59" s="23"/>
      <c r="D59" s="53" t="str">
        <f>+'Order Details Aug22-Mar23'!T59</f>
        <v>Venkateshwara Hatcheries</v>
      </c>
      <c r="E59" s="25"/>
      <c r="F59" s="183" t="str">
        <f>+'Order Details Aug22-Mar23'!D59</f>
        <v>R2B Live Vaccine</v>
      </c>
      <c r="G59" s="184"/>
      <c r="H59" s="26" t="str">
        <f>+'Order Details Aug22-Mar23'!G59</f>
        <v>Dose</v>
      </c>
      <c r="I59" s="27">
        <f>+'Order Details Aug22-Mar23'!I59</f>
        <v>27000</v>
      </c>
      <c r="J59" s="28"/>
      <c r="K59" s="185" t="str">
        <f>+'Order Details Aug22-Mar23'!R59</f>
        <v>PO / NBF / 031122 / 05</v>
      </c>
      <c r="L59" s="186"/>
      <c r="M59" s="187"/>
      <c r="N59" s="31">
        <f>+'Order Details Aug22-Mar23'!F59*'Order Details Aug22-Mar23'!N59</f>
        <v>3402</v>
      </c>
      <c r="O59" s="25"/>
      <c r="P59" s="22"/>
      <c r="Q59" s="26"/>
      <c r="R59" s="61">
        <v>7</v>
      </c>
      <c r="S59" s="22">
        <f t="shared" si="1"/>
        <v>7</v>
      </c>
      <c r="T59" s="22"/>
      <c r="U59" s="31"/>
      <c r="V59" s="51"/>
    </row>
    <row r="60" spans="1:22" ht="20.100000000000001" customHeight="1" x14ac:dyDescent="0.3">
      <c r="A60" s="44">
        <v>52</v>
      </c>
      <c r="B60" s="22">
        <f>+'Order Details Aug22-Mar23'!P60</f>
        <v>44868</v>
      </c>
      <c r="C60" s="23"/>
      <c r="D60" s="53" t="str">
        <f>+'Order Details Aug22-Mar23'!T60</f>
        <v>Venkateshwara Hatcheries</v>
      </c>
      <c r="E60" s="25"/>
      <c r="F60" s="183" t="str">
        <f>+'Order Details Aug22-Mar23'!D60</f>
        <v xml:space="preserve">IB Mass Type Live Vaccine </v>
      </c>
      <c r="G60" s="184"/>
      <c r="H60" s="26" t="str">
        <f>+'Order Details Aug22-Mar23'!G60</f>
        <v>Dose</v>
      </c>
      <c r="I60" s="27">
        <f>+'Order Details Aug22-Mar23'!I60</f>
        <v>27000</v>
      </c>
      <c r="J60" s="28"/>
      <c r="K60" s="185" t="str">
        <f>+'Order Details Aug22-Mar23'!R60</f>
        <v>PO / NBF / 031122 / 05</v>
      </c>
      <c r="L60" s="186"/>
      <c r="M60" s="187"/>
      <c r="N60" s="31">
        <f>+'Order Details Aug22-Mar23'!F60*'Order Details Aug22-Mar23'!N60</f>
        <v>2579.85</v>
      </c>
      <c r="O60" s="25"/>
      <c r="P60" s="22"/>
      <c r="Q60" s="26"/>
      <c r="R60" s="61">
        <v>7</v>
      </c>
      <c r="S60" s="22">
        <f t="shared" si="1"/>
        <v>7</v>
      </c>
      <c r="T60" s="22"/>
      <c r="U60" s="31"/>
      <c r="V60" s="51"/>
    </row>
    <row r="61" spans="1:22" ht="20.100000000000001" customHeight="1" x14ac:dyDescent="0.3">
      <c r="A61" s="44">
        <v>53</v>
      </c>
      <c r="B61" s="22">
        <f>+'Order Details Aug22-Mar23'!P61</f>
        <v>44868</v>
      </c>
      <c r="C61" s="23"/>
      <c r="D61" s="53" t="str">
        <f>+'Order Details Aug22-Mar23'!T61</f>
        <v>Venkateshwara Hatcheries</v>
      </c>
      <c r="E61" s="25"/>
      <c r="F61" s="183" t="str">
        <f>+'Order Details Aug22-Mar23'!D61</f>
        <v xml:space="preserve">IBH KILLED VAC </v>
      </c>
      <c r="G61" s="184"/>
      <c r="H61" s="26" t="str">
        <f>+'Order Details Aug22-Mar23'!G61</f>
        <v>Dose</v>
      </c>
      <c r="I61" s="27">
        <f>+'Order Details Aug22-Mar23'!I61</f>
        <v>64000</v>
      </c>
      <c r="J61" s="28"/>
      <c r="K61" s="185" t="str">
        <f>+'Order Details Aug22-Mar23'!R61</f>
        <v>PO / NBF / 031122 / 06</v>
      </c>
      <c r="L61" s="186"/>
      <c r="M61" s="187"/>
      <c r="N61" s="31">
        <f>+'Order Details Aug22-Mar23'!F61*'Order Details Aug22-Mar23'!N61</f>
        <v>70560</v>
      </c>
      <c r="O61" s="25"/>
      <c r="P61" s="22"/>
      <c r="Q61" s="26"/>
      <c r="R61" s="61">
        <v>7</v>
      </c>
      <c r="S61" s="22">
        <f t="shared" ref="S61:S83" si="2">P61+R61</f>
        <v>7</v>
      </c>
      <c r="T61" s="22"/>
      <c r="U61" s="31"/>
      <c r="V61" s="51"/>
    </row>
    <row r="62" spans="1:22" ht="20.100000000000001" customHeight="1" x14ac:dyDescent="0.3">
      <c r="A62" s="44">
        <v>54</v>
      </c>
      <c r="B62" s="22">
        <f>+'Order Details Aug22-Mar23'!P62</f>
        <v>44868</v>
      </c>
      <c r="C62" s="23"/>
      <c r="D62" s="53" t="str">
        <f>+'Order Details Aug22-Mar23'!T62</f>
        <v>Venkateshwara Hatcheries</v>
      </c>
      <c r="E62" s="25"/>
      <c r="F62" s="183" t="str">
        <f>+'Order Details Aug22-Mar23'!D62</f>
        <v xml:space="preserve">ND VISA-15 KILLED VAC </v>
      </c>
      <c r="G62" s="184"/>
      <c r="H62" s="26" t="str">
        <f>+'Order Details Aug22-Mar23'!G62</f>
        <v>Dose</v>
      </c>
      <c r="I62" s="27">
        <f>+'Order Details Aug22-Mar23'!I62</f>
        <v>27000</v>
      </c>
      <c r="J62" s="28"/>
      <c r="K62" s="185" t="str">
        <f>+'Order Details Aug22-Mar23'!R62</f>
        <v>PO / NBF / 031122 / 06</v>
      </c>
      <c r="L62" s="186"/>
      <c r="M62" s="187"/>
      <c r="N62" s="31">
        <f>+'Order Details Aug22-Mar23'!F62*'Order Details Aug22-Mar23'!N62</f>
        <v>24806.25</v>
      </c>
      <c r="O62" s="25"/>
      <c r="P62" s="22"/>
      <c r="Q62" s="26"/>
      <c r="R62" s="61">
        <v>7</v>
      </c>
      <c r="S62" s="22">
        <f t="shared" si="2"/>
        <v>7</v>
      </c>
      <c r="T62" s="22"/>
      <c r="U62" s="31"/>
      <c r="V62" s="51"/>
    </row>
    <row r="63" spans="1:22" ht="20.100000000000001" customHeight="1" x14ac:dyDescent="0.3">
      <c r="A63" s="44">
        <v>55</v>
      </c>
      <c r="B63" s="22">
        <f>+'Order Details Aug22-Mar23'!P63</f>
        <v>44868</v>
      </c>
      <c r="C63" s="23"/>
      <c r="D63" s="53" t="str">
        <f>+'Order Details Aug22-Mar23'!T63</f>
        <v>Venkateshwara Hatcheries</v>
      </c>
      <c r="E63" s="25"/>
      <c r="F63" s="183" t="str">
        <f>+'Order Details Aug22-Mar23'!D63</f>
        <v xml:space="preserve">REO KILLED VAC </v>
      </c>
      <c r="G63" s="184"/>
      <c r="H63" s="26" t="str">
        <f>+'Order Details Aug22-Mar23'!G63</f>
        <v>Dose</v>
      </c>
      <c r="I63" s="27">
        <f>+'Order Details Aug22-Mar23'!I63</f>
        <v>27000</v>
      </c>
      <c r="J63" s="28"/>
      <c r="K63" s="185" t="str">
        <f>+'Order Details Aug22-Mar23'!R63</f>
        <v>PO / NBF / 031122 / 06</v>
      </c>
      <c r="L63" s="186"/>
      <c r="M63" s="187"/>
      <c r="N63" s="31">
        <f>+'Order Details Aug22-Mar23'!F63*'Order Details Aug22-Mar23'!N63</f>
        <v>48903.75</v>
      </c>
      <c r="O63" s="25"/>
      <c r="P63" s="22"/>
      <c r="Q63" s="26"/>
      <c r="R63" s="61">
        <v>7</v>
      </c>
      <c r="S63" s="22">
        <f t="shared" si="2"/>
        <v>7</v>
      </c>
      <c r="T63" s="22"/>
      <c r="U63" s="31"/>
      <c r="V63" s="51"/>
    </row>
    <row r="64" spans="1:22" ht="20.100000000000001" customHeight="1" x14ac:dyDescent="0.3">
      <c r="A64" s="44">
        <v>56</v>
      </c>
      <c r="B64" s="22">
        <f>+'Order Details Aug22-Mar23'!P64</f>
        <v>44868</v>
      </c>
      <c r="C64" s="23"/>
      <c r="D64" s="53" t="str">
        <f>+'Order Details Aug22-Mar23'!T64</f>
        <v>Venkateshwara Hatcheries</v>
      </c>
      <c r="E64" s="25"/>
      <c r="F64" s="183" t="str">
        <f>+'Order Details Aug22-Mar23'!D64</f>
        <v xml:space="preserve">VH F1C7 (FC+IC) KILLED VAC </v>
      </c>
      <c r="G64" s="184"/>
      <c r="H64" s="26" t="str">
        <f>+'Order Details Aug22-Mar23'!G64</f>
        <v>Dose</v>
      </c>
      <c r="I64" s="27">
        <f>+'Order Details Aug22-Mar23'!I64</f>
        <v>54000</v>
      </c>
      <c r="J64" s="28"/>
      <c r="K64" s="185" t="str">
        <f>+'Order Details Aug22-Mar23'!R64</f>
        <v>PO / NBF / 031122 / 06</v>
      </c>
      <c r="L64" s="186"/>
      <c r="M64" s="187"/>
      <c r="N64" s="31">
        <f>+'Order Details Aug22-Mar23'!F64*'Order Details Aug22-Mar23'!N64</f>
        <v>127575</v>
      </c>
      <c r="O64" s="25"/>
      <c r="P64" s="22"/>
      <c r="Q64" s="26"/>
      <c r="R64" s="61">
        <v>7</v>
      </c>
      <c r="S64" s="22">
        <f t="shared" si="2"/>
        <v>7</v>
      </c>
      <c r="T64" s="22"/>
      <c r="U64" s="31"/>
      <c r="V64" s="51"/>
    </row>
    <row r="65" spans="1:22" ht="20.100000000000001" customHeight="1" x14ac:dyDescent="0.3">
      <c r="A65" s="44">
        <v>57</v>
      </c>
      <c r="B65" s="22">
        <f>+'Order Details Aug22-Mar23'!P65</f>
        <v>44868</v>
      </c>
      <c r="C65" s="23"/>
      <c r="D65" s="53" t="str">
        <f>+'Order Details Aug22-Mar23'!T65</f>
        <v>Venkateshwara Hatcheries</v>
      </c>
      <c r="E65" s="25"/>
      <c r="F65" s="183" t="str">
        <f>+'Order Details Aug22-Mar23'!D65</f>
        <v xml:space="preserve">SALMONELLA KILLED VAC </v>
      </c>
      <c r="G65" s="184"/>
      <c r="H65" s="26" t="str">
        <f>+'Order Details Aug22-Mar23'!G65</f>
        <v>Dose</v>
      </c>
      <c r="I65" s="27">
        <f>+'Order Details Aug22-Mar23'!I65</f>
        <v>54000</v>
      </c>
      <c r="J65" s="28"/>
      <c r="K65" s="185" t="str">
        <f>+'Order Details Aug22-Mar23'!R65</f>
        <v>PO / NBF / 031122 / 06</v>
      </c>
      <c r="L65" s="186"/>
      <c r="M65" s="187"/>
      <c r="N65" s="31">
        <f>+'Order Details Aug22-Mar23'!F65*'Order Details Aug22-Mar23'!N65</f>
        <v>141750</v>
      </c>
      <c r="O65" s="25"/>
      <c r="P65" s="22"/>
      <c r="Q65" s="26"/>
      <c r="R65" s="61">
        <v>7</v>
      </c>
      <c r="S65" s="22">
        <f t="shared" si="2"/>
        <v>7</v>
      </c>
      <c r="T65" s="22"/>
      <c r="U65" s="31"/>
      <c r="V65" s="51"/>
    </row>
    <row r="66" spans="1:22" ht="20.100000000000001" customHeight="1" x14ac:dyDescent="0.3">
      <c r="A66" s="44">
        <v>58</v>
      </c>
      <c r="B66" s="22">
        <f>+'Order Details Aug22-Mar23'!P66</f>
        <v>44868</v>
      </c>
      <c r="C66" s="23"/>
      <c r="D66" s="53" t="str">
        <f>+'Order Details Aug22-Mar23'!T66</f>
        <v>Venkateshwara Hatcheries</v>
      </c>
      <c r="E66" s="25"/>
      <c r="F66" s="183" t="str">
        <f>+'Order Details Aug22-Mar23'!D66</f>
        <v xml:space="preserve">AE KILLED VAC </v>
      </c>
      <c r="G66" s="184"/>
      <c r="H66" s="26" t="str">
        <f>+'Order Details Aug22-Mar23'!G66</f>
        <v>Dose</v>
      </c>
      <c r="I66" s="27">
        <f>+'Order Details Aug22-Mar23'!I66</f>
        <v>27000</v>
      </c>
      <c r="J66" s="28"/>
      <c r="K66" s="185" t="str">
        <f>+'Order Details Aug22-Mar23'!R66</f>
        <v>PO / NBF / 031122 / 06</v>
      </c>
      <c r="L66" s="186"/>
      <c r="M66" s="187"/>
      <c r="N66" s="31">
        <f>+'Order Details Aug22-Mar23'!F66*'Order Details Aug22-Mar23'!N66</f>
        <v>48195</v>
      </c>
      <c r="O66" s="25"/>
      <c r="P66" s="22"/>
      <c r="Q66" s="26"/>
      <c r="R66" s="61">
        <v>7</v>
      </c>
      <c r="S66" s="22">
        <f t="shared" si="2"/>
        <v>7</v>
      </c>
      <c r="T66" s="22"/>
      <c r="U66" s="31"/>
      <c r="V66" s="51"/>
    </row>
    <row r="67" spans="1:22" ht="20.100000000000001" customHeight="1" x14ac:dyDescent="0.3">
      <c r="A67" s="44">
        <v>59</v>
      </c>
      <c r="B67" s="22">
        <f>+'Order Details Aug22-Mar23'!P67</f>
        <v>44868</v>
      </c>
      <c r="C67" s="23"/>
      <c r="D67" s="53" t="str">
        <f>+'Order Details Aug22-Mar23'!T67</f>
        <v>Venkateshwara Hatcheries</v>
      </c>
      <c r="E67" s="25"/>
      <c r="F67" s="183" t="str">
        <f>+'Order Details Aug22-Mar23'!D67</f>
        <v xml:space="preserve">MG KILLED VAC </v>
      </c>
      <c r="G67" s="184"/>
      <c r="H67" s="26" t="str">
        <f>+'Order Details Aug22-Mar23'!G67</f>
        <v>Dose</v>
      </c>
      <c r="I67" s="27">
        <f>+'Order Details Aug22-Mar23'!I67</f>
        <v>27000</v>
      </c>
      <c r="J67" s="28"/>
      <c r="K67" s="185" t="str">
        <f>+'Order Details Aug22-Mar23'!R67</f>
        <v>PO / NBF / 031122 / 06</v>
      </c>
      <c r="L67" s="186"/>
      <c r="M67" s="187"/>
      <c r="N67" s="31">
        <f>+'Order Details Aug22-Mar23'!F67*'Order Details Aug22-Mar23'!N67</f>
        <v>113400</v>
      </c>
      <c r="O67" s="25"/>
      <c r="P67" s="22"/>
      <c r="Q67" s="26"/>
      <c r="R67" s="61">
        <v>7</v>
      </c>
      <c r="S67" s="22">
        <f t="shared" si="2"/>
        <v>7</v>
      </c>
      <c r="T67" s="22"/>
      <c r="U67" s="31"/>
      <c r="V67" s="51"/>
    </row>
    <row r="68" spans="1:22" ht="20.100000000000001" customHeight="1" x14ac:dyDescent="0.3">
      <c r="A68" s="44">
        <v>60</v>
      </c>
      <c r="B68" s="22">
        <f>+'Order Details Aug22-Mar23'!P68</f>
        <v>44868</v>
      </c>
      <c r="C68" s="23"/>
      <c r="D68" s="53" t="str">
        <f>+'Order Details Aug22-Mar23'!T68</f>
        <v>Venkateshwara Hatcheries</v>
      </c>
      <c r="E68" s="25"/>
      <c r="F68" s="183" t="str">
        <f>+'Order Details Aug22-Mar23'!D68</f>
        <v xml:space="preserve">ND + IBD KILLED VAC </v>
      </c>
      <c r="G68" s="184"/>
      <c r="H68" s="26" t="str">
        <f>+'Order Details Aug22-Mar23'!G68</f>
        <v>Dose</v>
      </c>
      <c r="I68" s="27">
        <f>+'Order Details Aug22-Mar23'!I68</f>
        <v>27000</v>
      </c>
      <c r="J68" s="28"/>
      <c r="K68" s="185" t="str">
        <f>+'Order Details Aug22-Mar23'!R68</f>
        <v>PO / NBF / 031122 / 06</v>
      </c>
      <c r="L68" s="186"/>
      <c r="M68" s="187"/>
      <c r="N68" s="31">
        <f>+'Order Details Aug22-Mar23'!F68*'Order Details Aug22-Mar23'!N68</f>
        <v>68040</v>
      </c>
      <c r="O68" s="25"/>
      <c r="P68" s="22"/>
      <c r="Q68" s="26"/>
      <c r="R68" s="61">
        <v>7</v>
      </c>
      <c r="S68" s="22">
        <f t="shared" si="2"/>
        <v>7</v>
      </c>
      <c r="T68" s="22"/>
      <c r="U68" s="31"/>
      <c r="V68" s="51"/>
    </row>
    <row r="69" spans="1:22" ht="20.100000000000001" customHeight="1" x14ac:dyDescent="0.3">
      <c r="A69" s="44">
        <v>61</v>
      </c>
      <c r="B69" s="22">
        <f>+'Order Details Aug22-Mar23'!P69</f>
        <v>44868</v>
      </c>
      <c r="C69" s="23"/>
      <c r="D69" s="53" t="str">
        <f>+'Order Details Aug22-Mar23'!T69</f>
        <v>Venkateshwara Hatcheries</v>
      </c>
      <c r="E69" s="25"/>
      <c r="F69" s="183" t="str">
        <f>+'Order Details Aug22-Mar23'!D69</f>
        <v xml:space="preserve">IBD KILLED VAC </v>
      </c>
      <c r="G69" s="184"/>
      <c r="H69" s="26" t="str">
        <f>+'Order Details Aug22-Mar23'!G69</f>
        <v>Dose</v>
      </c>
      <c r="I69" s="27">
        <f>+'Order Details Aug22-Mar23'!I69</f>
        <v>27000</v>
      </c>
      <c r="J69" s="28"/>
      <c r="K69" s="185" t="str">
        <f>+'Order Details Aug22-Mar23'!R69</f>
        <v>PO / NBF / 031122 / 06</v>
      </c>
      <c r="L69" s="186"/>
      <c r="M69" s="187"/>
      <c r="N69" s="31">
        <f>+'Order Details Aug22-Mar23'!F69*'Order Details Aug22-Mar23'!N69</f>
        <v>49116.375</v>
      </c>
      <c r="O69" s="25"/>
      <c r="P69" s="22"/>
      <c r="Q69" s="26"/>
      <c r="R69" s="61">
        <v>7</v>
      </c>
      <c r="S69" s="22">
        <f t="shared" si="2"/>
        <v>7</v>
      </c>
      <c r="T69" s="22"/>
      <c r="U69" s="31"/>
      <c r="V69" s="51"/>
    </row>
    <row r="70" spans="1:22" ht="20.100000000000001" customHeight="1" x14ac:dyDescent="0.3">
      <c r="A70" s="44">
        <v>62</v>
      </c>
      <c r="B70" s="22">
        <f>+'Order Details Aug22-Mar23'!P70</f>
        <v>44868</v>
      </c>
      <c r="C70" s="23"/>
      <c r="D70" s="53" t="str">
        <f>+'Order Details Aug22-Mar23'!T70</f>
        <v>Venkateshwara Hatcheries</v>
      </c>
      <c r="E70" s="25"/>
      <c r="F70" s="183" t="str">
        <f>+'Order Details Aug22-Mar23'!D70</f>
        <v xml:space="preserve">VH V- 4K (4 Way) KILLED VAC </v>
      </c>
      <c r="G70" s="184"/>
      <c r="H70" s="26" t="str">
        <f>+'Order Details Aug22-Mar23'!G70</f>
        <v>Dose</v>
      </c>
      <c r="I70" s="27">
        <f>+'Order Details Aug22-Mar23'!I70</f>
        <v>50000</v>
      </c>
      <c r="J70" s="28"/>
      <c r="K70" s="185" t="str">
        <f>+'Order Details Aug22-Mar23'!R70</f>
        <v>PO / NBF / 031122 / 06</v>
      </c>
      <c r="L70" s="186"/>
      <c r="M70" s="187"/>
      <c r="N70" s="31">
        <f>+'Order Details Aug22-Mar23'!F70*'Order Details Aug22-Mar23'!N70</f>
        <v>267750</v>
      </c>
      <c r="O70" s="25"/>
      <c r="P70" s="22"/>
      <c r="Q70" s="26"/>
      <c r="R70" s="61">
        <v>7</v>
      </c>
      <c r="S70" s="22">
        <f t="shared" si="2"/>
        <v>7</v>
      </c>
      <c r="T70" s="22"/>
      <c r="U70" s="31"/>
      <c r="V70" s="51"/>
    </row>
    <row r="71" spans="1:22" ht="20.100000000000001" customHeight="1" x14ac:dyDescent="0.3">
      <c r="A71" s="44">
        <v>63</v>
      </c>
      <c r="B71" s="22">
        <f>+'Order Details Aug22-Mar23'!P71</f>
        <v>44874</v>
      </c>
      <c r="C71" s="23"/>
      <c r="D71" s="53" t="str">
        <f>+'Order Details Aug22-Mar23'!T71</f>
        <v>Alivira Animal Heaith Ltd</v>
      </c>
      <c r="E71" s="25"/>
      <c r="F71" s="183" t="str">
        <f>+'Order Details Aug22-Mar23'!D71</f>
        <v>CITRINAL</v>
      </c>
      <c r="G71" s="184"/>
      <c r="H71" s="26" t="str">
        <f>+'Order Details Aug22-Mar23'!G71</f>
        <v>Kg</v>
      </c>
      <c r="I71" s="27">
        <f>+'Order Details Aug22-Mar23'!I71</f>
        <v>500</v>
      </c>
      <c r="J71" s="28"/>
      <c r="K71" s="185" t="str">
        <f>+'Order Details Aug22-Mar23'!R71</f>
        <v>PO / NBF / 091122 / 01</v>
      </c>
      <c r="L71" s="186"/>
      <c r="M71" s="187"/>
      <c r="N71" s="31">
        <f>+'Order Details Aug22-Mar23'!F71*'Order Details Aug22-Mar23'!N71</f>
        <v>75000</v>
      </c>
      <c r="O71" s="25"/>
      <c r="P71" s="22"/>
      <c r="Q71" s="26"/>
      <c r="R71" s="26">
        <v>45</v>
      </c>
      <c r="S71" s="22">
        <f t="shared" si="2"/>
        <v>45</v>
      </c>
      <c r="T71" s="22"/>
      <c r="U71" s="31"/>
      <c r="V71" s="51"/>
    </row>
    <row r="72" spans="1:22" ht="20.100000000000001" customHeight="1" x14ac:dyDescent="0.3">
      <c r="A72" s="44">
        <v>64</v>
      </c>
      <c r="B72" s="22">
        <f>+'Order Details Aug22-Mar23'!P72</f>
        <v>44874</v>
      </c>
      <c r="C72" s="23"/>
      <c r="D72" s="53" t="str">
        <f>+'Order Details Aug22-Mar23'!T72</f>
        <v>Avitech Nutrition Pvt Ltd</v>
      </c>
      <c r="E72" s="25"/>
      <c r="F72" s="183" t="str">
        <f>+'Order Details Aug22-Mar23'!D72</f>
        <v>BREEDER VITAMIN PREMIX-HYD</v>
      </c>
      <c r="G72" s="184"/>
      <c r="H72" s="26" t="str">
        <f>+'Order Details Aug22-Mar23'!G72</f>
        <v>Kg</v>
      </c>
      <c r="I72" s="27">
        <f>+'Order Details Aug22-Mar23'!I72</f>
        <v>500</v>
      </c>
      <c r="J72" s="28"/>
      <c r="K72" s="185" t="str">
        <f>+'Order Details Aug22-Mar23'!R72</f>
        <v>PO / NBF / 091122 / 02</v>
      </c>
      <c r="L72" s="186"/>
      <c r="M72" s="187"/>
      <c r="N72" s="31">
        <f>+'Order Details Aug22-Mar23'!F72*'Order Details Aug22-Mar23'!N72</f>
        <v>362000</v>
      </c>
      <c r="O72" s="25"/>
      <c r="P72" s="22"/>
      <c r="Q72" s="26"/>
      <c r="R72" s="26">
        <v>30</v>
      </c>
      <c r="S72" s="22">
        <f t="shared" si="2"/>
        <v>30</v>
      </c>
      <c r="T72" s="22"/>
      <c r="U72" s="31"/>
      <c r="V72" s="51"/>
    </row>
    <row r="73" spans="1:22" ht="20.100000000000001" customHeight="1" x14ac:dyDescent="0.3">
      <c r="A73" s="44">
        <v>65</v>
      </c>
      <c r="B73" s="22">
        <f>+'Order Details Aug22-Mar23'!P73</f>
        <v>44874</v>
      </c>
      <c r="C73" s="23"/>
      <c r="D73" s="53" t="str">
        <f>+'Order Details Aug22-Mar23'!T73</f>
        <v>Izda Health Care</v>
      </c>
      <c r="E73" s="25"/>
      <c r="F73" s="183" t="str">
        <f>+'Order Details Aug22-Mar23'!D73</f>
        <v>OVASTIM</v>
      </c>
      <c r="G73" s="184"/>
      <c r="H73" s="26" t="str">
        <f>+'Order Details Aug22-Mar23'!G73</f>
        <v>Kg</v>
      </c>
      <c r="I73" s="27">
        <f>+'Order Details Aug22-Mar23'!I73</f>
        <v>300</v>
      </c>
      <c r="J73" s="28"/>
      <c r="K73" s="185" t="str">
        <f>+'Order Details Aug22-Mar23'!R73</f>
        <v>PO / NBF / 091122 / 03</v>
      </c>
      <c r="L73" s="186"/>
      <c r="M73" s="187"/>
      <c r="N73" s="31">
        <f>+'Order Details Aug22-Mar23'!F73*'Order Details Aug22-Mar23'!N73</f>
        <v>120000</v>
      </c>
      <c r="O73" s="25"/>
      <c r="P73" s="22"/>
      <c r="Q73" s="26"/>
      <c r="R73" s="26">
        <v>45</v>
      </c>
      <c r="S73" s="22">
        <f t="shared" si="2"/>
        <v>45</v>
      </c>
      <c r="T73" s="22"/>
      <c r="U73" s="31"/>
      <c r="V73" s="51"/>
    </row>
    <row r="74" spans="1:22" ht="20.100000000000001" customHeight="1" x14ac:dyDescent="0.3">
      <c r="A74" s="44">
        <v>66</v>
      </c>
      <c r="B74" s="22">
        <f>+'Order Details Aug22-Mar23'!P74</f>
        <v>44874</v>
      </c>
      <c r="C74" s="23"/>
      <c r="D74" s="53" t="str">
        <f>+'Order Details Aug22-Mar23'!T74</f>
        <v>Varsha Multitech, Bangalore</v>
      </c>
      <c r="E74" s="25"/>
      <c r="F74" s="183" t="str">
        <f>+'Order Details Aug22-Mar23'!D74</f>
        <v>HEPATOCARE PREMIX</v>
      </c>
      <c r="G74" s="184"/>
      <c r="H74" s="26" t="str">
        <f>+'Order Details Aug22-Mar23'!G74</f>
        <v>Kg</v>
      </c>
      <c r="I74" s="27">
        <f>+'Order Details Aug22-Mar23'!I74</f>
        <v>500</v>
      </c>
      <c r="J74" s="28"/>
      <c r="K74" s="185" t="str">
        <f>+'Order Details Aug22-Mar23'!R74</f>
        <v>PO / NBF / 091122 / 04</v>
      </c>
      <c r="L74" s="186"/>
      <c r="M74" s="187"/>
      <c r="N74" s="31">
        <f>+'Order Details Aug22-Mar23'!F74*'Order Details Aug22-Mar23'!N74</f>
        <v>25000</v>
      </c>
      <c r="O74" s="25"/>
      <c r="P74" s="22"/>
      <c r="Q74" s="26"/>
      <c r="R74" s="26">
        <v>45</v>
      </c>
      <c r="S74" s="22">
        <f t="shared" si="2"/>
        <v>45</v>
      </c>
      <c r="T74" s="22"/>
      <c r="U74" s="31"/>
      <c r="V74" s="51"/>
    </row>
    <row r="75" spans="1:22" ht="20.100000000000001" customHeight="1" x14ac:dyDescent="0.3">
      <c r="A75" s="44">
        <v>67</v>
      </c>
      <c r="B75" s="22">
        <f>+'Order Details Aug22-Mar23'!P75</f>
        <v>44874</v>
      </c>
      <c r="C75" s="23"/>
      <c r="D75" s="53" t="str">
        <f>+'Order Details Aug22-Mar23'!T75</f>
        <v>Venkys India - AHP Division</v>
      </c>
      <c r="E75" s="25"/>
      <c r="F75" s="183" t="str">
        <f>+'Order Details Aug22-Mar23'!D75</f>
        <v>TRACEMIN-BB</v>
      </c>
      <c r="G75" s="184"/>
      <c r="H75" s="26" t="str">
        <f>+'Order Details Aug22-Mar23'!G75</f>
        <v>Kg</v>
      </c>
      <c r="I75" s="27">
        <f>+'Order Details Aug22-Mar23'!I75</f>
        <v>510</v>
      </c>
      <c r="J75" s="28"/>
      <c r="K75" s="185" t="str">
        <f>+'Order Details Aug22-Mar23'!R75</f>
        <v>PO / NBF / 091122 / 05</v>
      </c>
      <c r="L75" s="186"/>
      <c r="M75" s="187"/>
      <c r="N75" s="31">
        <f>+'Order Details Aug22-Mar23'!F75*'Order Details Aug22-Mar23'!N75</f>
        <v>29750</v>
      </c>
      <c r="O75" s="25"/>
      <c r="P75" s="22"/>
      <c r="Q75" s="26"/>
      <c r="R75" s="61">
        <v>7</v>
      </c>
      <c r="S75" s="22">
        <f t="shared" si="2"/>
        <v>7</v>
      </c>
      <c r="T75" s="22"/>
      <c r="U75" s="31"/>
      <c r="V75" s="51"/>
    </row>
    <row r="76" spans="1:22" ht="20.100000000000001" customHeight="1" x14ac:dyDescent="0.3">
      <c r="A76" s="44">
        <v>68</v>
      </c>
      <c r="B76" s="22">
        <f>+'Order Details Aug22-Mar23'!P76</f>
        <v>44879</v>
      </c>
      <c r="C76" s="23"/>
      <c r="D76" s="53" t="str">
        <f>+'Order Details Aug22-Mar23'!T76</f>
        <v>Venkateshwara Marketing</v>
      </c>
      <c r="E76" s="25"/>
      <c r="F76" s="183" t="str">
        <f>+'Order Details Aug22-Mar23'!D76</f>
        <v>Nobilis IB (MA-5) Live Vaccine</v>
      </c>
      <c r="G76" s="184"/>
      <c r="H76" s="26" t="str">
        <f>+'Order Details Aug22-Mar23'!G76</f>
        <v>Dose</v>
      </c>
      <c r="I76" s="27">
        <f>+'Order Details Aug22-Mar23'!I76</f>
        <v>27500</v>
      </c>
      <c r="J76" s="28"/>
      <c r="K76" s="185" t="str">
        <f>+'Order Details Aug22-Mar23'!R76</f>
        <v>PO / NBF / 141122 / 01</v>
      </c>
      <c r="L76" s="186"/>
      <c r="M76" s="187"/>
      <c r="N76" s="31">
        <f>+'Order Details Aug22-Mar23'!F76*'Order Details Aug22-Mar23'!N76</f>
        <v>9240</v>
      </c>
      <c r="O76" s="25"/>
      <c r="P76" s="22"/>
      <c r="Q76" s="26"/>
      <c r="R76" s="26">
        <v>45</v>
      </c>
      <c r="S76" s="22">
        <f t="shared" si="2"/>
        <v>45</v>
      </c>
      <c r="T76" s="22"/>
      <c r="U76" s="31"/>
      <c r="V76" s="51"/>
    </row>
    <row r="77" spans="1:22" ht="20.100000000000001" customHeight="1" x14ac:dyDescent="0.3">
      <c r="A77" s="44">
        <v>69</v>
      </c>
      <c r="B77" s="22">
        <f>+'Order Details Aug22-Mar23'!P77</f>
        <v>44886</v>
      </c>
      <c r="C77" s="23"/>
      <c r="D77" s="53" t="str">
        <f>+'Order Details Aug22-Mar23'!T77</f>
        <v>Sai Kiran Medical Agencies</v>
      </c>
      <c r="E77" s="25"/>
      <c r="F77" s="183" t="str">
        <f>+'Order Details Aug22-Mar23'!D77</f>
        <v>SALCOCHEK</v>
      </c>
      <c r="G77" s="184"/>
      <c r="H77" s="26" t="str">
        <f>+'Order Details Aug22-Mar23'!G77</f>
        <v>Kg</v>
      </c>
      <c r="I77" s="27">
        <f>+'Order Details Aug22-Mar23'!I77</f>
        <v>200</v>
      </c>
      <c r="J77" s="28"/>
      <c r="K77" s="185" t="str">
        <f>+'Order Details Aug22-Mar23'!R77</f>
        <v>PO / NBF / 211122 / 01</v>
      </c>
      <c r="L77" s="186"/>
      <c r="M77" s="187"/>
      <c r="N77" s="31">
        <f>+'Order Details Aug22-Mar23'!F77*'Order Details Aug22-Mar23'!N77</f>
        <v>28672</v>
      </c>
      <c r="O77" s="25"/>
      <c r="P77" s="22"/>
      <c r="Q77" s="26"/>
      <c r="R77" s="26">
        <v>45</v>
      </c>
      <c r="S77" s="22">
        <f t="shared" si="2"/>
        <v>45</v>
      </c>
      <c r="T77" s="22"/>
      <c r="U77" s="31"/>
      <c r="V77" s="51"/>
    </row>
    <row r="78" spans="1:22" ht="20.100000000000001" customHeight="1" x14ac:dyDescent="0.3">
      <c r="A78" s="44">
        <v>70</v>
      </c>
      <c r="B78" s="22">
        <f>+'Order Details Aug22-Mar23'!P78</f>
        <v>44898</v>
      </c>
      <c r="C78" s="23"/>
      <c r="D78" s="53" t="str">
        <f>+'Order Details Aug22-Mar23'!T78</f>
        <v>B V Biocrop - Hitech Division</v>
      </c>
      <c r="E78" s="25"/>
      <c r="F78" s="183" t="str">
        <f>+'Order Details Aug22-Mar23'!D78</f>
        <v>BV CLO-2 (10 Gms)</v>
      </c>
      <c r="G78" s="184"/>
      <c r="H78" s="26" t="str">
        <f>+'Order Details Aug22-Mar23'!G78</f>
        <v>Pcs</v>
      </c>
      <c r="I78" s="27">
        <f>+'Order Details Aug22-Mar23'!I78</f>
        <v>1000</v>
      </c>
      <c r="J78" s="28"/>
      <c r="K78" s="185" t="str">
        <f>+'Order Details Aug22-Mar23'!R78</f>
        <v>PO / NBF / 031222 / 01</v>
      </c>
      <c r="L78" s="186"/>
      <c r="M78" s="187"/>
      <c r="N78" s="31">
        <f>+'Order Details Aug22-Mar23'!F78*'Order Details Aug22-Mar23'!N78</f>
        <v>25960</v>
      </c>
      <c r="O78" s="25"/>
      <c r="P78" s="22"/>
      <c r="Q78" s="26"/>
      <c r="R78" s="61">
        <v>7</v>
      </c>
      <c r="S78" s="22">
        <f t="shared" si="2"/>
        <v>7</v>
      </c>
      <c r="T78" s="22"/>
      <c r="U78" s="31"/>
      <c r="V78" s="51"/>
    </row>
    <row r="79" spans="1:22" ht="20.100000000000001" customHeight="1" x14ac:dyDescent="0.3">
      <c r="A79" s="44">
        <v>71</v>
      </c>
      <c r="B79" s="22">
        <f>+'Order Details Aug22-Mar23'!P79</f>
        <v>44898</v>
      </c>
      <c r="C79" s="23"/>
      <c r="D79" s="53" t="str">
        <f>+'Order Details Aug22-Mar23'!T79</f>
        <v>B V Biocrop - Hitech Division</v>
      </c>
      <c r="E79" s="25"/>
      <c r="F79" s="183" t="str">
        <f>+'Order Details Aug22-Mar23'!D79</f>
        <v xml:space="preserve">SAFEGARD </v>
      </c>
      <c r="G79" s="184"/>
      <c r="H79" s="26" t="str">
        <f>+'Order Details Aug22-Mar23'!G79</f>
        <v>Ltr</v>
      </c>
      <c r="I79" s="27">
        <f>+'Order Details Aug22-Mar23'!I79</f>
        <v>60</v>
      </c>
      <c r="J79" s="28"/>
      <c r="K79" s="185" t="str">
        <f>+'Order Details Aug22-Mar23'!R79</f>
        <v>PO / NBF / 031222 / 01</v>
      </c>
      <c r="L79" s="186"/>
      <c r="M79" s="187"/>
      <c r="N79" s="31">
        <f>+'Order Details Aug22-Mar23'!F79*'Order Details Aug22-Mar23'!N79</f>
        <v>14400.72</v>
      </c>
      <c r="O79" s="25"/>
      <c r="P79" s="22"/>
      <c r="Q79" s="26"/>
      <c r="R79" s="61">
        <v>7</v>
      </c>
      <c r="S79" s="22">
        <f t="shared" si="2"/>
        <v>7</v>
      </c>
      <c r="T79" s="22"/>
      <c r="U79" s="31"/>
      <c r="V79" s="51"/>
    </row>
    <row r="80" spans="1:22" ht="20.100000000000001" customHeight="1" x14ac:dyDescent="0.3">
      <c r="A80" s="44">
        <v>72</v>
      </c>
      <c r="B80" s="22">
        <f>+'Order Details Aug22-Mar23'!P80</f>
        <v>44898</v>
      </c>
      <c r="C80" s="23"/>
      <c r="D80" s="53" t="str">
        <f>+'Order Details Aug22-Mar23'!T80</f>
        <v>Das Drug Centre, Habra</v>
      </c>
      <c r="E80" s="25"/>
      <c r="F80" s="183" t="str">
        <f>+'Order Details Aug22-Mar23'!D80</f>
        <v xml:space="preserve">EKTOMIN </v>
      </c>
      <c r="G80" s="184"/>
      <c r="H80" s="26" t="str">
        <f>+'Order Details Aug22-Mar23'!G80</f>
        <v>Ltr</v>
      </c>
      <c r="I80" s="27">
        <f>+'Order Details Aug22-Mar23'!I80</f>
        <v>100</v>
      </c>
      <c r="J80" s="28"/>
      <c r="K80" s="185" t="str">
        <f>+'Order Details Aug22-Mar23'!R80</f>
        <v>PO / NBF / 031222 / 02</v>
      </c>
      <c r="L80" s="186"/>
      <c r="M80" s="187"/>
      <c r="N80" s="31">
        <f>+'Order Details Aug22-Mar23'!F80*'Order Details Aug22-Mar23'!N80</f>
        <v>67200</v>
      </c>
      <c r="O80" s="25"/>
      <c r="P80" s="22"/>
      <c r="Q80" s="26"/>
      <c r="R80" s="26">
        <v>45</v>
      </c>
      <c r="S80" s="22">
        <f t="shared" si="2"/>
        <v>45</v>
      </c>
      <c r="T80" s="22"/>
      <c r="U80" s="31"/>
      <c r="V80" s="51"/>
    </row>
    <row r="81" spans="1:22" ht="20.100000000000001" customHeight="1" x14ac:dyDescent="0.3">
      <c r="A81" s="44">
        <v>73</v>
      </c>
      <c r="B81" s="22">
        <f>+'Order Details Aug22-Mar23'!P81</f>
        <v>44898</v>
      </c>
      <c r="C81" s="23"/>
      <c r="D81" s="53" t="str">
        <f>+'Order Details Aug22-Mar23'!T81</f>
        <v>Das Drug Centre, Habra</v>
      </c>
      <c r="E81" s="25"/>
      <c r="F81" s="183" t="str">
        <f>+'Order Details Aug22-Mar23'!D81</f>
        <v>HIVIT INJECTION</v>
      </c>
      <c r="G81" s="184"/>
      <c r="H81" s="26" t="str">
        <f>+'Order Details Aug22-Mar23'!G81</f>
        <v>ML</v>
      </c>
      <c r="I81" s="27">
        <f>+'Order Details Aug22-Mar23'!I81</f>
        <v>5000</v>
      </c>
      <c r="J81" s="28"/>
      <c r="K81" s="185" t="str">
        <f>+'Order Details Aug22-Mar23'!R81</f>
        <v>PO / NBF / 031222 / 02</v>
      </c>
      <c r="L81" s="186"/>
      <c r="M81" s="187"/>
      <c r="N81" s="31">
        <f>+'Order Details Aug22-Mar23'!F81*'Order Details Aug22-Mar23'!N81</f>
        <v>5712</v>
      </c>
      <c r="O81" s="25"/>
      <c r="P81" s="22"/>
      <c r="Q81" s="26"/>
      <c r="R81" s="26">
        <v>45</v>
      </c>
      <c r="S81" s="22">
        <f t="shared" si="2"/>
        <v>45</v>
      </c>
      <c r="T81" s="22"/>
      <c r="U81" s="31"/>
      <c r="V81" s="51"/>
    </row>
    <row r="82" spans="1:22" ht="20.100000000000001" customHeight="1" x14ac:dyDescent="0.3">
      <c r="A82" s="44">
        <v>74</v>
      </c>
      <c r="B82" s="22">
        <f>+'Order Details Aug22-Mar23'!P82</f>
        <v>44898</v>
      </c>
      <c r="C82" s="23"/>
      <c r="D82" s="53" t="str">
        <f>+'Order Details Aug22-Mar23'!T82</f>
        <v>Das Drug Centre, Habra</v>
      </c>
      <c r="E82" s="25"/>
      <c r="F82" s="183" t="str">
        <f>+'Order Details Aug22-Mar23'!D82</f>
        <v>OXY-LA INJECTION</v>
      </c>
      <c r="G82" s="184"/>
      <c r="H82" s="26" t="str">
        <f>+'Order Details Aug22-Mar23'!G82</f>
        <v>ML</v>
      </c>
      <c r="I82" s="27">
        <f>+'Order Details Aug22-Mar23'!I82</f>
        <v>5000</v>
      </c>
      <c r="J82" s="28"/>
      <c r="K82" s="185" t="str">
        <f>+'Order Details Aug22-Mar23'!R82</f>
        <v>PO / NBF / 031222 / 02</v>
      </c>
      <c r="L82" s="186"/>
      <c r="M82" s="187"/>
      <c r="N82" s="31">
        <f>+'Order Details Aug22-Mar23'!F82*'Order Details Aug22-Mar23'!N82</f>
        <v>12991.999999999998</v>
      </c>
      <c r="O82" s="25"/>
      <c r="P82" s="22"/>
      <c r="Q82" s="26"/>
      <c r="R82" s="26">
        <v>45</v>
      </c>
      <c r="S82" s="22">
        <f t="shared" si="2"/>
        <v>45</v>
      </c>
      <c r="T82" s="22"/>
      <c r="U82" s="31"/>
      <c r="V82" s="51"/>
    </row>
    <row r="83" spans="1:22" ht="20.100000000000001" customHeight="1" x14ac:dyDescent="0.3">
      <c r="A83" s="44">
        <v>75</v>
      </c>
      <c r="B83" s="22">
        <f>+'Order Details Aug22-Mar23'!P83</f>
        <v>44898</v>
      </c>
      <c r="C83" s="23"/>
      <c r="D83" s="53" t="str">
        <f>+'Order Details Aug22-Mar23'!T83</f>
        <v>Das Drug Centre, Habra</v>
      </c>
      <c r="E83" s="25"/>
      <c r="F83" s="183" t="str">
        <f>+'Order Details Aug22-Mar23'!D83</f>
        <v>TYLO-RD INJECTION</v>
      </c>
      <c r="G83" s="184"/>
      <c r="H83" s="26" t="str">
        <f>+'Order Details Aug22-Mar23'!G83</f>
        <v>ML</v>
      </c>
      <c r="I83" s="27">
        <f>+'Order Details Aug22-Mar23'!I83</f>
        <v>5000</v>
      </c>
      <c r="J83" s="28"/>
      <c r="K83" s="185" t="str">
        <f>+'Order Details Aug22-Mar23'!R83</f>
        <v>PO / NBF / 031222 / 02</v>
      </c>
      <c r="L83" s="186"/>
      <c r="M83" s="187"/>
      <c r="N83" s="31">
        <f>+'Order Details Aug22-Mar23'!F83*'Order Details Aug22-Mar23'!N83</f>
        <v>14112</v>
      </c>
      <c r="O83" s="25"/>
      <c r="P83" s="22"/>
      <c r="Q83" s="26"/>
      <c r="R83" s="26">
        <v>45</v>
      </c>
      <c r="S83" s="22">
        <f t="shared" si="2"/>
        <v>45</v>
      </c>
      <c r="T83" s="22"/>
      <c r="U83" s="31"/>
      <c r="V83" s="51"/>
    </row>
    <row r="84" spans="1:22" ht="20.100000000000001" customHeight="1" x14ac:dyDescent="0.3">
      <c r="A84" s="44">
        <v>76</v>
      </c>
      <c r="B84" s="22">
        <f>+'Order Details Aug22-Mar23'!P84</f>
        <v>44898</v>
      </c>
      <c r="C84" s="23"/>
      <c r="D84" s="53" t="str">
        <f>+'Order Details Aug22-Mar23'!T84</f>
        <v>Das Drug Centre, Habra</v>
      </c>
      <c r="E84" s="25"/>
      <c r="F84" s="183" t="str">
        <f>+'Order Details Aug22-Mar23'!D84</f>
        <v>URIMIN INJECTION</v>
      </c>
      <c r="G84" s="184"/>
      <c r="H84" s="26" t="str">
        <f>+'Order Details Aug22-Mar23'!G84</f>
        <v>ML</v>
      </c>
      <c r="I84" s="27">
        <f>+'Order Details Aug22-Mar23'!I84</f>
        <v>3000</v>
      </c>
      <c r="J84" s="28"/>
      <c r="K84" s="185" t="str">
        <f>+'Order Details Aug22-Mar23'!R84</f>
        <v>PO / NBF / 031222 / 02</v>
      </c>
      <c r="L84" s="186"/>
      <c r="M84" s="187"/>
      <c r="N84" s="31">
        <f>+'Order Details Aug22-Mar23'!F84*'Order Details Aug22-Mar23'!N84</f>
        <v>10056.06</v>
      </c>
      <c r="O84" s="25"/>
      <c r="P84" s="22"/>
      <c r="Q84" s="26"/>
      <c r="R84" s="26">
        <v>45</v>
      </c>
      <c r="S84" s="22">
        <f t="shared" ref="S84" si="3">P84+R84</f>
        <v>45</v>
      </c>
      <c r="T84" s="22"/>
      <c r="U84" s="31"/>
      <c r="V84" s="51"/>
    </row>
    <row r="85" spans="1:22" ht="20.100000000000001" customHeight="1" x14ac:dyDescent="0.3">
      <c r="A85" s="44">
        <v>77</v>
      </c>
      <c r="B85" s="22">
        <f>+'Order Details Aug22-Mar23'!P85</f>
        <v>44898</v>
      </c>
      <c r="C85" s="23"/>
      <c r="D85" s="53" t="str">
        <f>+'Order Details Aug22-Mar23'!T85</f>
        <v>Izda Health Care</v>
      </c>
      <c r="E85" s="25"/>
      <c r="F85" s="183" t="str">
        <f>+'Order Details Aug22-Mar23'!D85</f>
        <v>DEFORCE INJECTION (Idza)</v>
      </c>
      <c r="G85" s="184"/>
      <c r="H85" s="26" t="str">
        <f>+'Order Details Aug22-Mar23'!G85</f>
        <v>ML</v>
      </c>
      <c r="I85" s="27">
        <f>+'Order Details Aug22-Mar23'!I85</f>
        <v>400</v>
      </c>
      <c r="J85" s="28"/>
      <c r="K85" s="185" t="str">
        <f>+'Order Details Aug22-Mar23'!R85</f>
        <v>PO / NBF / 031222 / 03</v>
      </c>
      <c r="L85" s="186"/>
      <c r="M85" s="187"/>
      <c r="N85" s="31">
        <f>+'Order Details Aug22-Mar23'!F85*'Order Details Aug22-Mar23'!N85</f>
        <v>33600</v>
      </c>
      <c r="O85" s="25"/>
      <c r="P85" s="22"/>
      <c r="Q85" s="26"/>
      <c r="R85" s="26">
        <v>45</v>
      </c>
      <c r="S85" s="22">
        <f t="shared" ref="S85:S90" si="4">P85+R85</f>
        <v>45</v>
      </c>
      <c r="T85" s="22"/>
      <c r="U85" s="31"/>
      <c r="V85" s="51"/>
    </row>
    <row r="86" spans="1:22" ht="20.100000000000001" customHeight="1" x14ac:dyDescent="0.3">
      <c r="A86" s="44">
        <v>78</v>
      </c>
      <c r="B86" s="22">
        <f>+'Order Details Aug22-Mar23'!P86</f>
        <v>44898</v>
      </c>
      <c r="C86" s="23"/>
      <c r="D86" s="53" t="str">
        <f>+'Order Details Aug22-Mar23'!T86</f>
        <v>Venkys India - AHP Division</v>
      </c>
      <c r="E86" s="25"/>
      <c r="F86" s="183" t="str">
        <f>+'Order Details Aug22-Mar23'!D86</f>
        <v>VENTRIMISOLE</v>
      </c>
      <c r="G86" s="184"/>
      <c r="H86" s="26" t="str">
        <f>+'Order Details Aug22-Mar23'!G86</f>
        <v>Gms</v>
      </c>
      <c r="I86" s="27">
        <f>+'Order Details Aug22-Mar23'!I86</f>
        <v>24000</v>
      </c>
      <c r="J86" s="28"/>
      <c r="K86" s="185" t="str">
        <f>+'Order Details Aug22-Mar23'!R86</f>
        <v>PO / NBF / 031222 / 04</v>
      </c>
      <c r="L86" s="186"/>
      <c r="M86" s="187"/>
      <c r="N86" s="31">
        <f>+'Order Details Aug22-Mar23'!F86*'Order Details Aug22-Mar23'!N86</f>
        <v>53813.759999999995</v>
      </c>
      <c r="O86" s="25"/>
      <c r="P86" s="22"/>
      <c r="Q86" s="26"/>
      <c r="R86" s="61">
        <v>7</v>
      </c>
      <c r="S86" s="22">
        <f t="shared" si="4"/>
        <v>7</v>
      </c>
      <c r="T86" s="22"/>
      <c r="U86" s="31"/>
      <c r="V86" s="51"/>
    </row>
    <row r="87" spans="1:22" ht="20.100000000000001" customHeight="1" x14ac:dyDescent="0.3">
      <c r="A87" s="44">
        <v>79</v>
      </c>
      <c r="B87" s="22">
        <f>+'Order Details Aug22-Mar23'!P87</f>
        <v>44901</v>
      </c>
      <c r="C87" s="23"/>
      <c r="D87" s="53" t="str">
        <f>+'Order Details Aug22-Mar23'!T87</f>
        <v>Parameshwari Devi</v>
      </c>
      <c r="E87" s="25"/>
      <c r="F87" s="183" t="str">
        <f>+'Order Details Aug22-Mar23'!D87</f>
        <v>DANTOP</v>
      </c>
      <c r="G87" s="184"/>
      <c r="H87" s="26" t="str">
        <f>+'Order Details Aug22-Mar23'!G87</f>
        <v>Gms</v>
      </c>
      <c r="I87" s="27">
        <f>+'Order Details Aug22-Mar23'!I87</f>
        <v>3000</v>
      </c>
      <c r="J87" s="28"/>
      <c r="K87" s="185" t="str">
        <f>+'Order Details Aug22-Mar23'!R87</f>
        <v>PO / NBF / 061222 / 05</v>
      </c>
      <c r="L87" s="186"/>
      <c r="M87" s="187"/>
      <c r="N87" s="31">
        <f>+'Order Details Aug22-Mar23'!F87*'Order Details Aug22-Mar23'!N87</f>
        <v>47436</v>
      </c>
      <c r="O87" s="25"/>
      <c r="P87" s="22"/>
      <c r="Q87" s="26"/>
      <c r="R87" s="26">
        <v>7</v>
      </c>
      <c r="S87" s="22">
        <f t="shared" si="4"/>
        <v>7</v>
      </c>
      <c r="T87" s="22"/>
      <c r="U87" s="31"/>
      <c r="V87" s="51"/>
    </row>
    <row r="88" spans="1:22" ht="20.100000000000001" customHeight="1" x14ac:dyDescent="0.3">
      <c r="A88" s="44">
        <v>80</v>
      </c>
      <c r="B88" s="22">
        <f>+'Order Details Aug22-Mar23'!P88</f>
        <v>44901</v>
      </c>
      <c r="C88" s="23"/>
      <c r="D88" s="53" t="str">
        <f>+'Order Details Aug22-Mar23'!T88</f>
        <v>Hackberryind, Kerala</v>
      </c>
      <c r="E88" s="25"/>
      <c r="F88" s="183" t="str">
        <f>+'Order Details Aug22-Mar23'!D88</f>
        <v>GOODBYE</v>
      </c>
      <c r="G88" s="184"/>
      <c r="H88" s="26" t="str">
        <f>+'Order Details Aug22-Mar23'!G88</f>
        <v>Ltr</v>
      </c>
      <c r="I88" s="27">
        <f>+'Order Details Aug22-Mar23'!I88</f>
        <v>60</v>
      </c>
      <c r="J88" s="28"/>
      <c r="K88" s="185" t="str">
        <f>+'Order Details Aug22-Mar23'!R88</f>
        <v>PO / NBF / 061222 / 06</v>
      </c>
      <c r="L88" s="186"/>
      <c r="M88" s="187"/>
      <c r="N88" s="31">
        <f>+'Order Details Aug22-Mar23'!F88*'Order Details Aug22-Mar23'!N88</f>
        <v>18000.0504</v>
      </c>
      <c r="O88" s="25"/>
      <c r="P88" s="22"/>
      <c r="Q88" s="26"/>
      <c r="R88" s="26">
        <v>3</v>
      </c>
      <c r="S88" s="22">
        <f t="shared" si="4"/>
        <v>3</v>
      </c>
      <c r="T88" s="22"/>
      <c r="U88" s="31"/>
      <c r="V88" s="51"/>
    </row>
    <row r="89" spans="1:22" ht="20.100000000000001" customHeight="1" x14ac:dyDescent="0.3">
      <c r="A89" s="44">
        <v>81</v>
      </c>
      <c r="B89" s="22">
        <f>+'Order Details Aug22-Mar23'!P89</f>
        <v>44904</v>
      </c>
      <c r="C89" s="23"/>
      <c r="D89" s="53" t="str">
        <f>+'Order Details Aug22-Mar23'!T89</f>
        <v>ABP Enterprises</v>
      </c>
      <c r="E89" s="25"/>
      <c r="F89" s="183" t="str">
        <f>+'Order Details Aug22-Mar23'!D89</f>
        <v xml:space="preserve">ALPHA D-3 PREVIT </v>
      </c>
      <c r="G89" s="184"/>
      <c r="H89" s="26" t="str">
        <f>+'Order Details Aug22-Mar23'!G89</f>
        <v>Kg</v>
      </c>
      <c r="I89" s="27">
        <f>+'Order Details Aug22-Mar23'!I89</f>
        <v>100</v>
      </c>
      <c r="J89" s="28"/>
      <c r="K89" s="185" t="str">
        <f>+'Order Details Aug22-Mar23'!R89</f>
        <v>PO / NBF / 091222 / 07</v>
      </c>
      <c r="L89" s="186"/>
      <c r="M89" s="187"/>
      <c r="N89" s="31">
        <f>+'Order Details Aug22-Mar23'!F89*'Order Details Aug22-Mar23'!N89</f>
        <v>79000</v>
      </c>
      <c r="O89" s="25"/>
      <c r="P89" s="22"/>
      <c r="Q89" s="26"/>
      <c r="R89" s="26">
        <v>45</v>
      </c>
      <c r="S89" s="22">
        <f t="shared" si="4"/>
        <v>45</v>
      </c>
      <c r="T89" s="22"/>
      <c r="U89" s="31"/>
      <c r="V89" s="51"/>
    </row>
    <row r="90" spans="1:22" ht="20.100000000000001" customHeight="1" x14ac:dyDescent="0.3">
      <c r="A90" s="44">
        <v>82</v>
      </c>
      <c r="B90" s="22">
        <f>+'Order Details Aug22-Mar23'!P90</f>
        <v>44904</v>
      </c>
      <c r="C90" s="23"/>
      <c r="D90" s="53" t="str">
        <f>+'Order Details Aug22-Mar23'!T90</f>
        <v>Healers Associates</v>
      </c>
      <c r="E90" s="25"/>
      <c r="F90" s="183" t="str">
        <f>+'Order Details Aug22-Mar23'!D90</f>
        <v xml:space="preserve">SPERMED </v>
      </c>
      <c r="G90" s="184"/>
      <c r="H90" s="26" t="str">
        <f>+'Order Details Aug22-Mar23'!G90</f>
        <v>Kg</v>
      </c>
      <c r="I90" s="27">
        <f>+'Order Details Aug22-Mar23'!I90</f>
        <v>30</v>
      </c>
      <c r="J90" s="28"/>
      <c r="K90" s="185" t="str">
        <f>+'Order Details Aug22-Mar23'!R90</f>
        <v>PO / NBF / 091222 / 08</v>
      </c>
      <c r="L90" s="186"/>
      <c r="M90" s="187"/>
      <c r="N90" s="31">
        <f>+'Order Details Aug22-Mar23'!F90*'Order Details Aug22-Mar23'!N90</f>
        <v>105000</v>
      </c>
      <c r="O90" s="25"/>
      <c r="P90" s="22"/>
      <c r="Q90" s="26"/>
      <c r="R90" s="26">
        <v>45</v>
      </c>
      <c r="S90" s="22">
        <f t="shared" si="4"/>
        <v>45</v>
      </c>
      <c r="T90" s="22"/>
      <c r="U90" s="31"/>
      <c r="V90" s="51"/>
    </row>
    <row r="91" spans="1:22" ht="20.100000000000001" customHeight="1" x14ac:dyDescent="0.3">
      <c r="A91" s="44">
        <v>83</v>
      </c>
      <c r="B91" s="22">
        <f>+'Order Details Aug22-Mar23'!P91</f>
        <v>44904</v>
      </c>
      <c r="C91" s="23"/>
      <c r="D91" s="53" t="str">
        <f>+'Order Details Aug22-Mar23'!T91</f>
        <v>Trouw Nutrition India Pvt Ltd</v>
      </c>
      <c r="E91" s="25"/>
      <c r="F91" s="183" t="str">
        <f>+'Order Details Aug22-Mar23'!D91</f>
        <v>TOXO - XL</v>
      </c>
      <c r="G91" s="184"/>
      <c r="H91" s="26" t="str">
        <f>+'Order Details Aug22-Mar23'!G91</f>
        <v>Kg</v>
      </c>
      <c r="I91" s="27">
        <f>+'Order Details Aug22-Mar23'!I91</f>
        <v>500</v>
      </c>
      <c r="J91" s="28"/>
      <c r="K91" s="185" t="str">
        <f>+'Order Details Aug22-Mar23'!R91</f>
        <v>PO / NBF / 091222 / 09</v>
      </c>
      <c r="L91" s="186"/>
      <c r="M91" s="187"/>
      <c r="N91" s="31">
        <f>+'Order Details Aug22-Mar23'!F91*'Order Details Aug22-Mar23'!N91</f>
        <v>115000</v>
      </c>
      <c r="O91" s="25"/>
      <c r="P91" s="22"/>
      <c r="Q91" s="26"/>
      <c r="R91" s="26">
        <v>45</v>
      </c>
      <c r="S91" s="22">
        <f t="shared" ref="S91:S100" si="5">P91+R91</f>
        <v>45</v>
      </c>
      <c r="T91" s="22"/>
      <c r="U91" s="31"/>
      <c r="V91" s="51"/>
    </row>
    <row r="92" spans="1:22" ht="20.100000000000001" customHeight="1" x14ac:dyDescent="0.3">
      <c r="A92" s="44">
        <v>84</v>
      </c>
      <c r="B92" s="22">
        <f>+'Order Details Aug22-Mar23'!P92</f>
        <v>44907</v>
      </c>
      <c r="C92" s="23"/>
      <c r="D92" s="53" t="str">
        <f>+'Order Details Aug22-Mar23'!T92</f>
        <v>Arevin Lifesciences Pvt Ltd</v>
      </c>
      <c r="E92" s="25"/>
      <c r="F92" s="183" t="str">
        <f>+'Order Details Aug22-Mar23'!D92</f>
        <v>MICROVIT-E 50 Promix (Adisseo)</v>
      </c>
      <c r="G92" s="184"/>
      <c r="H92" s="26" t="str">
        <f>+'Order Details Aug22-Mar23'!G92</f>
        <v>Kg</v>
      </c>
      <c r="I92" s="27">
        <f>+'Order Details Aug22-Mar23'!I92</f>
        <v>200</v>
      </c>
      <c r="J92" s="28"/>
      <c r="K92" s="185" t="str">
        <f>+'Order Details Aug22-Mar23'!R92</f>
        <v>PO / NBF / 121222 / 10</v>
      </c>
      <c r="L92" s="186"/>
      <c r="M92" s="187"/>
      <c r="N92" s="31">
        <f>+'Order Details Aug22-Mar23'!F92*'Order Details Aug22-Mar23'!N92</f>
        <v>192000</v>
      </c>
      <c r="O92" s="25"/>
      <c r="P92" s="22"/>
      <c r="Q92" s="26"/>
      <c r="R92" s="26">
        <v>45</v>
      </c>
      <c r="S92" s="22">
        <f t="shared" si="5"/>
        <v>45</v>
      </c>
      <c r="T92" s="22"/>
      <c r="U92" s="31"/>
      <c r="V92" s="51"/>
    </row>
    <row r="93" spans="1:22" ht="20.100000000000001" customHeight="1" x14ac:dyDescent="0.3">
      <c r="A93" s="44">
        <v>85</v>
      </c>
      <c r="B93" s="22">
        <f>+'Order Details Aug22-Mar23'!P93</f>
        <v>44911</v>
      </c>
      <c r="C93" s="23"/>
      <c r="D93" s="66" t="str">
        <f>+'Order Details Aug22-Mar23'!T93</f>
        <v>PO Done by Pijush Dey</v>
      </c>
      <c r="E93" s="25"/>
      <c r="F93" s="183" t="str">
        <f>+'Order Details Aug22-Mar23'!D93</f>
        <v>FULL FAT SOYA BEAN</v>
      </c>
      <c r="G93" s="184"/>
      <c r="H93" s="26" t="str">
        <f>+'Order Details Aug22-Mar23'!G93</f>
        <v>Kg</v>
      </c>
      <c r="I93" s="27">
        <f>+'Order Details Aug22-Mar23'!I93</f>
        <v>0</v>
      </c>
      <c r="J93" s="28"/>
      <c r="K93" s="185" t="str">
        <f>+'Order Details Aug22-Mar23'!R93</f>
        <v>PO / NBF / 161222 / 11</v>
      </c>
      <c r="L93" s="186"/>
      <c r="M93" s="187"/>
      <c r="N93" s="31">
        <f>+'Order Details Aug22-Mar23'!F93*'Order Details Aug22-Mar23'!N93</f>
        <v>0</v>
      </c>
      <c r="O93" s="25"/>
      <c r="P93" s="22"/>
      <c r="Q93" s="26"/>
      <c r="R93" s="61"/>
      <c r="S93" s="22">
        <f t="shared" si="5"/>
        <v>0</v>
      </c>
      <c r="T93" s="22"/>
      <c r="U93" s="31"/>
      <c r="V93" s="51"/>
    </row>
    <row r="94" spans="1:22" ht="20.100000000000001" customHeight="1" x14ac:dyDescent="0.3">
      <c r="A94" s="44">
        <v>86</v>
      </c>
      <c r="B94" s="22">
        <f>+'Order Details Aug22-Mar23'!P94</f>
        <v>44917</v>
      </c>
      <c r="C94" s="23"/>
      <c r="D94" s="53" t="str">
        <f>+'Order Details Aug22-Mar23'!T94</f>
        <v>Stats Speciality Products</v>
      </c>
      <c r="E94" s="25"/>
      <c r="F94" s="183" t="str">
        <f>+'Order Details Aug22-Mar23'!D94</f>
        <v>KEMZYME - XPF</v>
      </c>
      <c r="G94" s="184"/>
      <c r="H94" s="26" t="str">
        <f>+'Order Details Aug22-Mar23'!G94</f>
        <v>Kg</v>
      </c>
      <c r="I94" s="27">
        <f>+'Order Details Aug22-Mar23'!I94</f>
        <v>200</v>
      </c>
      <c r="J94" s="28"/>
      <c r="K94" s="185" t="str">
        <f>+'Order Details Aug22-Mar23'!R94</f>
        <v>PO / NBF / 221222 / 12</v>
      </c>
      <c r="L94" s="186"/>
      <c r="M94" s="187"/>
      <c r="N94" s="31">
        <f>+'Order Details Aug22-Mar23'!F94*'Order Details Aug22-Mar23'!N94</f>
        <v>52000</v>
      </c>
      <c r="O94" s="25"/>
      <c r="P94" s="22"/>
      <c r="Q94" s="26"/>
      <c r="R94" s="26">
        <v>45</v>
      </c>
      <c r="S94" s="22">
        <f t="shared" si="5"/>
        <v>45</v>
      </c>
      <c r="T94" s="22"/>
      <c r="U94" s="31"/>
      <c r="V94" s="51"/>
    </row>
    <row r="95" spans="1:22" ht="20.100000000000001" customHeight="1" x14ac:dyDescent="0.3">
      <c r="A95" s="44">
        <v>87</v>
      </c>
      <c r="B95" s="22">
        <f>+'Order Details Aug22-Mar23'!P95</f>
        <v>44917</v>
      </c>
      <c r="C95" s="23"/>
      <c r="D95" s="53" t="str">
        <f>+'Order Details Aug22-Mar23'!T95</f>
        <v>Ves Spa, Barasat</v>
      </c>
      <c r="E95" s="25"/>
      <c r="F95" s="183" t="str">
        <f>+'Order Details Aug22-Mar23'!D95</f>
        <v>VES - CHOL 60% (Vesper)</v>
      </c>
      <c r="G95" s="184"/>
      <c r="H95" s="26" t="str">
        <f>+'Order Details Aug22-Mar23'!G95</f>
        <v>Kg</v>
      </c>
      <c r="I95" s="27">
        <f>+'Order Details Aug22-Mar23'!I95</f>
        <v>1000</v>
      </c>
      <c r="J95" s="28"/>
      <c r="K95" s="185" t="str">
        <f>+'Order Details Aug22-Mar23'!R95</f>
        <v>PO / NBF / 221222 / 13</v>
      </c>
      <c r="L95" s="186"/>
      <c r="M95" s="187"/>
      <c r="N95" s="31">
        <f>+'Order Details Aug22-Mar23'!F95*'Order Details Aug22-Mar23'!N95</f>
        <v>90000</v>
      </c>
      <c r="O95" s="25"/>
      <c r="P95" s="22"/>
      <c r="Q95" s="26"/>
      <c r="R95" s="26">
        <v>45</v>
      </c>
      <c r="S95" s="22">
        <f t="shared" si="5"/>
        <v>45</v>
      </c>
      <c r="T95" s="22"/>
      <c r="U95" s="31"/>
      <c r="V95" s="51"/>
    </row>
    <row r="96" spans="1:22" ht="20.100000000000001" customHeight="1" x14ac:dyDescent="0.3">
      <c r="A96" s="44">
        <v>88</v>
      </c>
      <c r="B96" s="22">
        <f>+'Order Details Aug22-Mar23'!P96</f>
        <v>44917</v>
      </c>
      <c r="C96" s="23"/>
      <c r="D96" s="53" t="str">
        <f>+'Order Details Aug22-Mar23'!T96</f>
        <v>Das Drug Centre, Habra</v>
      </c>
      <c r="E96" s="25"/>
      <c r="F96" s="183" t="str">
        <f>+'Order Details Aug22-Mar23'!D96</f>
        <v>STODI</v>
      </c>
      <c r="G96" s="184"/>
      <c r="H96" s="26" t="str">
        <f>+'Order Details Aug22-Mar23'!G96</f>
        <v>Kg</v>
      </c>
      <c r="I96" s="27">
        <f>+'Order Details Aug22-Mar23'!I96</f>
        <v>300</v>
      </c>
      <c r="J96" s="28"/>
      <c r="K96" s="185" t="str">
        <f>+'Order Details Aug22-Mar23'!R96</f>
        <v>PO / NBF / 221222 / 14</v>
      </c>
      <c r="L96" s="186"/>
      <c r="M96" s="187"/>
      <c r="N96" s="31">
        <f>+'Order Details Aug22-Mar23'!F96*'Order Details Aug22-Mar23'!N96</f>
        <v>21300</v>
      </c>
      <c r="O96" s="25"/>
      <c r="P96" s="22"/>
      <c r="Q96" s="26"/>
      <c r="R96" s="26">
        <v>45</v>
      </c>
      <c r="S96" s="22">
        <f t="shared" si="5"/>
        <v>45</v>
      </c>
      <c r="T96" s="22"/>
      <c r="U96" s="31"/>
      <c r="V96" s="51"/>
    </row>
    <row r="97" spans="1:22" ht="20.100000000000001" customHeight="1" x14ac:dyDescent="0.3">
      <c r="A97" s="44">
        <v>89</v>
      </c>
      <c r="B97" s="22">
        <f>+'Order Details Aug22-Mar23'!P97</f>
        <v>44917</v>
      </c>
      <c r="C97" s="23"/>
      <c r="D97" s="53" t="str">
        <f>+'Order Details Aug22-Mar23'!T97</f>
        <v>APC Nutrients Limited</v>
      </c>
      <c r="E97" s="25"/>
      <c r="F97" s="183" t="str">
        <f>+'Order Details Aug22-Mar23'!D97</f>
        <v>VOLAMEL</v>
      </c>
      <c r="G97" s="184"/>
      <c r="H97" s="26" t="str">
        <f>+'Order Details Aug22-Mar23'!G97</f>
        <v>Kg</v>
      </c>
      <c r="I97" s="27">
        <f>+'Order Details Aug22-Mar23'!I97</f>
        <v>500</v>
      </c>
      <c r="J97" s="28"/>
      <c r="K97" s="185" t="str">
        <f>+'Order Details Aug22-Mar23'!R97</f>
        <v>PO / NBF / 221222 / 15</v>
      </c>
      <c r="L97" s="186"/>
      <c r="M97" s="187"/>
      <c r="N97" s="31">
        <f>+'Order Details Aug22-Mar23'!F97*'Order Details Aug22-Mar23'!N97</f>
        <v>285000</v>
      </c>
      <c r="O97" s="25"/>
      <c r="P97" s="22"/>
      <c r="Q97" s="26"/>
      <c r="R97" s="26">
        <v>45</v>
      </c>
      <c r="S97" s="22">
        <f t="shared" si="5"/>
        <v>45</v>
      </c>
      <c r="T97" s="22"/>
      <c r="U97" s="31"/>
      <c r="V97" s="51"/>
    </row>
    <row r="98" spans="1:22" ht="20.100000000000001" customHeight="1" x14ac:dyDescent="0.3">
      <c r="A98" s="44">
        <v>90</v>
      </c>
      <c r="B98" s="22">
        <f>+'Order Details Aug22-Mar23'!P98</f>
        <v>44919</v>
      </c>
      <c r="C98" s="23"/>
      <c r="D98" s="53" t="str">
        <f>+'Order Details Aug22-Mar23'!T98</f>
        <v>Avitech Nutrition Pvt Ltd</v>
      </c>
      <c r="E98" s="25"/>
      <c r="F98" s="183" t="str">
        <f>+'Order Details Aug22-Mar23'!D98</f>
        <v>BREEDER VITAMIN PREMIX-HYD</v>
      </c>
      <c r="G98" s="184"/>
      <c r="H98" s="26" t="str">
        <f>+'Order Details Aug22-Mar23'!G98</f>
        <v>Kg</v>
      </c>
      <c r="I98" s="27">
        <f>+'Order Details Aug22-Mar23'!I98</f>
        <v>500</v>
      </c>
      <c r="J98" s="28"/>
      <c r="K98" s="185" t="str">
        <f>+'Order Details Aug22-Mar23'!R98</f>
        <v>PO / NBF / 241222 / 16</v>
      </c>
      <c r="L98" s="186"/>
      <c r="M98" s="187"/>
      <c r="N98" s="31">
        <f>+'Order Details Aug22-Mar23'!F98*'Order Details Aug22-Mar23'!N98</f>
        <v>362000</v>
      </c>
      <c r="O98" s="25"/>
      <c r="P98" s="22"/>
      <c r="Q98" s="26"/>
      <c r="R98" s="26">
        <v>45</v>
      </c>
      <c r="S98" s="22">
        <f t="shared" si="5"/>
        <v>45</v>
      </c>
      <c r="T98" s="22"/>
      <c r="U98" s="31"/>
      <c r="V98" s="51"/>
    </row>
    <row r="99" spans="1:22" ht="20.100000000000001" customHeight="1" x14ac:dyDescent="0.3">
      <c r="A99" s="44">
        <v>91</v>
      </c>
      <c r="B99" s="22">
        <f>+'Order Details Aug22-Mar23'!P99</f>
        <v>44919</v>
      </c>
      <c r="C99" s="23"/>
      <c r="D99" s="53" t="str">
        <f>+'Order Details Aug22-Mar23'!T99</f>
        <v>Stats Speciality Products</v>
      </c>
      <c r="E99" s="25"/>
      <c r="F99" s="183" t="str">
        <f>+'Order Details Aug22-Mar23'!D99</f>
        <v>CLOSTAT - 12 / 365</v>
      </c>
      <c r="G99" s="184"/>
      <c r="H99" s="26" t="str">
        <f>+'Order Details Aug22-Mar23'!G99</f>
        <v>Kg</v>
      </c>
      <c r="I99" s="27">
        <f>+'Order Details Aug22-Mar23'!I99</f>
        <v>200</v>
      </c>
      <c r="J99" s="28"/>
      <c r="K99" s="185" t="str">
        <f>+'Order Details Aug22-Mar23'!R99</f>
        <v>PO / NBF / 241222 / 17</v>
      </c>
      <c r="L99" s="186"/>
      <c r="M99" s="187"/>
      <c r="N99" s="31">
        <f>+'Order Details Aug22-Mar23'!F99*'Order Details Aug22-Mar23'!N99</f>
        <v>112000</v>
      </c>
      <c r="O99" s="25"/>
      <c r="P99" s="22"/>
      <c r="Q99" s="26"/>
      <c r="R99" s="26">
        <v>45</v>
      </c>
      <c r="S99" s="22">
        <f t="shared" si="5"/>
        <v>45</v>
      </c>
      <c r="T99" s="22"/>
      <c r="U99" s="31"/>
      <c r="V99" s="51"/>
    </row>
    <row r="100" spans="1:22" ht="20.100000000000001" customHeight="1" x14ac:dyDescent="0.3">
      <c r="A100" s="44">
        <v>92</v>
      </c>
      <c r="B100" s="22">
        <f>+'Order Details Aug22-Mar23'!P100</f>
        <v>44924</v>
      </c>
      <c r="C100" s="23"/>
      <c r="D100" s="53" t="str">
        <f>+'Order Details Aug22-Mar23'!T100</f>
        <v>Alltech Biotechnology Pvt Ltd</v>
      </c>
      <c r="E100" s="25"/>
      <c r="F100" s="183" t="str">
        <f>+'Order Details Aug22-Mar23'!D100</f>
        <v>BIOPLEX POULTRY PAK</v>
      </c>
      <c r="G100" s="184"/>
      <c r="H100" s="26" t="str">
        <f>+'Order Details Aug22-Mar23'!G100</f>
        <v>Kg</v>
      </c>
      <c r="I100" s="27">
        <f>+'Order Details Aug22-Mar23'!I100</f>
        <v>500</v>
      </c>
      <c r="J100" s="28"/>
      <c r="K100" s="185" t="str">
        <f>+'Order Details Aug22-Mar23'!R100</f>
        <v>PO / NBF / 291222 / 18</v>
      </c>
      <c r="L100" s="186"/>
      <c r="M100" s="187"/>
      <c r="N100" s="31">
        <f>+'Order Details Aug22-Mar23'!F100*'Order Details Aug22-Mar23'!N100</f>
        <v>110000</v>
      </c>
      <c r="O100" s="25"/>
      <c r="P100" s="22"/>
      <c r="Q100" s="26"/>
      <c r="R100" s="61">
        <v>7</v>
      </c>
      <c r="S100" s="22">
        <f t="shared" si="5"/>
        <v>7</v>
      </c>
      <c r="T100" s="22"/>
      <c r="U100" s="31"/>
      <c r="V100" s="51"/>
    </row>
    <row r="101" spans="1:22" ht="20.100000000000001" customHeight="1" x14ac:dyDescent="0.3">
      <c r="A101" s="44">
        <v>93</v>
      </c>
      <c r="B101" s="22">
        <f>+'Order Details Aug22-Mar23'!P101</f>
        <v>44924</v>
      </c>
      <c r="C101" s="23"/>
      <c r="D101" s="53" t="str">
        <f>+'Order Details Aug22-Mar23'!T101</f>
        <v>Varsha Multitech, Bangalore</v>
      </c>
      <c r="E101" s="25"/>
      <c r="F101" s="183" t="str">
        <f>+'Order Details Aug22-Mar23'!D101</f>
        <v>HEPATOCARE PREMIX</v>
      </c>
      <c r="G101" s="184"/>
      <c r="H101" s="26" t="str">
        <f>+'Order Details Aug22-Mar23'!G101</f>
        <v>Kg</v>
      </c>
      <c r="I101" s="27">
        <f>+'Order Details Aug22-Mar23'!I101</f>
        <v>500</v>
      </c>
      <c r="J101" s="28"/>
      <c r="K101" s="185" t="str">
        <f>+'Order Details Aug22-Mar23'!R101</f>
        <v>PO / NBF / 291222 / 19</v>
      </c>
      <c r="L101" s="186"/>
      <c r="M101" s="187"/>
      <c r="N101" s="31">
        <f>+'Order Details Aug22-Mar23'!F101*'Order Details Aug22-Mar23'!N101</f>
        <v>25000</v>
      </c>
      <c r="O101" s="25"/>
      <c r="P101" s="22"/>
      <c r="Q101" s="26"/>
      <c r="R101" s="26">
        <v>45</v>
      </c>
      <c r="S101" s="22">
        <f t="shared" ref="S101:S120" si="6">P101+R101</f>
        <v>45</v>
      </c>
      <c r="T101" s="22"/>
      <c r="U101" s="31"/>
      <c r="V101" s="51"/>
    </row>
    <row r="102" spans="1:22" ht="20.100000000000001" customHeight="1" x14ac:dyDescent="0.3">
      <c r="A102" s="64">
        <v>94</v>
      </c>
      <c r="B102" s="22">
        <f>+'Order Details Aug22-Mar23'!P102</f>
        <v>44929</v>
      </c>
      <c r="C102" s="23"/>
      <c r="D102" s="53" t="str">
        <f>+'Order Details Aug22-Mar23'!T102</f>
        <v>Stallen South Asia Pvt Ltd</v>
      </c>
      <c r="E102" s="25"/>
      <c r="F102" s="183" t="str">
        <f>+'Order Details Aug22-Mar23'!D102</f>
        <v>FORLUTIN - 10%</v>
      </c>
      <c r="G102" s="184"/>
      <c r="H102" s="26" t="str">
        <f>+'Order Details Aug22-Mar23'!G102</f>
        <v>Kg</v>
      </c>
      <c r="I102" s="27">
        <f>+'Order Details Aug22-Mar23'!I102</f>
        <v>250</v>
      </c>
      <c r="J102" s="28"/>
      <c r="K102" s="185" t="str">
        <f>+'Order Details Aug22-Mar23'!R102</f>
        <v>PO / NBF / 030123 / 01</v>
      </c>
      <c r="L102" s="186"/>
      <c r="M102" s="187"/>
      <c r="N102" s="31">
        <f>+'Order Details Aug22-Mar23'!F102*'Order Details Aug22-Mar23'!N102</f>
        <v>176250</v>
      </c>
      <c r="O102" s="25"/>
      <c r="P102" s="22"/>
      <c r="Q102" s="26"/>
      <c r="R102" s="26">
        <v>45</v>
      </c>
      <c r="S102" s="22">
        <f t="shared" si="6"/>
        <v>45</v>
      </c>
      <c r="T102" s="22"/>
      <c r="U102" s="31"/>
      <c r="V102" s="51"/>
    </row>
    <row r="103" spans="1:22" ht="20.100000000000001" customHeight="1" x14ac:dyDescent="0.3">
      <c r="A103" s="44">
        <v>95</v>
      </c>
      <c r="B103" s="22">
        <f>+'Order Details Aug22-Mar23'!P103</f>
        <v>44935</v>
      </c>
      <c r="C103" s="23"/>
      <c r="D103" s="53" t="str">
        <f>+'Order Details Aug22-Mar23'!T103</f>
        <v>B V Biocrop - Hitech Division</v>
      </c>
      <c r="E103" s="25"/>
      <c r="F103" s="183" t="str">
        <f>+'Order Details Aug22-Mar23'!D103</f>
        <v>B- 904</v>
      </c>
      <c r="G103" s="184"/>
      <c r="H103" s="26" t="str">
        <f>+'Order Details Aug22-Mar23'!G103</f>
        <v>Ltr</v>
      </c>
      <c r="I103" s="27">
        <f>+'Order Details Aug22-Mar23'!I103</f>
        <v>60</v>
      </c>
      <c r="J103" s="28"/>
      <c r="K103" s="185" t="str">
        <f>+'Order Details Aug22-Mar23'!R103</f>
        <v>PO / NBF / 090123 / 02</v>
      </c>
      <c r="L103" s="186"/>
      <c r="M103" s="187"/>
      <c r="N103" s="31">
        <f>+'Order Details Aug22-Mar23'!F103*'Order Details Aug22-Mar23'!N103</f>
        <v>46628.88</v>
      </c>
      <c r="O103" s="25"/>
      <c r="P103" s="22"/>
      <c r="Q103" s="26"/>
      <c r="R103" s="61">
        <v>7</v>
      </c>
      <c r="S103" s="22">
        <f t="shared" si="6"/>
        <v>7</v>
      </c>
      <c r="T103" s="22"/>
      <c r="U103" s="31"/>
      <c r="V103" s="51"/>
    </row>
    <row r="104" spans="1:22" ht="20.100000000000001" customHeight="1" x14ac:dyDescent="0.3">
      <c r="A104" s="44">
        <v>96</v>
      </c>
      <c r="B104" s="22">
        <f>+'Order Details Aug22-Mar23'!P104</f>
        <v>44935</v>
      </c>
      <c r="C104" s="23"/>
      <c r="D104" s="53" t="str">
        <f>+'Order Details Aug22-Mar23'!T104</f>
        <v>B V Biocrop - Hitech Division</v>
      </c>
      <c r="E104" s="25"/>
      <c r="F104" s="183" t="str">
        <f>+'Order Details Aug22-Mar23'!D104</f>
        <v xml:space="preserve">BIO BUSTER PLUS </v>
      </c>
      <c r="G104" s="184"/>
      <c r="H104" s="26" t="str">
        <f>+'Order Details Aug22-Mar23'!G104</f>
        <v>Gms</v>
      </c>
      <c r="I104" s="27">
        <f>+'Order Details Aug22-Mar23'!I104</f>
        <v>6000</v>
      </c>
      <c r="J104" s="28"/>
      <c r="K104" s="185" t="str">
        <f>+'Order Details Aug22-Mar23'!R104</f>
        <v>PO / NBF / 090123 / 02</v>
      </c>
      <c r="L104" s="186"/>
      <c r="M104" s="187"/>
      <c r="N104" s="31">
        <f>+'Order Details Aug22-Mar23'!F104*'Order Details Aug22-Mar23'!N104</f>
        <v>5734.7999999999993</v>
      </c>
      <c r="O104" s="25"/>
      <c r="P104" s="22"/>
      <c r="Q104" s="26"/>
      <c r="R104" s="61">
        <v>7</v>
      </c>
      <c r="S104" s="22">
        <f t="shared" si="6"/>
        <v>7</v>
      </c>
      <c r="T104" s="22"/>
      <c r="U104" s="31"/>
      <c r="V104" s="51"/>
    </row>
    <row r="105" spans="1:22" ht="20.100000000000001" customHeight="1" x14ac:dyDescent="0.3">
      <c r="A105" s="44">
        <v>97</v>
      </c>
      <c r="B105" s="22">
        <f>+'Order Details Aug22-Mar23'!P105</f>
        <v>44935</v>
      </c>
      <c r="C105" s="23"/>
      <c r="D105" s="53" t="str">
        <f>+'Order Details Aug22-Mar23'!T105</f>
        <v>B V Biocrop - Hitech Division</v>
      </c>
      <c r="E105" s="25"/>
      <c r="F105" s="183" t="str">
        <f>+'Order Details Aug22-Mar23'!D105</f>
        <v>TRACEMIN-BB</v>
      </c>
      <c r="G105" s="184"/>
      <c r="H105" s="26" t="str">
        <f>+'Order Details Aug22-Mar23'!G105</f>
        <v>Kg</v>
      </c>
      <c r="I105" s="27">
        <f>+'Order Details Aug22-Mar23'!I105</f>
        <v>510</v>
      </c>
      <c r="J105" s="28"/>
      <c r="K105" s="185" t="str">
        <f>+'Order Details Aug22-Mar23'!R105</f>
        <v>PO / NBF / 090123 / 02</v>
      </c>
      <c r="L105" s="186"/>
      <c r="M105" s="187"/>
      <c r="N105" s="31">
        <f>+'Order Details Aug22-Mar23'!F105*'Order Details Aug22-Mar23'!N105</f>
        <v>29750</v>
      </c>
      <c r="O105" s="25"/>
      <c r="P105" s="22"/>
      <c r="Q105" s="26"/>
      <c r="R105" s="61">
        <v>7</v>
      </c>
      <c r="S105" s="22">
        <f t="shared" si="6"/>
        <v>7</v>
      </c>
      <c r="T105" s="22"/>
      <c r="U105" s="31"/>
      <c r="V105" s="51"/>
    </row>
    <row r="106" spans="1:22" ht="20.100000000000001" customHeight="1" x14ac:dyDescent="0.3">
      <c r="A106" s="44">
        <v>98</v>
      </c>
      <c r="B106" s="22">
        <f>+'Order Details Aug22-Mar23'!P106</f>
        <v>44935</v>
      </c>
      <c r="C106" s="23"/>
      <c r="D106" s="53" t="str">
        <f>+'Order Details Aug22-Mar23'!T106</f>
        <v>Hester Biosciences Limited</v>
      </c>
      <c r="E106" s="25"/>
      <c r="F106" s="183" t="str">
        <f>+'Order Details Aug22-Mar23'!D106</f>
        <v>INACTIVATED PULLET ND (LPAI)</v>
      </c>
      <c r="G106" s="184"/>
      <c r="H106" s="26" t="str">
        <f>+'Order Details Aug22-Mar23'!G106</f>
        <v>Dose</v>
      </c>
      <c r="I106" s="27">
        <f>+'Order Details Aug22-Mar23'!I106</f>
        <v>25000</v>
      </c>
      <c r="J106" s="28"/>
      <c r="K106" s="185" t="str">
        <f>+'Order Details Aug22-Mar23'!R106</f>
        <v>PO / NBF / 090123 / 03</v>
      </c>
      <c r="L106" s="186"/>
      <c r="M106" s="187"/>
      <c r="N106" s="31">
        <f>+'Order Details Aug22-Mar23'!F106*'Order Details Aug22-Mar23'!N106</f>
        <v>23598.75</v>
      </c>
      <c r="O106" s="25"/>
      <c r="P106" s="22"/>
      <c r="Q106" s="26"/>
      <c r="R106" s="67">
        <v>7</v>
      </c>
      <c r="S106" s="22">
        <f t="shared" si="6"/>
        <v>7</v>
      </c>
      <c r="T106" s="22"/>
      <c r="U106" s="31"/>
      <c r="V106" s="51"/>
    </row>
    <row r="107" spans="1:22" ht="20.100000000000001" customHeight="1" x14ac:dyDescent="0.3">
      <c r="A107" s="44">
        <v>99</v>
      </c>
      <c r="B107" s="22">
        <f>+'Order Details Aug22-Mar23'!P107</f>
        <v>44935</v>
      </c>
      <c r="C107" s="23"/>
      <c r="D107" s="53" t="str">
        <f>+'Order Details Aug22-Mar23'!T107</f>
        <v>Hester Biosciences Limited</v>
      </c>
      <c r="E107" s="25"/>
      <c r="F107" s="183" t="str">
        <f>+'Order Details Aug22-Mar23'!D107</f>
        <v>INACTIVATED ND (HPAI)</v>
      </c>
      <c r="G107" s="184"/>
      <c r="H107" s="26" t="str">
        <f>+'Order Details Aug22-Mar23'!G107</f>
        <v>Dose</v>
      </c>
      <c r="I107" s="27">
        <f>+'Order Details Aug22-Mar23'!I107</f>
        <v>25000</v>
      </c>
      <c r="J107" s="28"/>
      <c r="K107" s="185" t="str">
        <f>+'Order Details Aug22-Mar23'!R107</f>
        <v>PO / NBF / 090123 / 03</v>
      </c>
      <c r="L107" s="186"/>
      <c r="M107" s="187"/>
      <c r="N107" s="31">
        <f>+'Order Details Aug22-Mar23'!F107*'Order Details Aug22-Mar23'!N107</f>
        <v>63656.25</v>
      </c>
      <c r="O107" s="25"/>
      <c r="P107" s="22"/>
      <c r="Q107" s="26"/>
      <c r="R107" s="67">
        <v>7</v>
      </c>
      <c r="S107" s="22">
        <f t="shared" si="6"/>
        <v>7</v>
      </c>
      <c r="T107" s="22"/>
      <c r="U107" s="31"/>
      <c r="V107" s="51"/>
    </row>
    <row r="108" spans="1:22" ht="20.100000000000001" customHeight="1" x14ac:dyDescent="0.3">
      <c r="A108" s="44">
        <v>100</v>
      </c>
      <c r="B108" s="22">
        <f>+'Order Details Aug22-Mar23'!P108</f>
        <v>44935</v>
      </c>
      <c r="C108" s="23"/>
      <c r="D108" s="53" t="str">
        <f>+'Order Details Aug22-Mar23'!T108</f>
        <v>Tara Enterprises, Hyderabad</v>
      </c>
      <c r="E108" s="25"/>
      <c r="F108" s="183" t="str">
        <f>+'Order Details Aug22-Mar23'!D108</f>
        <v>OXY-LA INJECTION</v>
      </c>
      <c r="G108" s="184"/>
      <c r="H108" s="26" t="str">
        <f>+'Order Details Aug22-Mar23'!G108</f>
        <v>ML</v>
      </c>
      <c r="I108" s="27">
        <f>+'Order Details Aug22-Mar23'!I108</f>
        <v>5000</v>
      </c>
      <c r="J108" s="28"/>
      <c r="K108" s="185" t="str">
        <f>+'Order Details Aug22-Mar23'!R108</f>
        <v>PO / NBF / 090123 / 04</v>
      </c>
      <c r="L108" s="186"/>
      <c r="M108" s="187"/>
      <c r="N108" s="31">
        <f>+'Order Details Aug22-Mar23'!F108*'Order Details Aug22-Mar23'!N108</f>
        <v>12180</v>
      </c>
      <c r="O108" s="25"/>
      <c r="P108" s="22"/>
      <c r="Q108" s="26"/>
      <c r="R108" s="26">
        <v>45</v>
      </c>
      <c r="S108" s="22">
        <f t="shared" si="6"/>
        <v>45</v>
      </c>
      <c r="T108" s="22"/>
      <c r="U108" s="31"/>
      <c r="V108" s="51"/>
    </row>
    <row r="109" spans="1:22" ht="20.100000000000001" customHeight="1" x14ac:dyDescent="0.3">
      <c r="A109" s="44">
        <v>101</v>
      </c>
      <c r="B109" s="22">
        <f>+'Order Details Aug22-Mar23'!P109</f>
        <v>44935</v>
      </c>
      <c r="C109" s="23"/>
      <c r="D109" s="53" t="str">
        <f>+'Order Details Aug22-Mar23'!T109</f>
        <v>Tara Enterprises, Hyderabad</v>
      </c>
      <c r="E109" s="25"/>
      <c r="F109" s="183" t="str">
        <f>+'Order Details Aug22-Mar23'!D109</f>
        <v>HIPRAVIHAR Clon H-120</v>
      </c>
      <c r="G109" s="184"/>
      <c r="H109" s="26" t="str">
        <f>+'Order Details Aug22-Mar23'!G109</f>
        <v>Dose</v>
      </c>
      <c r="I109" s="27">
        <f>+'Order Details Aug22-Mar23'!I109</f>
        <v>150000</v>
      </c>
      <c r="J109" s="28"/>
      <c r="K109" s="185" t="str">
        <f>+'Order Details Aug22-Mar23'!R109</f>
        <v>PO / NBF / 090123 / 04</v>
      </c>
      <c r="L109" s="186"/>
      <c r="M109" s="187"/>
      <c r="N109" s="31">
        <f>+'Order Details Aug22-Mar23'!F109*'Order Details Aug22-Mar23'!N109</f>
        <v>34650</v>
      </c>
      <c r="O109" s="25"/>
      <c r="P109" s="22"/>
      <c r="Q109" s="26"/>
      <c r="R109" s="26">
        <v>45</v>
      </c>
      <c r="S109" s="22">
        <f t="shared" si="6"/>
        <v>45</v>
      </c>
      <c r="T109" s="22"/>
      <c r="U109" s="31"/>
      <c r="V109" s="51"/>
    </row>
    <row r="110" spans="1:22" ht="20.100000000000001" customHeight="1" x14ac:dyDescent="0.3">
      <c r="A110" s="44">
        <v>102</v>
      </c>
      <c r="B110" s="22">
        <f>+'Order Details Aug22-Mar23'!P110</f>
        <v>44935</v>
      </c>
      <c r="C110" s="23"/>
      <c r="D110" s="53" t="str">
        <f>+'Order Details Aug22-Mar23'!T110</f>
        <v>Venkateshwara Hatcheries</v>
      </c>
      <c r="E110" s="25"/>
      <c r="F110" s="183" t="str">
        <f>+'Order Details Aug22-Mar23'!D110</f>
        <v xml:space="preserve">IBD KILLED VAC </v>
      </c>
      <c r="G110" s="184"/>
      <c r="H110" s="26" t="str">
        <f>+'Order Details Aug22-Mar23'!G110</f>
        <v>Dose</v>
      </c>
      <c r="I110" s="27">
        <f>+'Order Details Aug22-Mar23'!I110</f>
        <v>25000</v>
      </c>
      <c r="J110" s="28"/>
      <c r="K110" s="185" t="str">
        <f>+'Order Details Aug22-Mar23'!R110</f>
        <v>PO / NBF / 090123 / 05</v>
      </c>
      <c r="L110" s="186"/>
      <c r="M110" s="187"/>
      <c r="N110" s="31">
        <f>+'Order Details Aug22-Mar23'!F110*'Order Details Aug22-Mar23'!N110</f>
        <v>45478.125</v>
      </c>
      <c r="O110" s="25"/>
      <c r="P110" s="22"/>
      <c r="Q110" s="26"/>
      <c r="R110" s="61">
        <v>7</v>
      </c>
      <c r="S110" s="22">
        <f t="shared" si="6"/>
        <v>7</v>
      </c>
      <c r="T110" s="22"/>
      <c r="U110" s="31"/>
      <c r="V110" s="51"/>
    </row>
    <row r="111" spans="1:22" ht="20.100000000000001" customHeight="1" x14ac:dyDescent="0.3">
      <c r="A111" s="44">
        <v>103</v>
      </c>
      <c r="B111" s="22">
        <f>+'Order Details Aug22-Mar23'!P111</f>
        <v>44935</v>
      </c>
      <c r="C111" s="23"/>
      <c r="D111" s="53" t="str">
        <f>+'Order Details Aug22-Mar23'!T111</f>
        <v>Venkateshwara Hatcheries</v>
      </c>
      <c r="E111" s="25"/>
      <c r="F111" s="183" t="str">
        <f>+'Order Details Aug22-Mar23'!D111</f>
        <v xml:space="preserve">IBH KILLED VAC </v>
      </c>
      <c r="G111" s="184"/>
      <c r="H111" s="26" t="str">
        <f>+'Order Details Aug22-Mar23'!G111</f>
        <v>Dose</v>
      </c>
      <c r="I111" s="27">
        <f>+'Order Details Aug22-Mar23'!I111</f>
        <v>25000</v>
      </c>
      <c r="J111" s="28"/>
      <c r="K111" s="185" t="str">
        <f>+'Order Details Aug22-Mar23'!R111</f>
        <v>PO / NBF / 090123 / 05</v>
      </c>
      <c r="L111" s="186"/>
      <c r="M111" s="187"/>
      <c r="N111" s="31">
        <f>+'Order Details Aug22-Mar23'!F111*'Order Details Aug22-Mar23'!N111</f>
        <v>27562.5</v>
      </c>
      <c r="O111" s="25"/>
      <c r="P111" s="22"/>
      <c r="Q111" s="26"/>
      <c r="R111" s="61">
        <v>7</v>
      </c>
      <c r="S111" s="22">
        <f t="shared" si="6"/>
        <v>7</v>
      </c>
      <c r="T111" s="22"/>
      <c r="U111" s="31"/>
      <c r="V111" s="51"/>
    </row>
    <row r="112" spans="1:22" ht="20.100000000000001" customHeight="1" x14ac:dyDescent="0.3">
      <c r="A112" s="44">
        <v>104</v>
      </c>
      <c r="B112" s="22">
        <f>+'Order Details Aug22-Mar23'!P112</f>
        <v>44935</v>
      </c>
      <c r="C112" s="23"/>
      <c r="D112" s="53" t="str">
        <f>+'Order Details Aug22-Mar23'!T112</f>
        <v>Venkateshwara Hatcheries</v>
      </c>
      <c r="E112" s="25"/>
      <c r="F112" s="183" t="str">
        <f>+'Order Details Aug22-Mar23'!D112</f>
        <v>IB ASTRO (AEIBH) KILLED VAC</v>
      </c>
      <c r="G112" s="184"/>
      <c r="H112" s="26" t="str">
        <f>+'Order Details Aug22-Mar23'!G112</f>
        <v>Dose</v>
      </c>
      <c r="I112" s="27">
        <f>+'Order Details Aug22-Mar23'!I112</f>
        <v>25000</v>
      </c>
      <c r="J112" s="28"/>
      <c r="K112" s="185" t="str">
        <f>+'Order Details Aug22-Mar23'!R112</f>
        <v>PO / NBF / 090123 / 05</v>
      </c>
      <c r="L112" s="186"/>
      <c r="M112" s="187"/>
      <c r="N112" s="31">
        <f>+'Order Details Aug22-Mar23'!F112*'Order Details Aug22-Mar23'!N112</f>
        <v>81375</v>
      </c>
      <c r="O112" s="25"/>
      <c r="P112" s="22"/>
      <c r="Q112" s="26"/>
      <c r="R112" s="61">
        <v>7</v>
      </c>
      <c r="S112" s="22">
        <f t="shared" si="6"/>
        <v>7</v>
      </c>
      <c r="T112" s="22"/>
      <c r="U112" s="31"/>
      <c r="V112" s="51"/>
    </row>
    <row r="113" spans="1:22" ht="20.100000000000001" customHeight="1" x14ac:dyDescent="0.3">
      <c r="A113" s="44">
        <v>105</v>
      </c>
      <c r="B113" s="22">
        <f>+'Order Details Aug22-Mar23'!P113</f>
        <v>44935</v>
      </c>
      <c r="C113" s="23"/>
      <c r="D113" s="53" t="str">
        <f>+'Order Details Aug22-Mar23'!T113</f>
        <v>Venkateshwara Hatcheries</v>
      </c>
      <c r="E113" s="25"/>
      <c r="F113" s="183" t="str">
        <f>+'Order Details Aug22-Mar23'!D113</f>
        <v xml:space="preserve">VH V- 4K (4 Way) KILLED VAC </v>
      </c>
      <c r="G113" s="184"/>
      <c r="H113" s="26" t="str">
        <f>+'Order Details Aug22-Mar23'!G113</f>
        <v>Dose</v>
      </c>
      <c r="I113" s="27">
        <f>+'Order Details Aug22-Mar23'!I113</f>
        <v>25000</v>
      </c>
      <c r="J113" s="28"/>
      <c r="K113" s="185" t="str">
        <f>+'Order Details Aug22-Mar23'!R113</f>
        <v>PO / NBF / 090123 / 05</v>
      </c>
      <c r="L113" s="186"/>
      <c r="M113" s="187"/>
      <c r="N113" s="31">
        <f>+'Order Details Aug22-Mar23'!F113*'Order Details Aug22-Mar23'!N113</f>
        <v>133875</v>
      </c>
      <c r="O113" s="25"/>
      <c r="P113" s="22"/>
      <c r="Q113" s="26"/>
      <c r="R113" s="61">
        <v>7</v>
      </c>
      <c r="S113" s="22">
        <f t="shared" si="6"/>
        <v>7</v>
      </c>
      <c r="T113" s="22"/>
      <c r="U113" s="31"/>
      <c r="V113" s="51"/>
    </row>
    <row r="114" spans="1:22" ht="20.100000000000001" customHeight="1" x14ac:dyDescent="0.3">
      <c r="A114" s="44">
        <v>106</v>
      </c>
      <c r="B114" s="22">
        <f>+'Order Details Aug22-Mar23'!P114</f>
        <v>44935</v>
      </c>
      <c r="C114" s="23"/>
      <c r="D114" s="53" t="str">
        <f>+'Order Details Aug22-Mar23'!T114</f>
        <v>We Care Animal Health</v>
      </c>
      <c r="E114" s="25"/>
      <c r="F114" s="183" t="str">
        <f>+'Order Details Aug22-Mar23'!D114</f>
        <v>FLYVIN</v>
      </c>
      <c r="G114" s="184"/>
      <c r="H114" s="26" t="str">
        <f>+'Order Details Aug22-Mar23'!G114</f>
        <v>Kg</v>
      </c>
      <c r="I114" s="27">
        <f>+'Order Details Aug22-Mar23'!I114</f>
        <v>100</v>
      </c>
      <c r="J114" s="28"/>
      <c r="K114" s="185" t="str">
        <f>+'Order Details Aug22-Mar23'!R114</f>
        <v>PO / NBF / 090123 / 06</v>
      </c>
      <c r="L114" s="186"/>
      <c r="M114" s="187"/>
      <c r="N114" s="31">
        <f>+'Order Details Aug22-Mar23'!F114*'Order Details Aug22-Mar23'!N114</f>
        <v>72000</v>
      </c>
      <c r="O114" s="25"/>
      <c r="P114" s="22"/>
      <c r="Q114" s="26"/>
      <c r="R114" s="26">
        <v>7</v>
      </c>
      <c r="S114" s="22">
        <f t="shared" si="6"/>
        <v>7</v>
      </c>
      <c r="T114" s="22"/>
      <c r="U114" s="31"/>
      <c r="V114" s="51"/>
    </row>
    <row r="115" spans="1:22" ht="20.100000000000001" customHeight="1" x14ac:dyDescent="0.3">
      <c r="A115" s="44">
        <v>107</v>
      </c>
      <c r="B115" s="22">
        <f>+'Order Details Aug22-Mar23'!P115</f>
        <v>44935</v>
      </c>
      <c r="C115" s="23"/>
      <c r="D115" s="53" t="str">
        <f>+'Order Details Aug22-Mar23'!T115</f>
        <v>Zeus Biotech Pvt Ltd</v>
      </c>
      <c r="E115" s="25"/>
      <c r="F115" s="183" t="str">
        <f>+'Order Details Aug22-Mar23'!D115</f>
        <v>SELCON FORTE</v>
      </c>
      <c r="G115" s="184"/>
      <c r="H115" s="26" t="str">
        <f>+'Order Details Aug22-Mar23'!G115</f>
        <v>Kg</v>
      </c>
      <c r="I115" s="27">
        <f>+'Order Details Aug22-Mar23'!I115</f>
        <v>100</v>
      </c>
      <c r="J115" s="28"/>
      <c r="K115" s="185" t="str">
        <f>+'Order Details Aug22-Mar23'!R115</f>
        <v>PO / NBF / 090123 / 07</v>
      </c>
      <c r="L115" s="186"/>
      <c r="M115" s="187"/>
      <c r="N115" s="31">
        <f>+'Order Details Aug22-Mar23'!F115*'Order Details Aug22-Mar23'!N115</f>
        <v>40000</v>
      </c>
      <c r="O115" s="25"/>
      <c r="P115" s="22"/>
      <c r="Q115" s="26"/>
      <c r="R115" s="74">
        <v>7</v>
      </c>
      <c r="S115" s="22">
        <f t="shared" si="6"/>
        <v>7</v>
      </c>
      <c r="T115" s="22"/>
      <c r="U115" s="31"/>
      <c r="V115" s="51"/>
    </row>
    <row r="116" spans="1:22" ht="20.100000000000001" customHeight="1" x14ac:dyDescent="0.3">
      <c r="A116" s="44">
        <v>108</v>
      </c>
      <c r="B116" s="22">
        <f>+'Order Details Aug22-Mar23'!P116</f>
        <v>44938</v>
      </c>
      <c r="C116" s="23"/>
      <c r="D116" s="53" t="str">
        <f>+'Order Details Aug22-Mar23'!T116</f>
        <v>Sneha Farms Pvt Ltd, Hyd</v>
      </c>
      <c r="E116" s="25"/>
      <c r="F116" s="183" t="str">
        <f>+'Order Details Aug22-Mar23'!D116</f>
        <v>DLM</v>
      </c>
      <c r="G116" s="184"/>
      <c r="H116" s="26" t="str">
        <f>+'Order Details Aug22-Mar23'!G116</f>
        <v>Kg</v>
      </c>
      <c r="I116" s="27">
        <f>+'Order Details Aug22-Mar23'!I116</f>
        <v>500</v>
      </c>
      <c r="J116" s="28"/>
      <c r="K116" s="185" t="str">
        <f>+'Order Details Aug22-Mar23'!R116</f>
        <v>PO / NBF / 120123 / 08</v>
      </c>
      <c r="L116" s="186"/>
      <c r="M116" s="187"/>
      <c r="N116" s="31">
        <f>+'Order Details Aug22-Mar23'!F116*'Order Details Aug22-Mar23'!N116</f>
        <v>124000.3</v>
      </c>
      <c r="O116" s="25"/>
      <c r="P116" s="22"/>
      <c r="Q116" s="26"/>
      <c r="R116" s="26">
        <v>7</v>
      </c>
      <c r="S116" s="22">
        <f t="shared" si="6"/>
        <v>7</v>
      </c>
      <c r="T116" s="22"/>
      <c r="U116" s="31"/>
      <c r="V116" s="51"/>
    </row>
    <row r="117" spans="1:22" ht="20.100000000000001" customHeight="1" x14ac:dyDescent="0.3">
      <c r="A117" s="44">
        <v>109</v>
      </c>
      <c r="B117" s="22">
        <f>+'Order Details Aug22-Mar23'!P117</f>
        <v>44940</v>
      </c>
      <c r="C117" s="23"/>
      <c r="D117" s="53" t="str">
        <f>+'Order Details Aug22-Mar23'!T117</f>
        <v xml:space="preserve">Huvephatrma Sea Pune </v>
      </c>
      <c r="E117" s="25"/>
      <c r="F117" s="183" t="str">
        <f>+'Order Details Aug22-Mar23'!D117</f>
        <v>TILMOVET</v>
      </c>
      <c r="G117" s="184"/>
      <c r="H117" s="26" t="str">
        <f>+'Order Details Aug22-Mar23'!G117</f>
        <v>ML</v>
      </c>
      <c r="I117" s="27">
        <f>+'Order Details Aug22-Mar23'!I117</f>
        <v>23040</v>
      </c>
      <c r="J117" s="28"/>
      <c r="K117" s="185" t="str">
        <f>+'Order Details Aug22-Mar23'!R117</f>
        <v>PO / NBF / 140123 / 09</v>
      </c>
      <c r="L117" s="186"/>
      <c r="M117" s="187"/>
      <c r="N117" s="31">
        <f>+'Order Details Aug22-Mar23'!F117*'Order Details Aug22-Mar23'!N117</f>
        <v>249984</v>
      </c>
      <c r="O117" s="25"/>
      <c r="P117" s="22"/>
      <c r="Q117" s="26"/>
      <c r="R117" s="26">
        <v>45</v>
      </c>
      <c r="S117" s="22">
        <f t="shared" si="6"/>
        <v>45</v>
      </c>
      <c r="T117" s="22"/>
      <c r="U117" s="31"/>
      <c r="V117" s="51"/>
    </row>
    <row r="118" spans="1:22" ht="20.100000000000001" customHeight="1" x14ac:dyDescent="0.3">
      <c r="A118" s="44">
        <v>110</v>
      </c>
      <c r="B118" s="22">
        <f>+'Order Details Aug22-Mar23'!P118</f>
        <v>44944</v>
      </c>
      <c r="C118" s="23"/>
      <c r="D118" s="53" t="str">
        <f>+'Order Details Aug22-Mar23'!T118</f>
        <v>Das Drug Centre, Habra</v>
      </c>
      <c r="E118" s="25"/>
      <c r="F118" s="183" t="str">
        <f>+'Order Details Aug22-Mar23'!D118</f>
        <v xml:space="preserve">KOLIN-PLUS </v>
      </c>
      <c r="G118" s="184"/>
      <c r="H118" s="26" t="str">
        <f>+'Order Details Aug22-Mar23'!G118</f>
        <v>Kg</v>
      </c>
      <c r="I118" s="27">
        <f>+'Order Details Aug22-Mar23'!I118</f>
        <v>500</v>
      </c>
      <c r="J118" s="28"/>
      <c r="K118" s="185" t="str">
        <f>+'Order Details Aug22-Mar23'!R118</f>
        <v>PO / NBF / 180123 / 10</v>
      </c>
      <c r="L118" s="186"/>
      <c r="M118" s="187"/>
      <c r="N118" s="31">
        <f>+'Order Details Aug22-Mar23'!F118*'Order Details Aug22-Mar23'!N118</f>
        <v>35000</v>
      </c>
      <c r="O118" s="25"/>
      <c r="P118" s="22"/>
      <c r="Q118" s="26"/>
      <c r="R118" s="26">
        <v>45</v>
      </c>
      <c r="S118" s="22">
        <f t="shared" si="6"/>
        <v>45</v>
      </c>
      <c r="T118" s="22"/>
      <c r="U118" s="31"/>
      <c r="V118" s="51"/>
    </row>
    <row r="119" spans="1:22" ht="20.100000000000001" customHeight="1" x14ac:dyDescent="0.3">
      <c r="A119" s="44">
        <v>111</v>
      </c>
      <c r="B119" s="22">
        <f>+'Order Details Aug22-Mar23'!P119</f>
        <v>44944</v>
      </c>
      <c r="C119" s="23"/>
      <c r="D119" s="53" t="str">
        <f>+'Order Details Aug22-Mar23'!T119</f>
        <v>Izda Health Care</v>
      </c>
      <c r="E119" s="25"/>
      <c r="F119" s="183" t="str">
        <f>+'Order Details Aug22-Mar23'!D119</f>
        <v>OVASTIM</v>
      </c>
      <c r="G119" s="184"/>
      <c r="H119" s="26" t="str">
        <f>+'Order Details Aug22-Mar23'!G119</f>
        <v>Kg</v>
      </c>
      <c r="I119" s="27">
        <f>+'Order Details Aug22-Mar23'!I119</f>
        <v>300</v>
      </c>
      <c r="J119" s="28"/>
      <c r="K119" s="185" t="str">
        <f>+'Order Details Aug22-Mar23'!R119</f>
        <v>PO / NBF / 180123 / 11</v>
      </c>
      <c r="L119" s="186"/>
      <c r="M119" s="187"/>
      <c r="N119" s="31">
        <f>+'Order Details Aug22-Mar23'!F119*'Order Details Aug22-Mar23'!N119</f>
        <v>120000</v>
      </c>
      <c r="O119" s="25"/>
      <c r="P119" s="22"/>
      <c r="Q119" s="26"/>
      <c r="R119" s="26">
        <v>45</v>
      </c>
      <c r="S119" s="22">
        <f t="shared" si="6"/>
        <v>45</v>
      </c>
      <c r="T119" s="22"/>
      <c r="U119" s="31"/>
      <c r="V119" s="51"/>
    </row>
    <row r="120" spans="1:22" ht="20.100000000000001" customHeight="1" x14ac:dyDescent="0.3">
      <c r="A120" s="44">
        <v>112</v>
      </c>
      <c r="B120" s="22">
        <f>+'Order Details Aug22-Mar23'!P120</f>
        <v>44950</v>
      </c>
      <c r="C120" s="23"/>
      <c r="D120" s="53" t="str">
        <f>+'Order Details Aug22-Mar23'!T120</f>
        <v>Alivira Animal Heaith Ltd</v>
      </c>
      <c r="E120" s="25"/>
      <c r="F120" s="183" t="str">
        <f>+'Order Details Aug22-Mar23'!D120</f>
        <v>CITRINAL</v>
      </c>
      <c r="G120" s="184"/>
      <c r="H120" s="26" t="str">
        <f>+'Order Details Aug22-Mar23'!G120</f>
        <v>Kg</v>
      </c>
      <c r="I120" s="27">
        <f>+'Order Details Aug22-Mar23'!I120</f>
        <v>500</v>
      </c>
      <c r="J120" s="28"/>
      <c r="K120" s="185" t="str">
        <f>+'Order Details Aug22-Mar23'!R120</f>
        <v>PO / NBF / 240123 / 12</v>
      </c>
      <c r="L120" s="186"/>
      <c r="M120" s="187"/>
      <c r="N120" s="31">
        <f>+'Order Details Aug22-Mar23'!F120*'Order Details Aug22-Mar23'!N120</f>
        <v>75000</v>
      </c>
      <c r="O120" s="25"/>
      <c r="P120" s="22"/>
      <c r="Q120" s="26"/>
      <c r="R120" s="26">
        <v>45</v>
      </c>
      <c r="S120" s="22">
        <f t="shared" si="6"/>
        <v>45</v>
      </c>
      <c r="T120" s="22"/>
      <c r="U120" s="31"/>
      <c r="V120" s="51"/>
    </row>
    <row r="121" spans="1:22" ht="20.100000000000001" customHeight="1" x14ac:dyDescent="0.3">
      <c r="A121" s="44">
        <v>113</v>
      </c>
      <c r="B121" s="22">
        <f>+'Order Details Aug22-Mar23'!P121</f>
        <v>44951</v>
      </c>
      <c r="C121" s="23"/>
      <c r="D121" s="53" t="str">
        <f>+'Order Details Aug22-Mar23'!T121</f>
        <v>Tara Enterprises, Hyderabad</v>
      </c>
      <c r="E121" s="25"/>
      <c r="F121" s="183" t="str">
        <f>+'Order Details Aug22-Mar23'!D121</f>
        <v>AVIXONE TAZO</v>
      </c>
      <c r="G121" s="184"/>
      <c r="H121" s="26" t="str">
        <f>+'Order Details Aug22-Mar23'!G121</f>
        <v>Gms</v>
      </c>
      <c r="I121" s="27">
        <f>+'Order Details Aug22-Mar23'!I121</f>
        <v>112.5</v>
      </c>
      <c r="J121" s="28"/>
      <c r="K121" s="185" t="str">
        <f>+'Order Details Aug22-Mar23'!R121</f>
        <v>PO / NBF / 250123 / 13</v>
      </c>
      <c r="L121" s="186"/>
      <c r="M121" s="187"/>
      <c r="N121" s="31">
        <f>+'Order Details Aug22-Mar23'!F121*'Order Details Aug22-Mar23'!N121</f>
        <v>7168</v>
      </c>
      <c r="O121" s="25"/>
      <c r="P121" s="22"/>
      <c r="Q121" s="26"/>
      <c r="R121" s="26">
        <v>45</v>
      </c>
      <c r="S121" s="22">
        <f t="shared" ref="S121:S141" si="7">P121+R121</f>
        <v>45</v>
      </c>
      <c r="T121" s="22"/>
      <c r="U121" s="31"/>
      <c r="V121" s="51"/>
    </row>
    <row r="122" spans="1:22" ht="20.100000000000001" customHeight="1" x14ac:dyDescent="0.3">
      <c r="A122" s="44">
        <v>114</v>
      </c>
      <c r="B122" s="22">
        <f>+'Order Details Aug22-Mar23'!P122</f>
        <v>44958</v>
      </c>
      <c r="C122" s="23"/>
      <c r="D122" s="53" t="str">
        <f>+'Order Details Aug22-Mar23'!T122</f>
        <v>Parameshwari Devi</v>
      </c>
      <c r="E122" s="25"/>
      <c r="F122" s="183" t="str">
        <f>+'Order Details Aug22-Mar23'!D122</f>
        <v xml:space="preserve">DANTOTSU WS </v>
      </c>
      <c r="G122" s="184"/>
      <c r="H122" s="26" t="str">
        <f>+'Order Details Aug22-Mar23'!G122</f>
        <v>Gms</v>
      </c>
      <c r="I122" s="27">
        <f>+'Order Details Aug22-Mar23'!I122</f>
        <v>5000</v>
      </c>
      <c r="J122" s="28"/>
      <c r="K122" s="185" t="str">
        <f>+'Order Details Aug22-Mar23'!R122</f>
        <v>PO / NBF / 010223 / 14</v>
      </c>
      <c r="L122" s="186"/>
      <c r="M122" s="187"/>
      <c r="N122" s="31">
        <f>+'Order Details Aug22-Mar23'!F122*'Order Details Aug22-Mar23'!N122</f>
        <v>66999.81</v>
      </c>
      <c r="O122" s="25"/>
      <c r="P122" s="22"/>
      <c r="Q122" s="26"/>
      <c r="R122" s="26">
        <v>10</v>
      </c>
      <c r="S122" s="22">
        <f t="shared" si="7"/>
        <v>10</v>
      </c>
      <c r="T122" s="22"/>
      <c r="U122" s="31"/>
      <c r="V122" s="51"/>
    </row>
    <row r="123" spans="1:22" ht="20.100000000000001" customHeight="1" x14ac:dyDescent="0.3">
      <c r="A123" s="44">
        <v>115</v>
      </c>
      <c r="B123" s="22">
        <f>+'Order Details Aug22-Mar23'!P123</f>
        <v>44968</v>
      </c>
      <c r="C123" s="23"/>
      <c r="D123" s="53" t="str">
        <f>+'Order Details Aug22-Mar23'!T123</f>
        <v>Das Drug Centre, Habra</v>
      </c>
      <c r="E123" s="25"/>
      <c r="F123" s="183" t="str">
        <f>+'Order Details Aug22-Mar23'!D123</f>
        <v xml:space="preserve">AMBIPLEX </v>
      </c>
      <c r="G123" s="184"/>
      <c r="H123" s="26" t="str">
        <f>+'Order Details Aug22-Mar23'!G123</f>
        <v>Ltr</v>
      </c>
      <c r="I123" s="27">
        <f>+'Order Details Aug22-Mar23'!I123</f>
        <v>100</v>
      </c>
      <c r="J123" s="28"/>
      <c r="K123" s="185" t="str">
        <f>+'Order Details Aug22-Mar23'!R123</f>
        <v>PO / NBF / 110223 / 15</v>
      </c>
      <c r="L123" s="186"/>
      <c r="M123" s="187"/>
      <c r="N123" s="31">
        <f>+'Order Details Aug22-Mar23'!F123*'Order Details Aug22-Mar23'!N123</f>
        <v>10300</v>
      </c>
      <c r="O123" s="25"/>
      <c r="P123" s="22"/>
      <c r="Q123" s="26"/>
      <c r="R123" s="26">
        <v>45</v>
      </c>
      <c r="S123" s="22">
        <f t="shared" si="7"/>
        <v>45</v>
      </c>
      <c r="T123" s="22"/>
      <c r="U123" s="31"/>
      <c r="V123" s="51"/>
    </row>
    <row r="124" spans="1:22" ht="20.100000000000001" customHeight="1" x14ac:dyDescent="0.3">
      <c r="A124" s="44">
        <v>116</v>
      </c>
      <c r="B124" s="22">
        <f>+'Order Details Aug22-Mar23'!P124</f>
        <v>44968</v>
      </c>
      <c r="C124" s="23"/>
      <c r="D124" s="53" t="str">
        <f>+'Order Details Aug22-Mar23'!T124</f>
        <v>Das Drug Centre, Habra</v>
      </c>
      <c r="E124" s="25"/>
      <c r="F124" s="183" t="str">
        <f>+'Order Details Aug22-Mar23'!D124</f>
        <v xml:space="preserve">GENTAVET Injection </v>
      </c>
      <c r="G124" s="184"/>
      <c r="H124" s="26" t="str">
        <f>+'Order Details Aug22-Mar23'!G124</f>
        <v>Ml</v>
      </c>
      <c r="I124" s="27">
        <f>+'Order Details Aug22-Mar23'!I124</f>
        <v>5000</v>
      </c>
      <c r="J124" s="28"/>
      <c r="K124" s="185" t="str">
        <f>+'Order Details Aug22-Mar23'!R124</f>
        <v>PO / NBF / 110223 / 15</v>
      </c>
      <c r="L124" s="186"/>
      <c r="M124" s="187"/>
      <c r="N124" s="31">
        <f>+'Order Details Aug22-Mar23'!F124*'Order Details Aug22-Mar23'!N124</f>
        <v>5880</v>
      </c>
      <c r="O124" s="25"/>
      <c r="P124" s="22"/>
      <c r="Q124" s="26"/>
      <c r="R124" s="26">
        <v>45</v>
      </c>
      <c r="S124" s="22">
        <f t="shared" si="7"/>
        <v>45</v>
      </c>
      <c r="T124" s="22"/>
      <c r="U124" s="31"/>
      <c r="V124" s="51"/>
    </row>
    <row r="125" spans="1:22" ht="20.100000000000001" customHeight="1" x14ac:dyDescent="0.3">
      <c r="A125" s="44">
        <v>117</v>
      </c>
      <c r="B125" s="22">
        <f>+'Order Details Aug22-Mar23'!P125</f>
        <v>44968</v>
      </c>
      <c r="C125" s="23"/>
      <c r="D125" s="53" t="str">
        <f>+'Order Details Aug22-Mar23'!T125</f>
        <v>Das Drug Centre, Habra</v>
      </c>
      <c r="E125" s="25"/>
      <c r="F125" s="183" t="str">
        <f>+'Order Details Aug22-Mar23'!D125</f>
        <v xml:space="preserve">HIVIT Injection </v>
      </c>
      <c r="G125" s="184"/>
      <c r="H125" s="26" t="str">
        <f>+'Order Details Aug22-Mar23'!G125</f>
        <v>Ml</v>
      </c>
      <c r="I125" s="27">
        <f>+'Order Details Aug22-Mar23'!I125</f>
        <v>5000</v>
      </c>
      <c r="J125" s="28"/>
      <c r="K125" s="185" t="str">
        <f>+'Order Details Aug22-Mar23'!R125</f>
        <v>PO / NBF / 110223 / 15</v>
      </c>
      <c r="L125" s="186"/>
      <c r="M125" s="187"/>
      <c r="N125" s="31">
        <f>+'Order Details Aug22-Mar23'!F125*'Order Details Aug22-Mar23'!N125</f>
        <v>5712</v>
      </c>
      <c r="O125" s="25"/>
      <c r="P125" s="22"/>
      <c r="Q125" s="26"/>
      <c r="R125" s="26">
        <v>45</v>
      </c>
      <c r="S125" s="22">
        <f t="shared" si="7"/>
        <v>45</v>
      </c>
      <c r="T125" s="22"/>
      <c r="U125" s="31"/>
      <c r="V125" s="51"/>
    </row>
    <row r="126" spans="1:22" ht="20.100000000000001" customHeight="1" x14ac:dyDescent="0.3">
      <c r="A126" s="44">
        <v>118</v>
      </c>
      <c r="B126" s="22">
        <f>+'Order Details Aug22-Mar23'!P126</f>
        <v>44968</v>
      </c>
      <c r="C126" s="23"/>
      <c r="D126" s="53" t="str">
        <f>+'Order Details Aug22-Mar23'!T126</f>
        <v>Das Drug Centre, Habra</v>
      </c>
      <c r="E126" s="25"/>
      <c r="F126" s="183" t="str">
        <f>+'Order Details Aug22-Mar23'!D126</f>
        <v xml:space="preserve">OXY-LA Injection </v>
      </c>
      <c r="G126" s="184"/>
      <c r="H126" s="26" t="str">
        <f>+'Order Details Aug22-Mar23'!G126</f>
        <v>Ml</v>
      </c>
      <c r="I126" s="27">
        <f>+'Order Details Aug22-Mar23'!I126</f>
        <v>5000</v>
      </c>
      <c r="J126" s="28"/>
      <c r="K126" s="185" t="str">
        <f>+'Order Details Aug22-Mar23'!R126</f>
        <v>PO / NBF / 110223 / 15</v>
      </c>
      <c r="L126" s="186"/>
      <c r="M126" s="187"/>
      <c r="N126" s="31">
        <f>+'Order Details Aug22-Mar23'!F126*'Order Details Aug22-Mar23'!N126</f>
        <v>12991.999999999998</v>
      </c>
      <c r="O126" s="25"/>
      <c r="P126" s="22"/>
      <c r="Q126" s="26"/>
      <c r="R126" s="26">
        <v>45</v>
      </c>
      <c r="S126" s="22">
        <f t="shared" si="7"/>
        <v>45</v>
      </c>
      <c r="T126" s="22"/>
      <c r="U126" s="31"/>
      <c r="V126" s="51"/>
    </row>
    <row r="127" spans="1:22" ht="20.100000000000001" customHeight="1" x14ac:dyDescent="0.3">
      <c r="A127" s="44">
        <v>119</v>
      </c>
      <c r="B127" s="22">
        <f>+'Order Details Aug22-Mar23'!P127</f>
        <v>44968</v>
      </c>
      <c r="C127" s="23"/>
      <c r="D127" s="53" t="str">
        <f>+'Order Details Aug22-Mar23'!T127</f>
        <v>Das Drug Centre, Habra</v>
      </c>
      <c r="E127" s="25"/>
      <c r="F127" s="183" t="str">
        <f>+'Order Details Aug22-Mar23'!D127</f>
        <v xml:space="preserve">LIV-52 PROTEC Plus </v>
      </c>
      <c r="G127" s="184"/>
      <c r="H127" s="26" t="str">
        <f>+'Order Details Aug22-Mar23'!G127</f>
        <v>Ltr</v>
      </c>
      <c r="I127" s="27">
        <f>+'Order Details Aug22-Mar23'!I127</f>
        <v>100</v>
      </c>
      <c r="J127" s="28"/>
      <c r="K127" s="185" t="str">
        <f>+'Order Details Aug22-Mar23'!R127</f>
        <v>PO / NBF / 110223 / 15</v>
      </c>
      <c r="L127" s="186"/>
      <c r="M127" s="187"/>
      <c r="N127" s="31">
        <f>+'Order Details Aug22-Mar23'!F127*'Order Details Aug22-Mar23'!N127</f>
        <v>9900</v>
      </c>
      <c r="O127" s="25"/>
      <c r="P127" s="22"/>
      <c r="Q127" s="26"/>
      <c r="R127" s="26">
        <v>45</v>
      </c>
      <c r="S127" s="22">
        <f t="shared" si="7"/>
        <v>45</v>
      </c>
      <c r="T127" s="22"/>
      <c r="U127" s="31"/>
      <c r="V127" s="51"/>
    </row>
    <row r="128" spans="1:22" ht="20.100000000000001" customHeight="1" x14ac:dyDescent="0.3">
      <c r="A128" s="44">
        <v>120</v>
      </c>
      <c r="B128" s="22">
        <f>+'Order Details Aug22-Mar23'!P128</f>
        <v>44968</v>
      </c>
      <c r="C128" s="23"/>
      <c r="D128" s="53" t="str">
        <f>+'Order Details Aug22-Mar23'!T128</f>
        <v>PP &amp; B Mart Pvt Ltd, Habra</v>
      </c>
      <c r="E128" s="25"/>
      <c r="F128" s="183" t="str">
        <f>+'Order Details Aug22-Mar23'!D128</f>
        <v>MASTERSORB (EW Nutrition)</v>
      </c>
      <c r="G128" s="184"/>
      <c r="H128" s="26" t="str">
        <f>+'Order Details Aug22-Mar23'!G128</f>
        <v>Kg</v>
      </c>
      <c r="I128" s="27">
        <f>+'Order Details Aug22-Mar23'!I128</f>
        <v>500</v>
      </c>
      <c r="J128" s="28"/>
      <c r="K128" s="185" t="str">
        <f>+'Order Details Aug22-Mar23'!R128</f>
        <v>PO / NBF / 110223 / 16</v>
      </c>
      <c r="L128" s="186"/>
      <c r="M128" s="187"/>
      <c r="N128" s="31">
        <f>+'Order Details Aug22-Mar23'!F128*'Order Details Aug22-Mar23'!N128</f>
        <v>64000</v>
      </c>
      <c r="O128" s="25"/>
      <c r="P128" s="22"/>
      <c r="Q128" s="26"/>
      <c r="R128" s="26">
        <v>45</v>
      </c>
      <c r="S128" s="22">
        <f t="shared" si="7"/>
        <v>45</v>
      </c>
      <c r="T128" s="22"/>
      <c r="U128" s="31"/>
      <c r="V128" s="51"/>
    </row>
    <row r="129" spans="1:22" ht="20.100000000000001" customHeight="1" x14ac:dyDescent="0.3">
      <c r="A129" s="44">
        <v>121</v>
      </c>
      <c r="B129" s="22">
        <f>+'Order Details Aug22-Mar23'!P129</f>
        <v>44968</v>
      </c>
      <c r="C129" s="23"/>
      <c r="D129" s="53" t="str">
        <f>+'Order Details Aug22-Mar23'!T129</f>
        <v>Izda Health Care</v>
      </c>
      <c r="E129" s="25"/>
      <c r="F129" s="183" t="str">
        <f>+'Order Details Aug22-Mar23'!D129</f>
        <v>DEFORCE INJECTION (Idza)</v>
      </c>
      <c r="G129" s="184"/>
      <c r="H129" s="26" t="str">
        <f>+'Order Details Aug22-Mar23'!G129</f>
        <v>ML</v>
      </c>
      <c r="I129" s="27">
        <f>+'Order Details Aug22-Mar23'!I129</f>
        <v>400</v>
      </c>
      <c r="J129" s="28"/>
      <c r="K129" s="185" t="str">
        <f>+'Order Details Aug22-Mar23'!R129</f>
        <v>PO / NBF / 110223 / 17</v>
      </c>
      <c r="L129" s="186"/>
      <c r="M129" s="187"/>
      <c r="N129" s="31">
        <f>+'Order Details Aug22-Mar23'!F129*'Order Details Aug22-Mar23'!N129</f>
        <v>33600</v>
      </c>
      <c r="O129" s="25"/>
      <c r="P129" s="22"/>
      <c r="Q129" s="26"/>
      <c r="R129" s="26">
        <v>45</v>
      </c>
      <c r="S129" s="22">
        <f t="shared" si="7"/>
        <v>45</v>
      </c>
      <c r="T129" s="22"/>
      <c r="U129" s="31"/>
      <c r="V129" s="51"/>
    </row>
    <row r="130" spans="1:22" ht="20.100000000000001" customHeight="1" x14ac:dyDescent="0.3">
      <c r="A130" s="44">
        <v>122</v>
      </c>
      <c r="B130" s="22">
        <f>+'Order Details Aug22-Mar23'!P130</f>
        <v>44970</v>
      </c>
      <c r="C130" s="23"/>
      <c r="D130" s="53" t="str">
        <f>+'Order Details Aug22-Mar23'!T130</f>
        <v>B V Biocrop - Hitech Division</v>
      </c>
      <c r="E130" s="25"/>
      <c r="F130" s="183" t="str">
        <f>+'Order Details Aug22-Mar23'!D130</f>
        <v xml:space="preserve">CPG-100 </v>
      </c>
      <c r="G130" s="184"/>
      <c r="H130" s="26" t="str">
        <f>+'Order Details Aug22-Mar23'!G130</f>
        <v>Ltr</v>
      </c>
      <c r="I130" s="27">
        <f>+'Order Details Aug22-Mar23'!I130</f>
        <v>60</v>
      </c>
      <c r="J130" s="28"/>
      <c r="K130" s="185" t="str">
        <f>+'Order Details Aug22-Mar23'!R130</f>
        <v>PO / NBF / 130223 / 18</v>
      </c>
      <c r="L130" s="186"/>
      <c r="M130" s="187"/>
      <c r="N130" s="31">
        <f>+'Order Details Aug22-Mar23'!F130*'Order Details Aug22-Mar23'!N130</f>
        <v>6230.4000000000005</v>
      </c>
      <c r="O130" s="25"/>
      <c r="P130" s="22"/>
      <c r="Q130" s="26"/>
      <c r="R130" s="61">
        <v>7</v>
      </c>
      <c r="S130" s="22">
        <f t="shared" si="7"/>
        <v>7</v>
      </c>
      <c r="T130" s="22"/>
      <c r="U130" s="31"/>
      <c r="V130" s="51"/>
    </row>
    <row r="131" spans="1:22" ht="20.100000000000001" customHeight="1" x14ac:dyDescent="0.3">
      <c r="A131" s="44">
        <v>123</v>
      </c>
      <c r="B131" s="22">
        <f>+'Order Details Aug22-Mar23'!P131</f>
        <v>44970</v>
      </c>
      <c r="C131" s="23"/>
      <c r="D131" s="53" t="str">
        <f>+'Order Details Aug22-Mar23'!T131</f>
        <v>B V Biocrop - Hitech Division</v>
      </c>
      <c r="E131" s="25"/>
      <c r="F131" s="183" t="str">
        <f>+'Order Details Aug22-Mar23'!D131</f>
        <v xml:space="preserve">SAFEGARD </v>
      </c>
      <c r="G131" s="184"/>
      <c r="H131" s="26" t="str">
        <f>+'Order Details Aug22-Mar23'!G131</f>
        <v>Ltr</v>
      </c>
      <c r="I131" s="27">
        <f>+'Order Details Aug22-Mar23'!I131</f>
        <v>60</v>
      </c>
      <c r="J131" s="28"/>
      <c r="K131" s="185" t="str">
        <f>+'Order Details Aug22-Mar23'!R131</f>
        <v>PO / NBF / 130223 / 18</v>
      </c>
      <c r="L131" s="186"/>
      <c r="M131" s="187"/>
      <c r="N131" s="31">
        <f>+'Order Details Aug22-Mar23'!F131*'Order Details Aug22-Mar23'!N131</f>
        <v>16114.079999999998</v>
      </c>
      <c r="O131" s="25"/>
      <c r="P131" s="22"/>
      <c r="Q131" s="26"/>
      <c r="R131" s="61">
        <v>7</v>
      </c>
      <c r="S131" s="22">
        <f t="shared" si="7"/>
        <v>7</v>
      </c>
      <c r="T131" s="22"/>
      <c r="U131" s="31"/>
      <c r="V131" s="51"/>
    </row>
    <row r="132" spans="1:22" ht="20.100000000000001" customHeight="1" x14ac:dyDescent="0.3">
      <c r="A132" s="44">
        <v>124</v>
      </c>
      <c r="B132" s="22">
        <f>+'Order Details Aug22-Mar23'!P132</f>
        <v>44970</v>
      </c>
      <c r="C132" s="23"/>
      <c r="D132" s="53" t="str">
        <f>+'Order Details Aug22-Mar23'!T132</f>
        <v>B V Biocrop - Hitech Division</v>
      </c>
      <c r="E132" s="25"/>
      <c r="F132" s="183" t="str">
        <f>+'Order Details Aug22-Mar23'!D132</f>
        <v xml:space="preserve">TRACEMIN-BB </v>
      </c>
      <c r="G132" s="184"/>
      <c r="H132" s="26" t="str">
        <f>+'Order Details Aug22-Mar23'!G132</f>
        <v>Kg</v>
      </c>
      <c r="I132" s="27">
        <f>+'Order Details Aug22-Mar23'!I132</f>
        <v>990</v>
      </c>
      <c r="J132" s="28"/>
      <c r="K132" s="185" t="str">
        <f>+'Order Details Aug22-Mar23'!R132</f>
        <v>PO / NBF / 130223 / 18</v>
      </c>
      <c r="L132" s="186"/>
      <c r="M132" s="187"/>
      <c r="N132" s="31">
        <f>+'Order Details Aug22-Mar23'!F132*'Order Details Aug22-Mar23'!N132</f>
        <v>64581</v>
      </c>
      <c r="O132" s="25"/>
      <c r="P132" s="22"/>
      <c r="Q132" s="26"/>
      <c r="R132" s="61">
        <v>7</v>
      </c>
      <c r="S132" s="22">
        <f t="shared" si="7"/>
        <v>7</v>
      </c>
      <c r="T132" s="22"/>
      <c r="U132" s="31"/>
      <c r="V132" s="51"/>
    </row>
    <row r="133" spans="1:22" ht="20.100000000000001" customHeight="1" x14ac:dyDescent="0.3">
      <c r="A133" s="44">
        <v>125</v>
      </c>
      <c r="B133" s="22">
        <f>+'Order Details Aug22-Mar23'!P133</f>
        <v>44970</v>
      </c>
      <c r="C133" s="23"/>
      <c r="D133" s="53" t="str">
        <f>+'Order Details Aug22-Mar23'!T133</f>
        <v>B V Biocrop - Hitech Division</v>
      </c>
      <c r="E133" s="25"/>
      <c r="F133" s="183" t="str">
        <f>+'Order Details Aug22-Mar23'!D133</f>
        <v>VACCSURE (20 Gms)</v>
      </c>
      <c r="G133" s="184"/>
      <c r="H133" s="26" t="str">
        <f>+'Order Details Aug22-Mar23'!G133</f>
        <v>Pcs</v>
      </c>
      <c r="I133" s="27">
        <f>+'Order Details Aug22-Mar23'!I133</f>
        <v>200</v>
      </c>
      <c r="J133" s="28"/>
      <c r="K133" s="185" t="str">
        <f>+'Order Details Aug22-Mar23'!R133</f>
        <v>PO / NBF / 130223 / 18</v>
      </c>
      <c r="L133" s="186"/>
      <c r="M133" s="187"/>
      <c r="N133" s="31">
        <f>+'Order Details Aug22-Mar23'!F133*'Order Details Aug22-Mar23'!N133</f>
        <v>12752</v>
      </c>
      <c r="O133" s="25"/>
      <c r="P133" s="22"/>
      <c r="Q133" s="26"/>
      <c r="R133" s="61">
        <v>7</v>
      </c>
      <c r="S133" s="22">
        <f t="shared" si="7"/>
        <v>7</v>
      </c>
      <c r="T133" s="22"/>
      <c r="U133" s="31"/>
      <c r="V133" s="51"/>
    </row>
    <row r="134" spans="1:22" ht="20.100000000000001" customHeight="1" x14ac:dyDescent="0.3">
      <c r="A134" s="44">
        <v>126</v>
      </c>
      <c r="B134" s="22">
        <f>+'Order Details Aug22-Mar23'!P134</f>
        <v>44970</v>
      </c>
      <c r="C134" s="23"/>
      <c r="D134" s="53" t="str">
        <f>+'Order Details Aug22-Mar23'!T134</f>
        <v>Hester Biosciences Limited</v>
      </c>
      <c r="E134" s="25"/>
      <c r="F134" s="183" t="str">
        <f>+'Order Details Aug22-Mar23'!D134</f>
        <v>IB (MA-5) Live Vaccine</v>
      </c>
      <c r="G134" s="184"/>
      <c r="H134" s="26" t="str">
        <f>+'Order Details Aug22-Mar23'!G134</f>
        <v>Dose</v>
      </c>
      <c r="I134" s="27">
        <f>+'Order Details Aug22-Mar23'!I134</f>
        <v>42000</v>
      </c>
      <c r="J134" s="28"/>
      <c r="K134" s="185" t="str">
        <f>+'Order Details Aug22-Mar23'!R134</f>
        <v>PO / NBF / 130223 / 19</v>
      </c>
      <c r="L134" s="186"/>
      <c r="M134" s="187"/>
      <c r="N134" s="31">
        <f>+'Order Details Aug22-Mar23'!F134*'Order Details Aug22-Mar23'!N134</f>
        <v>11025</v>
      </c>
      <c r="O134" s="25"/>
      <c r="P134" s="22"/>
      <c r="Q134" s="26"/>
      <c r="R134" s="67">
        <v>7</v>
      </c>
      <c r="S134" s="22">
        <f t="shared" si="7"/>
        <v>7</v>
      </c>
      <c r="T134" s="22"/>
      <c r="U134" s="31"/>
      <c r="V134" s="51"/>
    </row>
    <row r="135" spans="1:22" ht="20.100000000000001" customHeight="1" x14ac:dyDescent="0.3">
      <c r="A135" s="44">
        <v>127</v>
      </c>
      <c r="B135" s="22">
        <f>+'Order Details Aug22-Mar23'!P135</f>
        <v>44970</v>
      </c>
      <c r="C135" s="23"/>
      <c r="D135" s="53" t="str">
        <f>+'Order Details Aug22-Mar23'!T135</f>
        <v>Hester Biosciences Limited</v>
      </c>
      <c r="E135" s="25"/>
      <c r="F135" s="183" t="str">
        <f>+'Order Details Aug22-Mar23'!D135</f>
        <v>ILT (GI- 10000) Live Vaccine</v>
      </c>
      <c r="G135" s="184"/>
      <c r="H135" s="26" t="str">
        <f>+'Order Details Aug22-Mar23'!G135</f>
        <v>Dose</v>
      </c>
      <c r="I135" s="27">
        <f>+'Order Details Aug22-Mar23'!I135</f>
        <v>42000</v>
      </c>
      <c r="J135" s="28"/>
      <c r="K135" s="185" t="str">
        <f>+'Order Details Aug22-Mar23'!R135</f>
        <v>PO / NBF / 130223 / 19</v>
      </c>
      <c r="L135" s="186"/>
      <c r="M135" s="187"/>
      <c r="N135" s="31">
        <f>+'Order Details Aug22-Mar23'!F135*'Order Details Aug22-Mar23'!N135</f>
        <v>66150</v>
      </c>
      <c r="O135" s="25"/>
      <c r="P135" s="22"/>
      <c r="Q135" s="26"/>
      <c r="R135" s="67">
        <v>7</v>
      </c>
      <c r="S135" s="22">
        <f t="shared" si="7"/>
        <v>7</v>
      </c>
      <c r="T135" s="22"/>
      <c r="U135" s="31"/>
      <c r="V135" s="51"/>
    </row>
    <row r="136" spans="1:22" ht="20.100000000000001" customHeight="1" x14ac:dyDescent="0.3">
      <c r="A136" s="44">
        <v>128</v>
      </c>
      <c r="B136" s="22">
        <f>+'Order Details Aug22-Mar23'!P136</f>
        <v>44970</v>
      </c>
      <c r="C136" s="23"/>
      <c r="D136" s="53" t="str">
        <f>+'Order Details Aug22-Mar23'!T136</f>
        <v>Hester Biosciences Limited</v>
      </c>
      <c r="E136" s="25"/>
      <c r="F136" s="183" t="str">
        <f>+'Order Details Aug22-Mar23'!D136</f>
        <v>INACTIVATED PULLET ND (LPAI)</v>
      </c>
      <c r="G136" s="184"/>
      <c r="H136" s="26" t="str">
        <f>+'Order Details Aug22-Mar23'!G136</f>
        <v>Dose</v>
      </c>
      <c r="I136" s="27">
        <f>+'Order Details Aug22-Mar23'!I136</f>
        <v>42000</v>
      </c>
      <c r="J136" s="28"/>
      <c r="K136" s="185" t="str">
        <f>+'Order Details Aug22-Mar23'!R136</f>
        <v>PO / NBF / 130223 / 19</v>
      </c>
      <c r="L136" s="186"/>
      <c r="M136" s="187"/>
      <c r="N136" s="31">
        <f>+'Order Details Aug22-Mar23'!F136*'Order Details Aug22-Mar23'!N136</f>
        <v>39799.368000000002</v>
      </c>
      <c r="O136" s="25"/>
      <c r="P136" s="22"/>
      <c r="Q136" s="26"/>
      <c r="R136" s="67">
        <v>7</v>
      </c>
      <c r="S136" s="22">
        <f t="shared" si="7"/>
        <v>7</v>
      </c>
      <c r="T136" s="22"/>
      <c r="U136" s="31"/>
      <c r="V136" s="51"/>
    </row>
    <row r="137" spans="1:22" ht="20.100000000000001" customHeight="1" x14ac:dyDescent="0.3">
      <c r="A137" s="44">
        <v>129</v>
      </c>
      <c r="B137" s="22">
        <f>+'Order Details Aug22-Mar23'!P137</f>
        <v>44970</v>
      </c>
      <c r="C137" s="23"/>
      <c r="D137" s="53" t="str">
        <f>+'Order Details Aug22-Mar23'!T137</f>
        <v>Hester Biosciences Limited</v>
      </c>
      <c r="E137" s="25"/>
      <c r="F137" s="183" t="str">
        <f>+'Order Details Aug22-Mar23'!D137</f>
        <v>INACTIVATED PULLET ND (HPAI)</v>
      </c>
      <c r="G137" s="184"/>
      <c r="H137" s="26" t="str">
        <f>+'Order Details Aug22-Mar23'!G137</f>
        <v>Dose</v>
      </c>
      <c r="I137" s="27">
        <f>+'Order Details Aug22-Mar23'!I137</f>
        <v>84000</v>
      </c>
      <c r="J137" s="28"/>
      <c r="K137" s="185" t="str">
        <f>+'Order Details Aug22-Mar23'!R137</f>
        <v>PO / NBF / 130223 / 19</v>
      </c>
      <c r="L137" s="186"/>
      <c r="M137" s="187"/>
      <c r="N137" s="31">
        <f>+'Order Details Aug22-Mar23'!F137*'Order Details Aug22-Mar23'!N137</f>
        <v>214789.05</v>
      </c>
      <c r="O137" s="25"/>
      <c r="P137" s="22"/>
      <c r="Q137" s="26"/>
      <c r="R137" s="67">
        <v>7</v>
      </c>
      <c r="S137" s="22">
        <f t="shared" si="7"/>
        <v>7</v>
      </c>
      <c r="T137" s="22"/>
      <c r="U137" s="31"/>
      <c r="V137" s="51"/>
    </row>
    <row r="138" spans="1:22" ht="20.100000000000001" customHeight="1" x14ac:dyDescent="0.3">
      <c r="A138" s="44">
        <v>130</v>
      </c>
      <c r="B138" s="22">
        <f>+'Order Details Aug22-Mar23'!P138</f>
        <v>44970</v>
      </c>
      <c r="C138" s="23"/>
      <c r="D138" s="53" t="str">
        <f>+'Order Details Aug22-Mar23'!T138</f>
        <v>Tara Enterprises, Hyderabad</v>
      </c>
      <c r="E138" s="25"/>
      <c r="F138" s="183" t="str">
        <f>+'Order Details Aug22-Mar23'!D138</f>
        <v>HIPRAVIHAR Clon H-120</v>
      </c>
      <c r="G138" s="184"/>
      <c r="H138" s="26" t="str">
        <f>+'Order Details Aug22-Mar23'!G138</f>
        <v>Dose</v>
      </c>
      <c r="I138" s="27">
        <f>+'Order Details Aug22-Mar23'!I138</f>
        <v>200000</v>
      </c>
      <c r="J138" s="28"/>
      <c r="K138" s="185" t="str">
        <f>+'Order Details Aug22-Mar23'!R138</f>
        <v>PO / NBF / 130223 / 20</v>
      </c>
      <c r="L138" s="186"/>
      <c r="M138" s="187"/>
      <c r="N138" s="31">
        <f>+'Order Details Aug22-Mar23'!F138*'Order Details Aug22-Mar23'!N138</f>
        <v>46200</v>
      </c>
      <c r="O138" s="25"/>
      <c r="P138" s="22"/>
      <c r="Q138" s="26"/>
      <c r="R138" s="26">
        <v>45</v>
      </c>
      <c r="S138" s="22">
        <f t="shared" si="7"/>
        <v>45</v>
      </c>
      <c r="T138" s="22"/>
      <c r="U138" s="31"/>
      <c r="V138" s="51"/>
    </row>
    <row r="139" spans="1:22" ht="20.100000000000001" customHeight="1" x14ac:dyDescent="0.3">
      <c r="A139" s="44">
        <v>131</v>
      </c>
      <c r="B139" s="22">
        <f>+'Order Details Aug22-Mar23'!P139</f>
        <v>44970</v>
      </c>
      <c r="C139" s="23"/>
      <c r="D139" s="53" t="str">
        <f>+'Order Details Aug22-Mar23'!T139</f>
        <v>Venkateshwara Hatcheries</v>
      </c>
      <c r="E139" s="25"/>
      <c r="F139" s="183" t="str">
        <f>+'Order Details Aug22-Mar23'!D139</f>
        <v xml:space="preserve">IBD Intermediate Std Live Vac </v>
      </c>
      <c r="G139" s="184"/>
      <c r="H139" s="26" t="str">
        <f>+'Order Details Aug22-Mar23'!G139</f>
        <v>Dose</v>
      </c>
      <c r="I139" s="27">
        <f>+'Order Details Aug22-Mar23'!I139</f>
        <v>42000</v>
      </c>
      <c r="J139" s="28"/>
      <c r="K139" s="185" t="str">
        <f>+'Order Details Aug22-Mar23'!R139</f>
        <v>PO / NBF / 130223 / 21</v>
      </c>
      <c r="L139" s="186"/>
      <c r="M139" s="187"/>
      <c r="N139" s="31">
        <f>+'Order Details Aug22-Mar23'!F139*'Order Details Aug22-Mar23'!N139</f>
        <v>7144.2</v>
      </c>
      <c r="O139" s="25"/>
      <c r="P139" s="22"/>
      <c r="Q139" s="26"/>
      <c r="R139" s="61">
        <v>7</v>
      </c>
      <c r="S139" s="22">
        <f t="shared" si="7"/>
        <v>7</v>
      </c>
      <c r="T139" s="22"/>
      <c r="U139" s="31"/>
      <c r="V139" s="51"/>
    </row>
    <row r="140" spans="1:22" ht="20.100000000000001" customHeight="1" x14ac:dyDescent="0.3">
      <c r="A140" s="44">
        <v>132</v>
      </c>
      <c r="B140" s="22">
        <f>+'Order Details Aug22-Mar23'!P140</f>
        <v>44970</v>
      </c>
      <c r="C140" s="23"/>
      <c r="D140" s="53" t="str">
        <f>+'Order Details Aug22-Mar23'!T140</f>
        <v>Venkateshwara Hatcheries</v>
      </c>
      <c r="E140" s="25"/>
      <c r="F140" s="183" t="str">
        <f>+'Order Details Aug22-Mar23'!D140</f>
        <v xml:space="preserve">IBD Intermediate Plus Live Vac </v>
      </c>
      <c r="G140" s="184"/>
      <c r="H140" s="26" t="str">
        <f>+'Order Details Aug22-Mar23'!G140</f>
        <v>Dose</v>
      </c>
      <c r="I140" s="27">
        <f>+'Order Details Aug22-Mar23'!I140</f>
        <v>42000</v>
      </c>
      <c r="J140" s="28"/>
      <c r="K140" s="185" t="str">
        <f>+'Order Details Aug22-Mar23'!R140</f>
        <v>PO / NBF / 130223 / 21</v>
      </c>
      <c r="L140" s="186"/>
      <c r="M140" s="187"/>
      <c r="N140" s="31">
        <f>+'Order Details Aug22-Mar23'!F140*'Order Details Aug22-Mar23'!N140</f>
        <v>10187.1</v>
      </c>
      <c r="O140" s="25"/>
      <c r="P140" s="22"/>
      <c r="Q140" s="26"/>
      <c r="R140" s="61">
        <v>7</v>
      </c>
      <c r="S140" s="22">
        <f t="shared" si="7"/>
        <v>7</v>
      </c>
      <c r="T140" s="22"/>
      <c r="U140" s="31"/>
      <c r="V140" s="51"/>
    </row>
    <row r="141" spans="1:22" ht="20.100000000000001" customHeight="1" x14ac:dyDescent="0.3">
      <c r="A141" s="44">
        <v>133</v>
      </c>
      <c r="B141" s="22">
        <f>+'Order Details Aug22-Mar23'!P141</f>
        <v>44970</v>
      </c>
      <c r="C141" s="23"/>
      <c r="D141" s="53" t="str">
        <f>+'Order Details Aug22-Mar23'!T141</f>
        <v>Venkateshwara Hatcheries</v>
      </c>
      <c r="E141" s="25"/>
      <c r="F141" s="183" t="str">
        <f>+'Order Details Aug22-Mar23'!D141</f>
        <v>IB (H-120) Live Vaccine</v>
      </c>
      <c r="G141" s="184"/>
      <c r="H141" s="26" t="str">
        <f>+'Order Details Aug22-Mar23'!G141</f>
        <v>Dose</v>
      </c>
      <c r="I141" s="27">
        <f>+'Order Details Aug22-Mar23'!I141</f>
        <v>42000</v>
      </c>
      <c r="J141" s="28"/>
      <c r="K141" s="185" t="str">
        <f>+'Order Details Aug22-Mar23'!R141</f>
        <v>PO / NBF / 130223 / 21</v>
      </c>
      <c r="L141" s="186"/>
      <c r="M141" s="187"/>
      <c r="N141" s="31">
        <f>+'Order Details Aug22-Mar23'!F141*'Order Details Aug22-Mar23'!N141</f>
        <v>4674.5999999999995</v>
      </c>
      <c r="O141" s="25"/>
      <c r="P141" s="22"/>
      <c r="Q141" s="26"/>
      <c r="R141" s="61">
        <v>7</v>
      </c>
      <c r="S141" s="22">
        <f t="shared" si="7"/>
        <v>7</v>
      </c>
      <c r="T141" s="22"/>
      <c r="U141" s="31"/>
      <c r="V141" s="51"/>
    </row>
    <row r="142" spans="1:22" ht="20.100000000000001" customHeight="1" x14ac:dyDescent="0.3">
      <c r="A142" s="44">
        <v>134</v>
      </c>
      <c r="B142" s="22">
        <f>+'Order Details Aug22-Mar23'!P142</f>
        <v>44970</v>
      </c>
      <c r="C142" s="23"/>
      <c r="D142" s="53" t="str">
        <f>+'Order Details Aug22-Mar23'!T142</f>
        <v>Venkateshwara Hatcheries</v>
      </c>
      <c r="E142" s="25"/>
      <c r="F142" s="183" t="str">
        <f>+'Order Details Aug22-Mar23'!D142</f>
        <v>IB (Mass) Live Vaccine</v>
      </c>
      <c r="G142" s="184"/>
      <c r="H142" s="26" t="str">
        <f>+'Order Details Aug22-Mar23'!G142</f>
        <v>Dose</v>
      </c>
      <c r="I142" s="27">
        <f>+'Order Details Aug22-Mar23'!I142</f>
        <v>42000</v>
      </c>
      <c r="J142" s="28"/>
      <c r="K142" s="185" t="str">
        <f>+'Order Details Aug22-Mar23'!R142</f>
        <v>PO / NBF / 130223 / 21</v>
      </c>
      <c r="L142" s="186"/>
      <c r="M142" s="187"/>
      <c r="N142" s="31">
        <f>+'Order Details Aug22-Mar23'!F142*'Order Details Aug22-Mar23'!N142</f>
        <v>4674.5999999999995</v>
      </c>
      <c r="O142" s="25"/>
      <c r="P142" s="22"/>
      <c r="Q142" s="26"/>
      <c r="R142" s="61">
        <v>7</v>
      </c>
      <c r="S142" s="22">
        <f t="shared" ref="S142:S155" si="8">P142+R142</f>
        <v>7</v>
      </c>
      <c r="T142" s="22"/>
      <c r="U142" s="31"/>
      <c r="V142" s="51"/>
    </row>
    <row r="143" spans="1:22" ht="20.100000000000001" customHeight="1" x14ac:dyDescent="0.3">
      <c r="A143" s="44">
        <v>135</v>
      </c>
      <c r="B143" s="22">
        <f>+'Order Details Aug22-Mar23'!P143</f>
        <v>44970</v>
      </c>
      <c r="C143" s="23"/>
      <c r="D143" s="53" t="str">
        <f>+'Order Details Aug22-Mar23'!T143</f>
        <v>Venkateshwara Hatcheries</v>
      </c>
      <c r="E143" s="25"/>
      <c r="F143" s="183" t="str">
        <f>+'Order Details Aug22-Mar23'!D143</f>
        <v>Fowl Pox Live Vaccine</v>
      </c>
      <c r="G143" s="184"/>
      <c r="H143" s="26" t="str">
        <f>+'Order Details Aug22-Mar23'!G143</f>
        <v>Dose</v>
      </c>
      <c r="I143" s="27">
        <f>+'Order Details Aug22-Mar23'!I143</f>
        <v>42000</v>
      </c>
      <c r="J143" s="28"/>
      <c r="K143" s="185" t="str">
        <f>+'Order Details Aug22-Mar23'!R143</f>
        <v>PO / NBF / 130223 / 21</v>
      </c>
      <c r="L143" s="186"/>
      <c r="M143" s="187"/>
      <c r="N143" s="31">
        <f>+'Order Details Aug22-Mar23'!F143*'Order Details Aug22-Mar23'!N143</f>
        <v>5247.9000000000005</v>
      </c>
      <c r="O143" s="25"/>
      <c r="P143" s="22"/>
      <c r="Q143" s="26"/>
      <c r="R143" s="61">
        <v>7</v>
      </c>
      <c r="S143" s="22">
        <f t="shared" si="8"/>
        <v>7</v>
      </c>
      <c r="T143" s="22"/>
      <c r="U143" s="31"/>
      <c r="V143" s="51"/>
    </row>
    <row r="144" spans="1:22" ht="20.100000000000001" customHeight="1" x14ac:dyDescent="0.3">
      <c r="A144" s="44">
        <v>136</v>
      </c>
      <c r="B144" s="22">
        <f>+'Order Details Aug22-Mar23'!P144</f>
        <v>44970</v>
      </c>
      <c r="C144" s="23"/>
      <c r="D144" s="53" t="str">
        <f>+'Order Details Aug22-Mar23'!T144</f>
        <v>Venkateshwara Hatcheries</v>
      </c>
      <c r="E144" s="25"/>
      <c r="F144" s="183" t="str">
        <f>+'Order Details Aug22-Mar23'!D144</f>
        <v>ND (Lasota) Live Vaccine</v>
      </c>
      <c r="G144" s="184"/>
      <c r="H144" s="26" t="str">
        <f>+'Order Details Aug22-Mar23'!G144</f>
        <v>Dose</v>
      </c>
      <c r="I144" s="27">
        <f>+'Order Details Aug22-Mar23'!I144</f>
        <v>42000</v>
      </c>
      <c r="J144" s="28"/>
      <c r="K144" s="185" t="str">
        <f>+'Order Details Aug22-Mar23'!R144</f>
        <v>PO / NBF / 130223 / 21</v>
      </c>
      <c r="L144" s="186"/>
      <c r="M144" s="187"/>
      <c r="N144" s="31">
        <f>+'Order Details Aug22-Mar23'!F144*'Order Details Aug22-Mar23'!N144</f>
        <v>2513.7000000000003</v>
      </c>
      <c r="O144" s="25"/>
      <c r="P144" s="22"/>
      <c r="Q144" s="26"/>
      <c r="R144" s="61">
        <v>7</v>
      </c>
      <c r="S144" s="22">
        <f t="shared" si="8"/>
        <v>7</v>
      </c>
      <c r="T144" s="22"/>
      <c r="U144" s="31"/>
      <c r="V144" s="51"/>
    </row>
    <row r="145" spans="1:22" ht="20.100000000000001" customHeight="1" x14ac:dyDescent="0.3">
      <c r="A145" s="44">
        <v>137</v>
      </c>
      <c r="B145" s="22">
        <f>+'Order Details Aug22-Mar23'!P145</f>
        <v>44970</v>
      </c>
      <c r="C145" s="23"/>
      <c r="D145" s="53" t="str">
        <f>+'Order Details Aug22-Mar23'!T145</f>
        <v>Venkateshwara Hatcheries</v>
      </c>
      <c r="E145" s="25"/>
      <c r="F145" s="183" t="str">
        <f>+'Order Details Aug22-Mar23'!D145</f>
        <v>R2B Live Vaccine</v>
      </c>
      <c r="G145" s="184"/>
      <c r="H145" s="26" t="str">
        <f>+'Order Details Aug22-Mar23'!G145</f>
        <v>Dose</v>
      </c>
      <c r="I145" s="27">
        <f>+'Order Details Aug22-Mar23'!I145</f>
        <v>42000</v>
      </c>
      <c r="J145" s="28"/>
      <c r="K145" s="185" t="str">
        <f>+'Order Details Aug22-Mar23'!R145</f>
        <v>PO / NBF / 130223 / 21</v>
      </c>
      <c r="L145" s="186"/>
      <c r="M145" s="187"/>
      <c r="N145" s="31">
        <f>+'Order Details Aug22-Mar23'!F145*'Order Details Aug22-Mar23'!N145</f>
        <v>5556.6</v>
      </c>
      <c r="O145" s="25"/>
      <c r="P145" s="22"/>
      <c r="Q145" s="26"/>
      <c r="R145" s="61">
        <v>7</v>
      </c>
      <c r="S145" s="22">
        <f t="shared" si="8"/>
        <v>7</v>
      </c>
      <c r="T145" s="22"/>
      <c r="U145" s="31"/>
      <c r="V145" s="51"/>
    </row>
    <row r="146" spans="1:22" ht="20.100000000000001" customHeight="1" x14ac:dyDescent="0.3">
      <c r="A146" s="44">
        <v>138</v>
      </c>
      <c r="B146" s="22">
        <f>+'Order Details Aug22-Mar23'!P146</f>
        <v>44970</v>
      </c>
      <c r="C146" s="23"/>
      <c r="D146" s="53" t="str">
        <f>+'Order Details Aug22-Mar23'!T146</f>
        <v>Venkateshwara Hatcheries</v>
      </c>
      <c r="E146" s="25"/>
      <c r="F146" s="183" t="str">
        <f>+'Order Details Aug22-Mar23'!D146</f>
        <v>VVMD (HVT+SB1) Live Vaccine</v>
      </c>
      <c r="G146" s="184"/>
      <c r="H146" s="26" t="str">
        <f>+'Order Details Aug22-Mar23'!G146</f>
        <v>Dose</v>
      </c>
      <c r="I146" s="27">
        <f>+'Order Details Aug22-Mar23'!I146</f>
        <v>84000</v>
      </c>
      <c r="J146" s="28"/>
      <c r="K146" s="185" t="str">
        <f>+'Order Details Aug22-Mar23'!R146</f>
        <v>PO / NBF / 130223 / 21</v>
      </c>
      <c r="L146" s="186"/>
      <c r="M146" s="187"/>
      <c r="N146" s="31">
        <f>+'Order Details Aug22-Mar23'!F146*'Order Details Aug22-Mar23'!N146</f>
        <v>172960.2</v>
      </c>
      <c r="O146" s="25"/>
      <c r="P146" s="22"/>
      <c r="Q146" s="26"/>
      <c r="R146" s="61">
        <v>7</v>
      </c>
      <c r="S146" s="22">
        <f t="shared" si="8"/>
        <v>7</v>
      </c>
      <c r="T146" s="22"/>
      <c r="U146" s="31"/>
      <c r="V146" s="51"/>
    </row>
    <row r="147" spans="1:22" ht="20.100000000000001" customHeight="1" x14ac:dyDescent="0.3">
      <c r="A147" s="44">
        <v>139</v>
      </c>
      <c r="B147" s="22">
        <f>+'Order Details Aug22-Mar23'!P147</f>
        <v>44970</v>
      </c>
      <c r="C147" s="23"/>
      <c r="D147" s="53" t="str">
        <f>+'Order Details Aug22-Mar23'!T147</f>
        <v>Venkateshwara Hatcheries</v>
      </c>
      <c r="E147" s="25"/>
      <c r="F147" s="183" t="str">
        <f>+'Order Details Aug22-Mar23'!D147</f>
        <v xml:space="preserve">ND KILLED (Visa-15) VAC </v>
      </c>
      <c r="G147" s="184"/>
      <c r="H147" s="26" t="str">
        <f>+'Order Details Aug22-Mar23'!G147</f>
        <v>Dose</v>
      </c>
      <c r="I147" s="27">
        <f>+'Order Details Aug22-Mar23'!I147</f>
        <v>42000</v>
      </c>
      <c r="J147" s="28"/>
      <c r="K147" s="185" t="str">
        <f>+'Order Details Aug22-Mar23'!R147</f>
        <v>PO / NBF / 130223 / 21</v>
      </c>
      <c r="L147" s="186"/>
      <c r="M147" s="187"/>
      <c r="N147" s="31">
        <f>+'Order Details Aug22-Mar23'!F147*'Order Details Aug22-Mar23'!N147</f>
        <v>40527.9</v>
      </c>
      <c r="O147" s="25"/>
      <c r="P147" s="22"/>
      <c r="Q147" s="26"/>
      <c r="R147" s="61">
        <v>7</v>
      </c>
      <c r="S147" s="22">
        <f t="shared" si="8"/>
        <v>7</v>
      </c>
      <c r="T147" s="22"/>
      <c r="U147" s="31"/>
      <c r="V147" s="51"/>
    </row>
    <row r="148" spans="1:22" ht="20.100000000000001" customHeight="1" x14ac:dyDescent="0.3">
      <c r="A148" s="44">
        <v>140</v>
      </c>
      <c r="B148" s="22">
        <f>+'Order Details Aug22-Mar23'!P148</f>
        <v>44970</v>
      </c>
      <c r="C148" s="23"/>
      <c r="D148" s="53" t="str">
        <f>+'Order Details Aug22-Mar23'!T148</f>
        <v>Venkateshwara Hatcheries</v>
      </c>
      <c r="E148" s="25"/>
      <c r="F148" s="183" t="str">
        <f>+'Order Details Aug22-Mar23'!D148</f>
        <v>REO KILLED VAC</v>
      </c>
      <c r="G148" s="184"/>
      <c r="H148" s="26" t="str">
        <f>+'Order Details Aug22-Mar23'!G148</f>
        <v>Dose</v>
      </c>
      <c r="I148" s="27">
        <f>+'Order Details Aug22-Mar23'!I148</f>
        <v>84000</v>
      </c>
      <c r="J148" s="28"/>
      <c r="K148" s="185" t="str">
        <f>+'Order Details Aug22-Mar23'!R148</f>
        <v>PO / NBF / 130223 / 21</v>
      </c>
      <c r="L148" s="186"/>
      <c r="M148" s="187"/>
      <c r="N148" s="31">
        <f>+'Order Details Aug22-Mar23'!F148*'Order Details Aug22-Mar23'!N148</f>
        <v>178252.2</v>
      </c>
      <c r="O148" s="25"/>
      <c r="P148" s="22"/>
      <c r="Q148" s="26"/>
      <c r="R148" s="61">
        <v>7</v>
      </c>
      <c r="S148" s="22">
        <f t="shared" si="8"/>
        <v>7</v>
      </c>
      <c r="T148" s="22"/>
      <c r="U148" s="31"/>
      <c r="V148" s="51"/>
    </row>
    <row r="149" spans="1:22" ht="20.100000000000001" customHeight="1" x14ac:dyDescent="0.3">
      <c r="A149" s="44">
        <v>141</v>
      </c>
      <c r="B149" s="22">
        <f>+'Order Details Aug22-Mar23'!P149</f>
        <v>44970</v>
      </c>
      <c r="C149" s="23"/>
      <c r="D149" s="53" t="str">
        <f>+'Order Details Aug22-Mar23'!T149</f>
        <v>Venkateshwara Hatcheries</v>
      </c>
      <c r="E149" s="25"/>
      <c r="F149" s="183" t="str">
        <f>+'Order Details Aug22-Mar23'!D149</f>
        <v>SALMONELLA KILLED VAC</v>
      </c>
      <c r="G149" s="184"/>
      <c r="H149" s="26" t="str">
        <f>+'Order Details Aug22-Mar23'!G149</f>
        <v>Dose</v>
      </c>
      <c r="I149" s="27">
        <f>+'Order Details Aug22-Mar23'!I149</f>
        <v>42000</v>
      </c>
      <c r="J149" s="28"/>
      <c r="K149" s="185" t="str">
        <f>+'Order Details Aug22-Mar23'!R149</f>
        <v>PO / NBF / 130223 / 21</v>
      </c>
      <c r="L149" s="186"/>
      <c r="M149" s="187"/>
      <c r="N149" s="31">
        <f>+'Order Details Aug22-Mar23'!F149*'Order Details Aug22-Mar23'!N149</f>
        <v>125023.5</v>
      </c>
      <c r="O149" s="25"/>
      <c r="P149" s="22"/>
      <c r="Q149" s="26"/>
      <c r="R149" s="61">
        <v>7</v>
      </c>
      <c r="S149" s="22">
        <f t="shared" si="8"/>
        <v>7</v>
      </c>
      <c r="T149" s="22"/>
      <c r="U149" s="31"/>
      <c r="V149" s="51"/>
    </row>
    <row r="150" spans="1:22" ht="20.100000000000001" customHeight="1" x14ac:dyDescent="0.3">
      <c r="A150" s="44">
        <v>142</v>
      </c>
      <c r="B150" s="22">
        <f>+'Order Details Aug22-Mar23'!P150</f>
        <v>44970</v>
      </c>
      <c r="C150" s="23"/>
      <c r="D150" s="53" t="str">
        <f>+'Order Details Aug22-Mar23'!T150</f>
        <v>Venkateshwara Hatcheries</v>
      </c>
      <c r="E150" s="25"/>
      <c r="F150" s="183" t="str">
        <f>+'Order Details Aug22-Mar23'!D150</f>
        <v xml:space="preserve">VH F1C7 (FC+IC) KILLED VAC </v>
      </c>
      <c r="G150" s="184"/>
      <c r="H150" s="26" t="str">
        <f>+'Order Details Aug22-Mar23'!G150</f>
        <v>Dose</v>
      </c>
      <c r="I150" s="27">
        <f>+'Order Details Aug22-Mar23'!I150</f>
        <v>42000</v>
      </c>
      <c r="J150" s="28"/>
      <c r="K150" s="185" t="str">
        <f>+'Order Details Aug22-Mar23'!R150</f>
        <v>PO / NBF / 130223 / 21</v>
      </c>
      <c r="L150" s="186"/>
      <c r="M150" s="187"/>
      <c r="N150" s="31">
        <f>+'Order Details Aug22-Mar23'!F150*'Order Details Aug22-Mar23'!N150</f>
        <v>104208.3</v>
      </c>
      <c r="O150" s="25"/>
      <c r="P150" s="22"/>
      <c r="Q150" s="26"/>
      <c r="R150" s="61">
        <v>7</v>
      </c>
      <c r="S150" s="22">
        <f t="shared" si="8"/>
        <v>7</v>
      </c>
      <c r="T150" s="22"/>
      <c r="U150" s="31"/>
      <c r="V150" s="51"/>
    </row>
    <row r="151" spans="1:22" ht="20.100000000000001" customHeight="1" x14ac:dyDescent="0.3">
      <c r="A151" s="44">
        <v>143</v>
      </c>
      <c r="B151" s="22">
        <f>+'Order Details Aug22-Mar23'!P151</f>
        <v>44970</v>
      </c>
      <c r="C151" s="23"/>
      <c r="D151" s="53" t="str">
        <f>+'Order Details Aug22-Mar23'!T151</f>
        <v>Venkateshwara Hatcheries</v>
      </c>
      <c r="E151" s="25"/>
      <c r="F151" s="183" t="str">
        <f>+'Order Details Aug22-Mar23'!D151</f>
        <v>Sterile Diluent for Live Vac</v>
      </c>
      <c r="G151" s="184"/>
      <c r="H151" s="26" t="str">
        <f>+'Order Details Aug22-Mar23'!G151</f>
        <v>Ml</v>
      </c>
      <c r="I151" s="27">
        <f>+'Order Details Aug22-Mar23'!I151</f>
        <v>6600</v>
      </c>
      <c r="J151" s="28"/>
      <c r="K151" s="185" t="str">
        <f>+'Order Details Aug22-Mar23'!R151</f>
        <v>PO / NBF / 130223 / 21</v>
      </c>
      <c r="L151" s="186"/>
      <c r="M151" s="187"/>
      <c r="N151" s="31">
        <f>+'Order Details Aug22-Mar23'!F151*'Order Details Aug22-Mar23'!N151</f>
        <v>404.25</v>
      </c>
      <c r="O151" s="25"/>
      <c r="P151" s="22"/>
      <c r="Q151" s="26"/>
      <c r="R151" s="61">
        <v>7</v>
      </c>
      <c r="S151" s="22">
        <f t="shared" si="8"/>
        <v>7</v>
      </c>
      <c r="T151" s="22"/>
      <c r="U151" s="31"/>
      <c r="V151" s="51"/>
    </row>
    <row r="152" spans="1:22" ht="20.100000000000001" customHeight="1" x14ac:dyDescent="0.3">
      <c r="A152" s="44">
        <v>144</v>
      </c>
      <c r="B152" s="22">
        <f>+'Order Details Aug22-Mar23'!P152</f>
        <v>44970</v>
      </c>
      <c r="C152" s="23"/>
      <c r="D152" s="53" t="str">
        <f>+'Order Details Aug22-Mar23'!T152</f>
        <v>Venkateshwara Hatcheries</v>
      </c>
      <c r="E152" s="25"/>
      <c r="F152" s="183" t="str">
        <f>+'Order Details Aug22-Mar23'!D152</f>
        <v>Sterile Diluent for R2B Vac</v>
      </c>
      <c r="G152" s="184"/>
      <c r="H152" s="26" t="str">
        <f>+'Order Details Aug22-Mar23'!G152</f>
        <v>Ml</v>
      </c>
      <c r="I152" s="27">
        <f>+'Order Details Aug22-Mar23'!I152</f>
        <v>22500</v>
      </c>
      <c r="J152" s="28"/>
      <c r="K152" s="185" t="str">
        <f>+'Order Details Aug22-Mar23'!R152</f>
        <v>PO / NBF / 130223 / 21</v>
      </c>
      <c r="L152" s="186"/>
      <c r="M152" s="187"/>
      <c r="N152" s="31">
        <f>+'Order Details Aug22-Mar23'!F152*'Order Details Aug22-Mar23'!N152</f>
        <v>82.6875</v>
      </c>
      <c r="O152" s="25"/>
      <c r="P152" s="22"/>
      <c r="Q152" s="26"/>
      <c r="R152" s="61">
        <v>7</v>
      </c>
      <c r="S152" s="22">
        <f t="shared" si="8"/>
        <v>7</v>
      </c>
      <c r="T152" s="22"/>
      <c r="U152" s="31"/>
      <c r="V152" s="51"/>
    </row>
    <row r="153" spans="1:22" ht="20.100000000000001" customHeight="1" x14ac:dyDescent="0.3">
      <c r="A153" s="44">
        <v>145</v>
      </c>
      <c r="B153" s="22">
        <f>+'Order Details Aug22-Mar23'!P153</f>
        <v>44970</v>
      </c>
      <c r="C153" s="23"/>
      <c r="D153" s="53" t="str">
        <f>+'Order Details Aug22-Mar23'!T153</f>
        <v>Venkateshwara Hatcheries</v>
      </c>
      <c r="E153" s="25"/>
      <c r="F153" s="183" t="str">
        <f>+'Order Details Aug22-Mar23'!D153</f>
        <v>Sterile Diluent for VVMD Vac</v>
      </c>
      <c r="G153" s="184"/>
      <c r="H153" s="26" t="str">
        <f>+'Order Details Aug22-Mar23'!G153</f>
        <v>Ml</v>
      </c>
      <c r="I153" s="27">
        <f>+'Order Details Aug22-Mar23'!I153</f>
        <v>9000</v>
      </c>
      <c r="J153" s="28"/>
      <c r="K153" s="185" t="str">
        <f>+'Order Details Aug22-Mar23'!R153</f>
        <v>PO / NBF / 130223 / 21</v>
      </c>
      <c r="L153" s="186"/>
      <c r="M153" s="187"/>
      <c r="N153" s="31">
        <f>+'Order Details Aug22-Mar23'!F153*'Order Details Aug22-Mar23'!N153</f>
        <v>59.0625</v>
      </c>
      <c r="O153" s="25"/>
      <c r="P153" s="22"/>
      <c r="Q153" s="26"/>
      <c r="R153" s="61">
        <v>7</v>
      </c>
      <c r="S153" s="22">
        <f t="shared" si="8"/>
        <v>7</v>
      </c>
      <c r="T153" s="22"/>
      <c r="U153" s="31"/>
      <c r="V153" s="51"/>
    </row>
    <row r="154" spans="1:22" ht="20.100000000000001" customHeight="1" x14ac:dyDescent="0.3">
      <c r="A154" s="44">
        <v>146</v>
      </c>
      <c r="B154" s="22">
        <f>+'Order Details Aug22-Mar23'!P154</f>
        <v>44971</v>
      </c>
      <c r="C154" s="23"/>
      <c r="D154" s="53" t="str">
        <f>+'Order Details Aug22-Mar23'!T154</f>
        <v>Crescent Marketing, Hyderabad</v>
      </c>
      <c r="E154" s="25"/>
      <c r="F154" s="183" t="str">
        <f>+'Order Details Aug22-Mar23'!D154</f>
        <v>BRONCHIN KILLED VACCINE</v>
      </c>
      <c r="G154" s="184"/>
      <c r="H154" s="26" t="str">
        <f>+'Order Details Aug22-Mar23'!G154</f>
        <v>Dose</v>
      </c>
      <c r="I154" s="27">
        <f>+'Order Details Aug22-Mar23'!I154</f>
        <v>42000</v>
      </c>
      <c r="J154" s="28"/>
      <c r="K154" s="185" t="str">
        <f>+'Order Details Aug22-Mar23'!R154</f>
        <v>PO / NBF / 140223 / 22</v>
      </c>
      <c r="L154" s="186"/>
      <c r="M154" s="187"/>
      <c r="N154" s="31">
        <f>+'Order Details Aug22-Mar23'!F154*'Order Details Aug22-Mar23'!N154</f>
        <v>122245.2</v>
      </c>
      <c r="O154" s="25"/>
      <c r="P154" s="22"/>
      <c r="Q154" s="26"/>
      <c r="R154" s="26">
        <v>45</v>
      </c>
      <c r="S154" s="22">
        <f t="shared" si="8"/>
        <v>45</v>
      </c>
      <c r="T154" s="22"/>
      <c r="U154" s="31"/>
      <c r="V154" s="51"/>
    </row>
    <row r="155" spans="1:22" ht="20.100000000000001" customHeight="1" x14ac:dyDescent="0.3">
      <c r="A155" s="44">
        <v>147</v>
      </c>
      <c r="B155" s="22">
        <f>+'Order Details Aug22-Mar23'!P155</f>
        <v>44977</v>
      </c>
      <c r="C155" s="23"/>
      <c r="D155" s="53" t="str">
        <f>+'Order Details Aug22-Mar23'!T155</f>
        <v>Venkateshwara Marketing Hyd</v>
      </c>
      <c r="E155" s="25"/>
      <c r="F155" s="183" t="str">
        <f>+'Order Details Aug22-Mar23'!D155</f>
        <v>Nobilis IB (MA-5) Live Vaccine</v>
      </c>
      <c r="G155" s="184"/>
      <c r="H155" s="26" t="str">
        <f>+'Order Details Aug22-Mar23'!G155</f>
        <v>Dose</v>
      </c>
      <c r="I155" s="27">
        <f>+'Order Details Aug22-Mar23'!I155</f>
        <v>42000</v>
      </c>
      <c r="J155" s="28"/>
      <c r="K155" s="185" t="str">
        <f>+'Order Details Aug22-Mar23'!R155</f>
        <v>PO / NBF / 200223 / 23</v>
      </c>
      <c r="L155" s="186"/>
      <c r="M155" s="187"/>
      <c r="N155" s="31">
        <f>+'Order Details Aug22-Mar23'!F155*'Order Details Aug22-Mar23'!N155</f>
        <v>21168</v>
      </c>
      <c r="O155" s="25"/>
      <c r="P155" s="22"/>
      <c r="Q155" s="26"/>
      <c r="R155" s="26">
        <v>45</v>
      </c>
      <c r="S155" s="22">
        <f t="shared" si="8"/>
        <v>45</v>
      </c>
      <c r="T155" s="22"/>
      <c r="U155" s="31"/>
      <c r="V155" s="51"/>
    </row>
    <row r="156" spans="1:22" ht="20.100000000000001" customHeight="1" x14ac:dyDescent="0.3">
      <c r="A156" s="44">
        <v>148</v>
      </c>
      <c r="B156" s="22">
        <f>+'Order Details Aug22-Mar23'!P156</f>
        <v>44978</v>
      </c>
      <c r="C156" s="23"/>
      <c r="D156" s="53" t="str">
        <f>+'Order Details Aug22-Mar23'!T156</f>
        <v>Venkateshwara Hatcheries</v>
      </c>
      <c r="E156" s="25"/>
      <c r="F156" s="183" t="str">
        <f>+'Order Details Aug22-Mar23'!D156</f>
        <v>VVMD (HVT+SB1) Live Vaccine</v>
      </c>
      <c r="G156" s="184"/>
      <c r="H156" s="26" t="str">
        <f>+'Order Details Aug22-Mar23'!G156</f>
        <v>Dose</v>
      </c>
      <c r="I156" s="27">
        <f>+'Order Details Aug22-Mar23'!I156</f>
        <v>4000</v>
      </c>
      <c r="J156" s="28"/>
      <c r="K156" s="185" t="str">
        <f>+'Order Details Aug22-Mar23'!R156</f>
        <v>PO / NBF / 210223 / 24</v>
      </c>
      <c r="L156" s="186"/>
      <c r="M156" s="187"/>
      <c r="N156" s="31">
        <f>+'Order Details Aug22-Mar23'!F156*'Order Details Aug22-Mar23'!N156</f>
        <v>8236.2000000000007</v>
      </c>
      <c r="O156" s="25"/>
      <c r="P156" s="22"/>
      <c r="Q156" s="26"/>
      <c r="R156" s="61">
        <v>7</v>
      </c>
      <c r="S156" s="22">
        <f t="shared" ref="S156:S168" si="9">P156+R156</f>
        <v>7</v>
      </c>
      <c r="T156" s="22"/>
      <c r="U156" s="31"/>
      <c r="V156" s="51"/>
    </row>
    <row r="157" spans="1:22" ht="20.100000000000001" customHeight="1" x14ac:dyDescent="0.3">
      <c r="A157" s="44">
        <v>149</v>
      </c>
      <c r="B157" s="22">
        <f>+'Order Details Aug22-Mar23'!P157</f>
        <v>44979</v>
      </c>
      <c r="C157" s="23"/>
      <c r="D157" s="53" t="str">
        <f>+'Order Details Aug22-Mar23'!T157</f>
        <v>Varsha Multitech, Bangalore</v>
      </c>
      <c r="E157" s="25"/>
      <c r="F157" s="183" t="str">
        <f>+'Order Details Aug22-Mar23'!D157</f>
        <v>HEPATOCARE PREMIX</v>
      </c>
      <c r="G157" s="184"/>
      <c r="H157" s="26" t="str">
        <f>+'Order Details Aug22-Mar23'!G157</f>
        <v>Kg</v>
      </c>
      <c r="I157" s="27">
        <f>+'Order Details Aug22-Mar23'!I157</f>
        <v>500</v>
      </c>
      <c r="J157" s="28"/>
      <c r="K157" s="185" t="str">
        <f>+'Order Details Aug22-Mar23'!R157</f>
        <v>PO / NBF / 220223 / 25</v>
      </c>
      <c r="L157" s="186"/>
      <c r="M157" s="187"/>
      <c r="N157" s="31">
        <f>+'Order Details Aug22-Mar23'!F157*'Order Details Aug22-Mar23'!N157</f>
        <v>25000</v>
      </c>
      <c r="O157" s="25"/>
      <c r="P157" s="22"/>
      <c r="Q157" s="26"/>
      <c r="R157" s="26">
        <v>45</v>
      </c>
      <c r="S157" s="22">
        <f t="shared" si="9"/>
        <v>45</v>
      </c>
      <c r="T157" s="22"/>
      <c r="U157" s="31"/>
      <c r="V157" s="51"/>
    </row>
    <row r="158" spans="1:22" ht="20.100000000000001" customHeight="1" x14ac:dyDescent="0.3">
      <c r="A158" s="44">
        <v>150</v>
      </c>
      <c r="B158" s="22">
        <f>+'Order Details Aug22-Mar23'!P158</f>
        <v>44979</v>
      </c>
      <c r="C158" s="23"/>
      <c r="D158" s="53" t="str">
        <f>+'Order Details Aug22-Mar23'!T158</f>
        <v>Zeus Biotech Pvt Ltd</v>
      </c>
      <c r="E158" s="25"/>
      <c r="F158" s="183" t="str">
        <f>+'Order Details Aug22-Mar23'!D158</f>
        <v>SELCON FORTE</v>
      </c>
      <c r="G158" s="184"/>
      <c r="H158" s="26" t="str">
        <f>+'Order Details Aug22-Mar23'!G158</f>
        <v>Kg</v>
      </c>
      <c r="I158" s="27">
        <f>+'Order Details Aug22-Mar23'!I158</f>
        <v>100</v>
      </c>
      <c r="J158" s="28"/>
      <c r="K158" s="185" t="str">
        <f>+'Order Details Aug22-Mar23'!R158</f>
        <v>PO / NBF / 220223 / 26</v>
      </c>
      <c r="L158" s="186"/>
      <c r="M158" s="187"/>
      <c r="N158" s="31">
        <f>+'Order Details Aug22-Mar23'!F158*'Order Details Aug22-Mar23'!N158</f>
        <v>40000</v>
      </c>
      <c r="O158" s="25"/>
      <c r="P158" s="22"/>
      <c r="Q158" s="26"/>
      <c r="R158" s="74">
        <v>7</v>
      </c>
      <c r="S158" s="22">
        <f t="shared" si="9"/>
        <v>7</v>
      </c>
      <c r="T158" s="22"/>
      <c r="U158" s="31"/>
      <c r="V158" s="51"/>
    </row>
    <row r="159" spans="1:22" ht="20.100000000000001" customHeight="1" x14ac:dyDescent="0.3">
      <c r="A159" s="44">
        <v>151</v>
      </c>
      <c r="B159" s="22">
        <f>+'Order Details Aug22-Mar23'!P159</f>
        <v>44982</v>
      </c>
      <c r="C159" s="23"/>
      <c r="D159" s="53" t="str">
        <f>+'Order Details Aug22-Mar23'!T159</f>
        <v>Sapience Agribusiness Consulting</v>
      </c>
      <c r="E159" s="25"/>
      <c r="F159" s="183" t="str">
        <f>+'Order Details Aug22-Mar23'!D159</f>
        <v>ALPHA D-3 PREMIX</v>
      </c>
      <c r="G159" s="184"/>
      <c r="H159" s="26" t="str">
        <f>+'Order Details Aug22-Mar23'!G159</f>
        <v>Kg</v>
      </c>
      <c r="I159" s="27">
        <f>+'Order Details Aug22-Mar23'!I159</f>
        <v>50</v>
      </c>
      <c r="J159" s="28"/>
      <c r="K159" s="185" t="str">
        <f>+'Order Details Aug22-Mar23'!R159</f>
        <v>PO / NBF / 250223 / 27</v>
      </c>
      <c r="L159" s="186"/>
      <c r="M159" s="187"/>
      <c r="N159" s="31">
        <f>+'Order Details Aug22-Mar23'!F159*'Order Details Aug22-Mar23'!N159</f>
        <v>44000</v>
      </c>
      <c r="O159" s="25"/>
      <c r="P159" s="22"/>
      <c r="Q159" s="26"/>
      <c r="R159" s="26">
        <v>15</v>
      </c>
      <c r="S159" s="22">
        <f t="shared" si="9"/>
        <v>15</v>
      </c>
      <c r="T159" s="22"/>
      <c r="U159" s="31"/>
      <c r="V159" s="51"/>
    </row>
    <row r="160" spans="1:22" ht="20.100000000000001" customHeight="1" x14ac:dyDescent="0.3">
      <c r="A160" s="44">
        <v>152</v>
      </c>
      <c r="B160" s="22">
        <f>+'Order Details Aug22-Mar23'!P160</f>
        <v>44984</v>
      </c>
      <c r="C160" s="23"/>
      <c r="D160" s="53" t="str">
        <f>+'Order Details Aug22-Mar23'!T160</f>
        <v>Stallen South Asia Pvt Ltd</v>
      </c>
      <c r="E160" s="25"/>
      <c r="F160" s="183" t="str">
        <f>+'Order Details Aug22-Mar23'!D160</f>
        <v>FORLUTIN - 10%</v>
      </c>
      <c r="G160" s="184"/>
      <c r="H160" s="26" t="str">
        <f>+'Order Details Aug22-Mar23'!G160</f>
        <v>Kg</v>
      </c>
      <c r="I160" s="27">
        <f>+'Order Details Aug22-Mar23'!I160</f>
        <v>300</v>
      </c>
      <c r="J160" s="28"/>
      <c r="K160" s="185" t="str">
        <f>+'Order Details Aug22-Mar23'!R160</f>
        <v>PO / NBF / 270223 / 28</v>
      </c>
      <c r="L160" s="186"/>
      <c r="M160" s="187"/>
      <c r="N160" s="31">
        <f>+'Order Details Aug22-Mar23'!F160*'Order Details Aug22-Mar23'!N160</f>
        <v>211500</v>
      </c>
      <c r="O160" s="25"/>
      <c r="P160" s="22"/>
      <c r="Q160" s="26"/>
      <c r="R160" s="75">
        <v>7</v>
      </c>
      <c r="S160" s="22">
        <f t="shared" si="9"/>
        <v>7</v>
      </c>
      <c r="T160" s="22"/>
      <c r="U160" s="31"/>
      <c r="V160" s="51"/>
    </row>
    <row r="161" spans="1:22" ht="20.100000000000001" customHeight="1" x14ac:dyDescent="0.3">
      <c r="A161" s="44">
        <v>153</v>
      </c>
      <c r="B161" s="22">
        <f>+'Order Details Aug22-Mar23'!P161</f>
        <v>44984</v>
      </c>
      <c r="C161" s="23"/>
      <c r="D161" s="53" t="str">
        <f>+'Order Details Aug22-Mar23'!T161</f>
        <v>Venkys India - AHP Division</v>
      </c>
      <c r="E161" s="25"/>
      <c r="F161" s="183" t="str">
        <f>+'Order Details Aug22-Mar23'!D161</f>
        <v>VENKYS - CTC</v>
      </c>
      <c r="G161" s="184"/>
      <c r="H161" s="26" t="str">
        <f>+'Order Details Aug22-Mar23'!G161</f>
        <v>Kg</v>
      </c>
      <c r="I161" s="27">
        <f>+'Order Details Aug22-Mar23'!I161</f>
        <v>300</v>
      </c>
      <c r="J161" s="28"/>
      <c r="K161" s="185" t="str">
        <f>+'Order Details Aug22-Mar23'!R161</f>
        <v>PO / NBF / 270223 / 29</v>
      </c>
      <c r="L161" s="186"/>
      <c r="M161" s="187"/>
      <c r="N161" s="31">
        <f>+'Order Details Aug22-Mar23'!F161*'Order Details Aug22-Mar23'!N161</f>
        <v>83232</v>
      </c>
      <c r="O161" s="25"/>
      <c r="P161" s="22"/>
      <c r="Q161" s="26"/>
      <c r="R161" s="61">
        <v>7</v>
      </c>
      <c r="S161" s="22">
        <f t="shared" si="9"/>
        <v>7</v>
      </c>
      <c r="T161" s="22"/>
      <c r="U161" s="31"/>
      <c r="V161" s="51"/>
    </row>
    <row r="162" spans="1:22" ht="20.100000000000001" customHeight="1" x14ac:dyDescent="0.3">
      <c r="A162" s="44">
        <v>154</v>
      </c>
      <c r="B162" s="22">
        <f>+'Order Details Aug22-Mar23'!P162</f>
        <v>44987</v>
      </c>
      <c r="C162" s="23"/>
      <c r="D162" s="53" t="str">
        <f>+'Order Details Aug22-Mar23'!T162</f>
        <v>Trouw Nutrition India Pvt Ltd</v>
      </c>
      <c r="E162" s="25"/>
      <c r="F162" s="183" t="str">
        <f>+'Order Details Aug22-Mar23'!D162</f>
        <v>BREEDER VITAMIN PREMIX</v>
      </c>
      <c r="G162" s="184"/>
      <c r="H162" s="26" t="str">
        <f>+'Order Details Aug22-Mar23'!G162</f>
        <v>Kg</v>
      </c>
      <c r="I162" s="27">
        <f>+'Order Details Aug22-Mar23'!I162</f>
        <v>800</v>
      </c>
      <c r="J162" s="28"/>
      <c r="K162" s="185" t="str">
        <f>+'Order Details Aug22-Mar23'!R162</f>
        <v>PO / NBF / 020323 / 30</v>
      </c>
      <c r="L162" s="186"/>
      <c r="M162" s="187"/>
      <c r="N162" s="31">
        <f>+'Order Details Aug22-Mar23'!F162*'Order Details Aug22-Mar23'!N162</f>
        <v>492000</v>
      </c>
      <c r="O162" s="25"/>
      <c r="P162" s="22"/>
      <c r="Q162" s="26"/>
      <c r="R162" s="26">
        <v>45</v>
      </c>
      <c r="S162" s="22">
        <f t="shared" si="9"/>
        <v>45</v>
      </c>
      <c r="T162" s="22"/>
      <c r="U162" s="31"/>
      <c r="V162" s="51"/>
    </row>
    <row r="163" spans="1:22" ht="20.100000000000001" customHeight="1" x14ac:dyDescent="0.3">
      <c r="A163" s="44">
        <v>155</v>
      </c>
      <c r="B163" s="22">
        <f>+'Order Details Aug22-Mar23'!P163</f>
        <v>44987</v>
      </c>
      <c r="C163" s="23"/>
      <c r="D163" s="53" t="str">
        <f>+'Order Details Aug22-Mar23'!T163</f>
        <v>Venkateshwara Hatcheries</v>
      </c>
      <c r="E163" s="25"/>
      <c r="F163" s="183" t="str">
        <f>+'Order Details Aug22-Mar23'!D163</f>
        <v xml:space="preserve">IBD Intermediate Std Live Vac </v>
      </c>
      <c r="G163" s="184"/>
      <c r="H163" s="26" t="str">
        <f>+'Order Details Aug22-Mar23'!G163</f>
        <v>Dose</v>
      </c>
      <c r="I163" s="27">
        <f>+'Order Details Aug22-Mar23'!I163</f>
        <v>4000</v>
      </c>
      <c r="J163" s="28"/>
      <c r="K163" s="185" t="str">
        <f>+'Order Details Aug22-Mar23'!R163</f>
        <v>PO / NBF / 020323 / 31</v>
      </c>
      <c r="L163" s="186"/>
      <c r="M163" s="187"/>
      <c r="N163" s="31">
        <f>+'Order Details Aug22-Mar23'!F163*'Order Details Aug22-Mar23'!N163</f>
        <v>680.4</v>
      </c>
      <c r="O163" s="25"/>
      <c r="P163" s="22"/>
      <c r="Q163" s="26"/>
      <c r="R163" s="61">
        <v>7</v>
      </c>
      <c r="S163" s="22">
        <f t="shared" si="9"/>
        <v>7</v>
      </c>
      <c r="T163" s="22"/>
      <c r="U163" s="31"/>
      <c r="V163" s="51"/>
    </row>
    <row r="164" spans="1:22" ht="20.100000000000001" customHeight="1" x14ac:dyDescent="0.3">
      <c r="A164" s="44">
        <v>156</v>
      </c>
      <c r="B164" s="22">
        <f>+'Order Details Aug22-Mar23'!P164</f>
        <v>44987</v>
      </c>
      <c r="C164" s="23"/>
      <c r="D164" s="53" t="str">
        <f>+'Order Details Aug22-Mar23'!T164</f>
        <v>Venkateshwara Hatcheries</v>
      </c>
      <c r="E164" s="25"/>
      <c r="F164" s="183" t="str">
        <f>+'Order Details Aug22-Mar23'!D164</f>
        <v xml:space="preserve">IBD Intermediate Plus Live Vac </v>
      </c>
      <c r="G164" s="184"/>
      <c r="H164" s="26" t="str">
        <f>+'Order Details Aug22-Mar23'!G164</f>
        <v>Dose</v>
      </c>
      <c r="I164" s="27">
        <f>+'Order Details Aug22-Mar23'!I164</f>
        <v>4000</v>
      </c>
      <c r="J164" s="28"/>
      <c r="K164" s="185" t="str">
        <f>+'Order Details Aug22-Mar23'!R164</f>
        <v>PO / NBF / 020323 / 31</v>
      </c>
      <c r="L164" s="186"/>
      <c r="M164" s="187"/>
      <c r="N164" s="31">
        <f>+'Order Details Aug22-Mar23'!F164*'Order Details Aug22-Mar23'!N164</f>
        <v>970.2</v>
      </c>
      <c r="O164" s="25"/>
      <c r="P164" s="22"/>
      <c r="Q164" s="26"/>
      <c r="R164" s="61">
        <v>7</v>
      </c>
      <c r="S164" s="22">
        <f t="shared" si="9"/>
        <v>7</v>
      </c>
      <c r="T164" s="22"/>
      <c r="U164" s="31"/>
      <c r="V164" s="51"/>
    </row>
    <row r="165" spans="1:22" ht="20.100000000000001" customHeight="1" x14ac:dyDescent="0.3">
      <c r="A165" s="44">
        <v>157</v>
      </c>
      <c r="B165" s="22">
        <f>+'Order Details Aug22-Mar23'!P165</f>
        <v>44987</v>
      </c>
      <c r="C165" s="23"/>
      <c r="D165" s="53" t="str">
        <f>+'Order Details Aug22-Mar23'!T165</f>
        <v>Venkateshwara Hatcheries</v>
      </c>
      <c r="E165" s="25"/>
      <c r="F165" s="183" t="str">
        <f>+'Order Details Aug22-Mar23'!D165</f>
        <v>IB (H-120) Live Vaccine</v>
      </c>
      <c r="G165" s="184"/>
      <c r="H165" s="26" t="str">
        <f>+'Order Details Aug22-Mar23'!G165</f>
        <v>Dose</v>
      </c>
      <c r="I165" s="27">
        <f>+'Order Details Aug22-Mar23'!I165</f>
        <v>4000</v>
      </c>
      <c r="J165" s="28"/>
      <c r="K165" s="185" t="str">
        <f>+'Order Details Aug22-Mar23'!R165</f>
        <v>PO / NBF / 020323 / 31</v>
      </c>
      <c r="L165" s="186"/>
      <c r="M165" s="187"/>
      <c r="N165" s="31">
        <f>+'Order Details Aug22-Mar23'!F165*'Order Details Aug22-Mar23'!N165</f>
        <v>445.2</v>
      </c>
      <c r="O165" s="25"/>
      <c r="P165" s="22"/>
      <c r="Q165" s="26"/>
      <c r="R165" s="61">
        <v>7</v>
      </c>
      <c r="S165" s="22">
        <f t="shared" si="9"/>
        <v>7</v>
      </c>
      <c r="T165" s="22"/>
      <c r="U165" s="31"/>
      <c r="V165" s="51"/>
    </row>
    <row r="166" spans="1:22" ht="20.100000000000001" customHeight="1" x14ac:dyDescent="0.3">
      <c r="A166" s="44">
        <v>158</v>
      </c>
      <c r="B166" s="22">
        <f>+'Order Details Aug22-Mar23'!P166</f>
        <v>44987</v>
      </c>
      <c r="C166" s="23"/>
      <c r="D166" s="53" t="str">
        <f>+'Order Details Aug22-Mar23'!T166</f>
        <v>Venkateshwara Hatcheries</v>
      </c>
      <c r="E166" s="25"/>
      <c r="F166" s="183" t="str">
        <f>+'Order Details Aug22-Mar23'!D166</f>
        <v>IB (Mass) Live Vaccine</v>
      </c>
      <c r="G166" s="184"/>
      <c r="H166" s="26" t="str">
        <f>+'Order Details Aug22-Mar23'!G166</f>
        <v>Dose</v>
      </c>
      <c r="I166" s="27">
        <f>+'Order Details Aug22-Mar23'!I166</f>
        <v>4000</v>
      </c>
      <c r="J166" s="28"/>
      <c r="K166" s="185" t="str">
        <f>+'Order Details Aug22-Mar23'!R166</f>
        <v>PO / NBF / 020323 / 31</v>
      </c>
      <c r="L166" s="186"/>
      <c r="M166" s="187"/>
      <c r="N166" s="31">
        <f>+'Order Details Aug22-Mar23'!F166*'Order Details Aug22-Mar23'!N166</f>
        <v>445.2</v>
      </c>
      <c r="O166" s="25"/>
      <c r="P166" s="22"/>
      <c r="Q166" s="26"/>
      <c r="R166" s="61">
        <v>7</v>
      </c>
      <c r="S166" s="22">
        <f t="shared" si="9"/>
        <v>7</v>
      </c>
      <c r="T166" s="22"/>
      <c r="U166" s="31"/>
      <c r="V166" s="51"/>
    </row>
    <row r="167" spans="1:22" ht="20.100000000000001" customHeight="1" x14ac:dyDescent="0.3">
      <c r="A167" s="44">
        <v>159</v>
      </c>
      <c r="B167" s="22">
        <f>+'Order Details Aug22-Mar23'!P167</f>
        <v>44987</v>
      </c>
      <c r="C167" s="23"/>
      <c r="D167" s="53" t="str">
        <f>+'Order Details Aug22-Mar23'!T167</f>
        <v>Venkateshwara Hatcheries</v>
      </c>
      <c r="E167" s="25"/>
      <c r="F167" s="183" t="str">
        <f>+'Order Details Aug22-Mar23'!D167</f>
        <v>Fowl Pox Live Vaccine</v>
      </c>
      <c r="G167" s="184"/>
      <c r="H167" s="26" t="str">
        <f>+'Order Details Aug22-Mar23'!G167</f>
        <v>Dose</v>
      </c>
      <c r="I167" s="27">
        <f>+'Order Details Aug22-Mar23'!I167</f>
        <v>4000</v>
      </c>
      <c r="J167" s="28"/>
      <c r="K167" s="185" t="str">
        <f>+'Order Details Aug22-Mar23'!R167</f>
        <v>PO / NBF / 020323 / 31</v>
      </c>
      <c r="L167" s="186"/>
      <c r="M167" s="187"/>
      <c r="N167" s="31">
        <f>+'Order Details Aug22-Mar23'!F167*'Order Details Aug22-Mar23'!N167</f>
        <v>499.8</v>
      </c>
      <c r="O167" s="25"/>
      <c r="P167" s="22"/>
      <c r="Q167" s="26"/>
      <c r="R167" s="61">
        <v>7</v>
      </c>
      <c r="S167" s="22">
        <f t="shared" si="9"/>
        <v>7</v>
      </c>
      <c r="T167" s="22"/>
      <c r="U167" s="31"/>
      <c r="V167" s="51"/>
    </row>
    <row r="168" spans="1:22" ht="20.100000000000001" customHeight="1" x14ac:dyDescent="0.3">
      <c r="A168" s="44">
        <v>160</v>
      </c>
      <c r="B168" s="22">
        <f>+'Order Details Aug22-Mar23'!P168</f>
        <v>44987</v>
      </c>
      <c r="C168" s="23"/>
      <c r="D168" s="53" t="str">
        <f>+'Order Details Aug22-Mar23'!T168</f>
        <v>Venkateshwara Hatcheries</v>
      </c>
      <c r="E168" s="25"/>
      <c r="F168" s="183" t="str">
        <f>+'Order Details Aug22-Mar23'!D168</f>
        <v>ND (Lasota) Live Vaccine</v>
      </c>
      <c r="G168" s="184"/>
      <c r="H168" s="26" t="str">
        <f>+'Order Details Aug22-Mar23'!G168</f>
        <v>Dose</v>
      </c>
      <c r="I168" s="27">
        <f>+'Order Details Aug22-Mar23'!I168</f>
        <v>4000</v>
      </c>
      <c r="J168" s="28"/>
      <c r="K168" s="185" t="str">
        <f>+'Order Details Aug22-Mar23'!R168</f>
        <v>PO / NBF / 020323 / 31</v>
      </c>
      <c r="L168" s="186"/>
      <c r="M168" s="187"/>
      <c r="N168" s="31">
        <f>+'Order Details Aug22-Mar23'!F168*'Order Details Aug22-Mar23'!N168</f>
        <v>239.4</v>
      </c>
      <c r="O168" s="25"/>
      <c r="P168" s="22"/>
      <c r="Q168" s="26"/>
      <c r="R168" s="61">
        <v>7</v>
      </c>
      <c r="S168" s="22">
        <f t="shared" si="9"/>
        <v>7</v>
      </c>
      <c r="T168" s="22"/>
      <c r="U168" s="31"/>
      <c r="V168" s="51"/>
    </row>
    <row r="169" spans="1:22" ht="20.100000000000001" customHeight="1" x14ac:dyDescent="0.3">
      <c r="A169" s="44">
        <v>161</v>
      </c>
      <c r="B169" s="22">
        <f>+'Order Details Aug22-Mar23'!P169</f>
        <v>44987</v>
      </c>
      <c r="C169" s="23"/>
      <c r="D169" s="53" t="str">
        <f>+'Order Details Aug22-Mar23'!T169</f>
        <v>Venkateshwara Hatcheries</v>
      </c>
      <c r="E169" s="25"/>
      <c r="F169" s="183" t="str">
        <f>+'Order Details Aug22-Mar23'!D169</f>
        <v>R2B Live Vaccine</v>
      </c>
      <c r="G169" s="184"/>
      <c r="H169" s="26" t="str">
        <f>+'Order Details Aug22-Mar23'!G169</f>
        <v>Dose</v>
      </c>
      <c r="I169" s="27">
        <f>+'Order Details Aug22-Mar23'!I169</f>
        <v>4000</v>
      </c>
      <c r="J169" s="28"/>
      <c r="K169" s="185" t="str">
        <f>+'Order Details Aug22-Mar23'!R169</f>
        <v>PO / NBF / 020323 / 31</v>
      </c>
      <c r="L169" s="186"/>
      <c r="M169" s="187"/>
      <c r="N169" s="31">
        <f>+'Order Details Aug22-Mar23'!F169*'Order Details Aug22-Mar23'!N169</f>
        <v>529.20000000000005</v>
      </c>
      <c r="O169" s="25"/>
      <c r="P169" s="22"/>
      <c r="Q169" s="26"/>
      <c r="R169" s="61">
        <v>7</v>
      </c>
      <c r="S169" s="22">
        <f t="shared" ref="S169:S180" si="10">P169+R169</f>
        <v>7</v>
      </c>
      <c r="T169" s="22"/>
      <c r="U169" s="31"/>
      <c r="V169" s="51"/>
    </row>
    <row r="170" spans="1:22" ht="20.100000000000001" customHeight="1" x14ac:dyDescent="0.3">
      <c r="A170" s="44">
        <v>162</v>
      </c>
      <c r="B170" s="22">
        <f>+'Order Details Aug22-Mar23'!P170</f>
        <v>44987</v>
      </c>
      <c r="C170" s="23"/>
      <c r="D170" s="53" t="str">
        <f>+'Order Details Aug22-Mar23'!T170</f>
        <v>Venkateshwara Hatcheries</v>
      </c>
      <c r="E170" s="25"/>
      <c r="F170" s="183" t="str">
        <f>+'Order Details Aug22-Mar23'!D170</f>
        <v>VVMD (HVT+SB1) Live Vaccine</v>
      </c>
      <c r="G170" s="184"/>
      <c r="H170" s="26" t="str">
        <f>+'Order Details Aug22-Mar23'!G170</f>
        <v>Dose</v>
      </c>
      <c r="I170" s="27">
        <f>+'Order Details Aug22-Mar23'!I170</f>
        <v>4000</v>
      </c>
      <c r="J170" s="28"/>
      <c r="K170" s="185" t="str">
        <f>+'Order Details Aug22-Mar23'!R170</f>
        <v>PO / NBF / 020323 / 31</v>
      </c>
      <c r="L170" s="186"/>
      <c r="M170" s="187"/>
      <c r="N170" s="31">
        <f>+'Order Details Aug22-Mar23'!F170*'Order Details Aug22-Mar23'!N170</f>
        <v>8236.2000000000007</v>
      </c>
      <c r="O170" s="25"/>
      <c r="P170" s="22"/>
      <c r="Q170" s="26"/>
      <c r="R170" s="61">
        <v>7</v>
      </c>
      <c r="S170" s="22">
        <f t="shared" si="10"/>
        <v>7</v>
      </c>
      <c r="T170" s="22"/>
      <c r="U170" s="31"/>
      <c r="V170" s="51"/>
    </row>
    <row r="171" spans="1:22" ht="20.100000000000001" customHeight="1" x14ac:dyDescent="0.3">
      <c r="A171" s="44">
        <v>163</v>
      </c>
      <c r="B171" s="22">
        <f>+'Order Details Aug22-Mar23'!P171</f>
        <v>44987</v>
      </c>
      <c r="C171" s="23"/>
      <c r="D171" s="53" t="str">
        <f>+'Order Details Aug22-Mar23'!T171</f>
        <v>Venkateshwara Hatcheries</v>
      </c>
      <c r="E171" s="25"/>
      <c r="F171" s="183" t="str">
        <f>+'Order Details Aug22-Mar23'!D171</f>
        <v>IBH KILLED VAC</v>
      </c>
      <c r="G171" s="184"/>
      <c r="H171" s="26" t="str">
        <f>+'Order Details Aug22-Mar23'!G171</f>
        <v>Dose</v>
      </c>
      <c r="I171" s="27">
        <f>+'Order Details Aug22-Mar23'!I171</f>
        <v>46000</v>
      </c>
      <c r="J171" s="28"/>
      <c r="K171" s="185" t="str">
        <f>+'Order Details Aug22-Mar23'!R171</f>
        <v>PO / NBF / 020323 / 31</v>
      </c>
      <c r="L171" s="186"/>
      <c r="M171" s="187"/>
      <c r="N171" s="31">
        <f>+'Order Details Aug22-Mar23'!F171*'Order Details Aug22-Mar23'!N171</f>
        <v>63417.9</v>
      </c>
      <c r="O171" s="25"/>
      <c r="P171" s="22"/>
      <c r="Q171" s="26"/>
      <c r="R171" s="61">
        <v>7</v>
      </c>
      <c r="S171" s="22">
        <f t="shared" si="10"/>
        <v>7</v>
      </c>
      <c r="T171" s="22"/>
      <c r="U171" s="31"/>
      <c r="V171" s="51"/>
    </row>
    <row r="172" spans="1:22" ht="20.100000000000001" customHeight="1" x14ac:dyDescent="0.3">
      <c r="A172" s="44">
        <v>164</v>
      </c>
      <c r="B172" s="22">
        <f>+'Order Details Aug22-Mar23'!P172</f>
        <v>44987</v>
      </c>
      <c r="C172" s="23"/>
      <c r="D172" s="53" t="str">
        <f>+'Order Details Aug22-Mar23'!T172</f>
        <v>Venkateshwara Hatcheries</v>
      </c>
      <c r="E172" s="25"/>
      <c r="F172" s="183" t="str">
        <f>+'Order Details Aug22-Mar23'!D172</f>
        <v xml:space="preserve">ND KILLED (Visa-15) VAC </v>
      </c>
      <c r="G172" s="184"/>
      <c r="H172" s="26" t="str">
        <f>+'Order Details Aug22-Mar23'!G172</f>
        <v>Dose</v>
      </c>
      <c r="I172" s="27">
        <f>+'Order Details Aug22-Mar23'!I172</f>
        <v>4000</v>
      </c>
      <c r="J172" s="28"/>
      <c r="K172" s="185" t="str">
        <f>+'Order Details Aug22-Mar23'!R172</f>
        <v>PO / NBF / 020323 / 31</v>
      </c>
      <c r="L172" s="186"/>
      <c r="M172" s="187"/>
      <c r="N172" s="31">
        <f>+'Order Details Aug22-Mar23'!F172*'Order Details Aug22-Mar23'!N172</f>
        <v>3859.8</v>
      </c>
      <c r="O172" s="25"/>
      <c r="P172" s="22"/>
      <c r="Q172" s="26"/>
      <c r="R172" s="61">
        <v>7</v>
      </c>
      <c r="S172" s="22">
        <f t="shared" si="10"/>
        <v>7</v>
      </c>
      <c r="T172" s="22"/>
      <c r="U172" s="31"/>
      <c r="V172" s="51"/>
    </row>
    <row r="173" spans="1:22" ht="20.100000000000001" customHeight="1" x14ac:dyDescent="0.3">
      <c r="A173" s="44">
        <v>165</v>
      </c>
      <c r="B173" s="22">
        <f>+'Order Details Aug22-Mar23'!P173</f>
        <v>44987</v>
      </c>
      <c r="C173" s="23"/>
      <c r="D173" s="53" t="str">
        <f>+'Order Details Aug22-Mar23'!T173</f>
        <v>Venkateshwara Hatcheries</v>
      </c>
      <c r="E173" s="25"/>
      <c r="F173" s="183" t="str">
        <f>+'Order Details Aug22-Mar23'!D173</f>
        <v>REO KILLED VAC</v>
      </c>
      <c r="G173" s="184"/>
      <c r="H173" s="26" t="str">
        <f>+'Order Details Aug22-Mar23'!G173</f>
        <v>Dose</v>
      </c>
      <c r="I173" s="27">
        <f>+'Order Details Aug22-Mar23'!I173</f>
        <v>4000</v>
      </c>
      <c r="J173" s="28"/>
      <c r="K173" s="185" t="str">
        <f>+'Order Details Aug22-Mar23'!R173</f>
        <v>PO / NBF / 020323 / 31</v>
      </c>
      <c r="L173" s="186"/>
      <c r="M173" s="187"/>
      <c r="N173" s="31">
        <f>+'Order Details Aug22-Mar23'!F173*'Order Details Aug22-Mar23'!N173</f>
        <v>8488.2000000000007</v>
      </c>
      <c r="O173" s="25"/>
      <c r="P173" s="22"/>
      <c r="Q173" s="26"/>
      <c r="R173" s="61">
        <v>7</v>
      </c>
      <c r="S173" s="22">
        <f t="shared" si="10"/>
        <v>7</v>
      </c>
      <c r="T173" s="22"/>
      <c r="U173" s="31"/>
      <c r="V173" s="51"/>
    </row>
    <row r="174" spans="1:22" ht="20.100000000000001" customHeight="1" x14ac:dyDescent="0.3">
      <c r="A174" s="44">
        <v>166</v>
      </c>
      <c r="B174" s="22">
        <f>+'Order Details Aug22-Mar23'!P174</f>
        <v>44987</v>
      </c>
      <c r="C174" s="23"/>
      <c r="D174" s="53" t="str">
        <f>+'Order Details Aug22-Mar23'!T174</f>
        <v>Venkateshwara Hatcheries</v>
      </c>
      <c r="E174" s="25"/>
      <c r="F174" s="183" t="str">
        <f>+'Order Details Aug22-Mar23'!D174</f>
        <v>SALMONELLA KILLED VAC</v>
      </c>
      <c r="G174" s="184"/>
      <c r="H174" s="26" t="str">
        <f>+'Order Details Aug22-Mar23'!G174</f>
        <v>Dose</v>
      </c>
      <c r="I174" s="27">
        <f>+'Order Details Aug22-Mar23'!I174</f>
        <v>4000</v>
      </c>
      <c r="J174" s="28"/>
      <c r="K174" s="185" t="str">
        <f>+'Order Details Aug22-Mar23'!R174</f>
        <v>PO / NBF / 020323 / 31</v>
      </c>
      <c r="L174" s="186"/>
      <c r="M174" s="187"/>
      <c r="N174" s="31">
        <f>+'Order Details Aug22-Mar23'!F174*'Order Details Aug22-Mar23'!N174</f>
        <v>11907</v>
      </c>
      <c r="O174" s="25"/>
      <c r="P174" s="22"/>
      <c r="Q174" s="26"/>
      <c r="R174" s="61">
        <v>7</v>
      </c>
      <c r="S174" s="22">
        <f t="shared" si="10"/>
        <v>7</v>
      </c>
      <c r="T174" s="22"/>
      <c r="U174" s="31"/>
      <c r="V174" s="51"/>
    </row>
    <row r="175" spans="1:22" ht="20.100000000000001" customHeight="1" x14ac:dyDescent="0.3">
      <c r="A175" s="44">
        <v>167</v>
      </c>
      <c r="B175" s="22">
        <f>+'Order Details Aug22-Mar23'!P175</f>
        <v>44987</v>
      </c>
      <c r="C175" s="23"/>
      <c r="D175" s="53" t="str">
        <f>+'Order Details Aug22-Mar23'!T175</f>
        <v>Venkateshwara Hatcheries</v>
      </c>
      <c r="E175" s="25"/>
      <c r="F175" s="183" t="str">
        <f>+'Order Details Aug22-Mar23'!D175</f>
        <v xml:space="preserve">VH F1C7 (FC+IC) KILLED VAC </v>
      </c>
      <c r="G175" s="184"/>
      <c r="H175" s="26" t="str">
        <f>+'Order Details Aug22-Mar23'!G175</f>
        <v>Dose</v>
      </c>
      <c r="I175" s="27">
        <f>+'Order Details Aug22-Mar23'!I175</f>
        <v>4000</v>
      </c>
      <c r="J175" s="28"/>
      <c r="K175" s="185" t="str">
        <f>+'Order Details Aug22-Mar23'!R175</f>
        <v>PO / NBF / 020323 / 31</v>
      </c>
      <c r="L175" s="186"/>
      <c r="M175" s="187"/>
      <c r="N175" s="31">
        <f>+'Order Details Aug22-Mar23'!F175*'Order Details Aug22-Mar23'!N175</f>
        <v>9924.6</v>
      </c>
      <c r="O175" s="25"/>
      <c r="P175" s="22"/>
      <c r="Q175" s="26"/>
      <c r="R175" s="61">
        <v>7</v>
      </c>
      <c r="S175" s="22">
        <f t="shared" si="10"/>
        <v>7</v>
      </c>
      <c r="T175" s="22"/>
      <c r="U175" s="31"/>
      <c r="V175" s="51"/>
    </row>
    <row r="176" spans="1:22" ht="20.100000000000001" customHeight="1" x14ac:dyDescent="0.3">
      <c r="A176" s="44">
        <v>168</v>
      </c>
      <c r="B176" s="22">
        <f>+'Order Details Aug22-Mar23'!P176</f>
        <v>44987</v>
      </c>
      <c r="C176" s="23"/>
      <c r="D176" s="53" t="str">
        <f>+'Order Details Aug22-Mar23'!T176</f>
        <v>Venkateshwara Hatcheries</v>
      </c>
      <c r="E176" s="25"/>
      <c r="F176" s="183" t="str">
        <f>+'Order Details Aug22-Mar23'!D176</f>
        <v>Sterile Diluent for Live Vac</v>
      </c>
      <c r="G176" s="184"/>
      <c r="H176" s="26" t="str">
        <f>+'Order Details Aug22-Mar23'!G176</f>
        <v>ML</v>
      </c>
      <c r="I176" s="27">
        <f>+'Order Details Aug22-Mar23'!I176</f>
        <v>900</v>
      </c>
      <c r="J176" s="28"/>
      <c r="K176" s="185" t="str">
        <f>+'Order Details Aug22-Mar23'!R176</f>
        <v>PO / NBF / 020323 / 31</v>
      </c>
      <c r="L176" s="186"/>
      <c r="M176" s="187"/>
      <c r="N176" s="31">
        <f>+'Order Details Aug22-Mar23'!F176*'Order Details Aug22-Mar23'!N176</f>
        <v>55.125</v>
      </c>
      <c r="O176" s="25"/>
      <c r="P176" s="22"/>
      <c r="Q176" s="26"/>
      <c r="R176" s="61">
        <v>7</v>
      </c>
      <c r="S176" s="22">
        <f t="shared" si="10"/>
        <v>7</v>
      </c>
      <c r="T176" s="22"/>
      <c r="U176" s="31"/>
      <c r="V176" s="51"/>
    </row>
    <row r="177" spans="1:22" ht="20.100000000000001" customHeight="1" x14ac:dyDescent="0.3">
      <c r="A177" s="44">
        <v>169</v>
      </c>
      <c r="B177" s="22">
        <f>+'Order Details Aug22-Mar23'!P177</f>
        <v>44987</v>
      </c>
      <c r="C177" s="23"/>
      <c r="D177" s="53" t="str">
        <f>+'Order Details Aug22-Mar23'!T177</f>
        <v>Venkateshwara Hatcheries</v>
      </c>
      <c r="E177" s="25"/>
      <c r="F177" s="183" t="str">
        <f>+'Order Details Aug22-Mar23'!D177</f>
        <v>Sterile Diluent for R2B Vac</v>
      </c>
      <c r="G177" s="184"/>
      <c r="H177" s="26" t="str">
        <f>+'Order Details Aug22-Mar23'!G177</f>
        <v>ML</v>
      </c>
      <c r="I177" s="27">
        <f>+'Order Details Aug22-Mar23'!I177</f>
        <v>2500</v>
      </c>
      <c r="J177" s="28"/>
      <c r="K177" s="185" t="str">
        <f>+'Order Details Aug22-Mar23'!R177</f>
        <v>PO / NBF / 020323 / 31</v>
      </c>
      <c r="L177" s="186"/>
      <c r="M177" s="187"/>
      <c r="N177" s="31">
        <f>+'Order Details Aug22-Mar23'!F177*'Order Details Aug22-Mar23'!N177</f>
        <v>9.1875</v>
      </c>
      <c r="O177" s="25"/>
      <c r="P177" s="22"/>
      <c r="Q177" s="26"/>
      <c r="R177" s="61">
        <v>7</v>
      </c>
      <c r="S177" s="22">
        <f t="shared" si="10"/>
        <v>7</v>
      </c>
      <c r="T177" s="22"/>
      <c r="U177" s="31"/>
      <c r="V177" s="51"/>
    </row>
    <row r="178" spans="1:22" ht="20.100000000000001" customHeight="1" x14ac:dyDescent="0.3">
      <c r="A178" s="44">
        <v>170</v>
      </c>
      <c r="B178" s="22">
        <f>+'Order Details Aug22-Mar23'!P178</f>
        <v>44987</v>
      </c>
      <c r="C178" s="23"/>
      <c r="D178" s="53" t="str">
        <f>+'Order Details Aug22-Mar23'!T178</f>
        <v>Venkateshwara Hatcheries</v>
      </c>
      <c r="E178" s="25"/>
      <c r="F178" s="183" t="str">
        <f>+'Order Details Aug22-Mar23'!D178</f>
        <v>Sterile Diluent for VVMD Vac</v>
      </c>
      <c r="G178" s="184"/>
      <c r="H178" s="26" t="str">
        <f>+'Order Details Aug22-Mar23'!G178</f>
        <v>ML</v>
      </c>
      <c r="I178" s="27">
        <f>+'Order Details Aug22-Mar23'!I178</f>
        <v>1000</v>
      </c>
      <c r="J178" s="28"/>
      <c r="K178" s="185" t="str">
        <f>+'Order Details Aug22-Mar23'!R178</f>
        <v>PO / NBF / 020323 / 31</v>
      </c>
      <c r="L178" s="186"/>
      <c r="M178" s="187"/>
      <c r="N178" s="31">
        <f>+'Order Details Aug22-Mar23'!F178*'Order Details Aug22-Mar23'!N178</f>
        <v>6.5625</v>
      </c>
      <c r="O178" s="25"/>
      <c r="P178" s="22"/>
      <c r="Q178" s="26"/>
      <c r="R178" s="61">
        <v>7</v>
      </c>
      <c r="S178" s="22">
        <f t="shared" si="10"/>
        <v>7</v>
      </c>
      <c r="T178" s="22"/>
      <c r="U178" s="31"/>
      <c r="V178" s="51"/>
    </row>
    <row r="179" spans="1:22" ht="20.100000000000001" customHeight="1" x14ac:dyDescent="0.3">
      <c r="A179" s="44">
        <v>171</v>
      </c>
      <c r="B179" s="22">
        <f>+'Order Details Aug22-Mar23'!P179</f>
        <v>44987</v>
      </c>
      <c r="C179" s="23"/>
      <c r="D179" s="53" t="str">
        <f>+'Order Details Aug22-Mar23'!T179</f>
        <v>Hester Biosciences Limited</v>
      </c>
      <c r="E179" s="25"/>
      <c r="F179" s="183" t="str">
        <f>+'Order Details Aug22-Mar23'!D179</f>
        <v>ILT(GI- 10000) Live Vaccine</v>
      </c>
      <c r="G179" s="184"/>
      <c r="H179" s="26" t="str">
        <f>+'Order Details Aug22-Mar23'!G179</f>
        <v>Dose</v>
      </c>
      <c r="I179" s="27">
        <f>+'Order Details Aug22-Mar23'!I179</f>
        <v>4000</v>
      </c>
      <c r="J179" s="28"/>
      <c r="K179" s="185" t="str">
        <f>+'Order Details Aug22-Mar23'!R179</f>
        <v>PO / NBF / 020323 / 32</v>
      </c>
      <c r="L179" s="186"/>
      <c r="M179" s="187"/>
      <c r="N179" s="31">
        <f>+'Order Details Aug22-Mar23'!F179*'Order Details Aug22-Mar23'!N179</f>
        <v>6300</v>
      </c>
      <c r="O179" s="25"/>
      <c r="P179" s="22"/>
      <c r="Q179" s="26"/>
      <c r="R179" s="67">
        <v>7</v>
      </c>
      <c r="S179" s="22">
        <f t="shared" si="10"/>
        <v>7</v>
      </c>
      <c r="T179" s="22"/>
      <c r="U179" s="31"/>
      <c r="V179" s="51"/>
    </row>
    <row r="180" spans="1:22" ht="20.100000000000001" customHeight="1" x14ac:dyDescent="0.3">
      <c r="A180" s="44">
        <v>172</v>
      </c>
      <c r="B180" s="22">
        <f>+'Order Details Aug22-Mar23'!P180</f>
        <v>44987</v>
      </c>
      <c r="C180" s="23"/>
      <c r="D180" s="53" t="str">
        <f>+'Order Details Aug22-Mar23'!T180</f>
        <v>Hester Biosciences Limited</v>
      </c>
      <c r="E180" s="25"/>
      <c r="F180" s="183" t="str">
        <f>+'Order Details Aug22-Mar23'!D180</f>
        <v>INACTIVATED PULLET ND (LPAI)</v>
      </c>
      <c r="G180" s="184"/>
      <c r="H180" s="26" t="str">
        <f>+'Order Details Aug22-Mar23'!G180</f>
        <v>Dose</v>
      </c>
      <c r="I180" s="27">
        <f>+'Order Details Aug22-Mar23'!I180</f>
        <v>4000</v>
      </c>
      <c r="J180" s="28"/>
      <c r="K180" s="185" t="str">
        <f>+'Order Details Aug22-Mar23'!R180</f>
        <v>PO / NBF / 020323 / 32</v>
      </c>
      <c r="L180" s="186"/>
      <c r="M180" s="187"/>
      <c r="N180" s="31">
        <f>+'Order Details Aug22-Mar23'!F180*'Order Details Aug22-Mar23'!N180</f>
        <v>3790.4160000000002</v>
      </c>
      <c r="O180" s="25"/>
      <c r="P180" s="22"/>
      <c r="Q180" s="26"/>
      <c r="R180" s="67">
        <v>7</v>
      </c>
      <c r="S180" s="22">
        <f t="shared" si="10"/>
        <v>7</v>
      </c>
      <c r="T180" s="22"/>
      <c r="U180" s="31"/>
      <c r="V180" s="51"/>
    </row>
    <row r="181" spans="1:22" ht="20.100000000000001" customHeight="1" x14ac:dyDescent="0.3">
      <c r="A181" s="44">
        <v>173</v>
      </c>
      <c r="B181" s="22">
        <f>+'Order Details Aug22-Mar23'!P181</f>
        <v>44987</v>
      </c>
      <c r="C181" s="23"/>
      <c r="D181" s="53" t="str">
        <f>+'Order Details Aug22-Mar23'!T181</f>
        <v>Hester Biosciences Limited</v>
      </c>
      <c r="E181" s="25"/>
      <c r="F181" s="183" t="str">
        <f>+'Order Details Aug22-Mar23'!D181</f>
        <v>INACTIVATED PULLET ND (HPAI)</v>
      </c>
      <c r="G181" s="184"/>
      <c r="H181" s="26" t="str">
        <f>+'Order Details Aug22-Mar23'!G181</f>
        <v>Dose</v>
      </c>
      <c r="I181" s="27">
        <f>+'Order Details Aug22-Mar23'!I181</f>
        <v>4000</v>
      </c>
      <c r="J181" s="28"/>
      <c r="K181" s="185" t="str">
        <f>+'Order Details Aug22-Mar23'!R181</f>
        <v>PO / NBF / 020323 / 32</v>
      </c>
      <c r="L181" s="186"/>
      <c r="M181" s="187"/>
      <c r="N181" s="31">
        <f>+'Order Details Aug22-Mar23'!F181*'Order Details Aug22-Mar23'!N181</f>
        <v>10228.049999999999</v>
      </c>
      <c r="O181" s="25"/>
      <c r="P181" s="22"/>
      <c r="Q181" s="26"/>
      <c r="R181" s="67">
        <v>7</v>
      </c>
      <c r="S181" s="22">
        <f t="shared" ref="S181:S190" si="11">P181+R181</f>
        <v>7</v>
      </c>
      <c r="T181" s="22"/>
      <c r="U181" s="31"/>
      <c r="V181" s="51"/>
    </row>
    <row r="182" spans="1:22" ht="20.100000000000001" customHeight="1" x14ac:dyDescent="0.3">
      <c r="A182" s="44">
        <v>174</v>
      </c>
      <c r="B182" s="22">
        <f>+'Order Details Aug22-Mar23'!P182</f>
        <v>44987</v>
      </c>
      <c r="C182" s="23"/>
      <c r="D182" s="53" t="str">
        <f>+'Order Details Aug22-Mar23'!T182</f>
        <v>Crescent Marketing, Hyderabad</v>
      </c>
      <c r="E182" s="25"/>
      <c r="F182" s="183" t="str">
        <f>+'Order Details Aug22-Mar23'!D182</f>
        <v>BRONCHIN KILLED VACCINE</v>
      </c>
      <c r="G182" s="184"/>
      <c r="H182" s="26" t="str">
        <f>+'Order Details Aug22-Mar23'!G182</f>
        <v>Dose</v>
      </c>
      <c r="I182" s="27">
        <f>+'Order Details Aug22-Mar23'!I182</f>
        <v>4000</v>
      </c>
      <c r="J182" s="28"/>
      <c r="K182" s="185" t="str">
        <f>+'Order Details Aug22-Mar23'!R182</f>
        <v>PO / NBF / 020323 / 33</v>
      </c>
      <c r="L182" s="186"/>
      <c r="M182" s="187"/>
      <c r="N182" s="31">
        <f>+'Order Details Aug22-Mar23'!F182*'Order Details Aug22-Mar23'!N182</f>
        <v>11642.4</v>
      </c>
      <c r="O182" s="25"/>
      <c r="P182" s="22"/>
      <c r="Q182" s="26"/>
      <c r="R182" s="26">
        <v>45</v>
      </c>
      <c r="S182" s="22">
        <f t="shared" si="11"/>
        <v>45</v>
      </c>
      <c r="T182" s="22"/>
      <c r="U182" s="31"/>
      <c r="V182" s="51"/>
    </row>
    <row r="183" spans="1:22" ht="20.100000000000001" customHeight="1" x14ac:dyDescent="0.3">
      <c r="A183" s="44">
        <v>175</v>
      </c>
      <c r="B183" s="22">
        <f>+'Order Details Aug22-Mar23'!P183</f>
        <v>44987</v>
      </c>
      <c r="C183" s="23"/>
      <c r="D183" s="53" t="str">
        <f>+'Order Details Aug22-Mar23'!T183</f>
        <v>Tara Enterprises, Hyderabad</v>
      </c>
      <c r="E183" s="25"/>
      <c r="F183" s="183" t="str">
        <f>+'Order Details Aug22-Mar23'!D183</f>
        <v>HIPRAVIHAR Clon H-120</v>
      </c>
      <c r="G183" s="184"/>
      <c r="H183" s="26" t="str">
        <f>+'Order Details Aug22-Mar23'!G183</f>
        <v>Dose</v>
      </c>
      <c r="I183" s="27">
        <f>+'Order Details Aug22-Mar23'!I183</f>
        <v>12500</v>
      </c>
      <c r="J183" s="28"/>
      <c r="K183" s="185" t="str">
        <f>+'Order Details Aug22-Mar23'!R183</f>
        <v>PO / NBF / 020323 / 34</v>
      </c>
      <c r="L183" s="186"/>
      <c r="M183" s="187"/>
      <c r="N183" s="31">
        <f>+'Order Details Aug22-Mar23'!F183*'Order Details Aug22-Mar23'!N183</f>
        <v>2887.5</v>
      </c>
      <c r="O183" s="25"/>
      <c r="P183" s="22"/>
      <c r="Q183" s="26"/>
      <c r="R183" s="26">
        <v>45</v>
      </c>
      <c r="S183" s="22">
        <f t="shared" si="11"/>
        <v>45</v>
      </c>
      <c r="T183" s="22"/>
      <c r="U183" s="31"/>
      <c r="V183" s="51"/>
    </row>
    <row r="184" spans="1:22" ht="20.100000000000001" customHeight="1" x14ac:dyDescent="0.3">
      <c r="A184" s="44">
        <v>176</v>
      </c>
      <c r="B184" s="22">
        <f>+'Order Details Aug22-Mar23'!P184</f>
        <v>44987</v>
      </c>
      <c r="C184" s="23"/>
      <c r="D184" s="53" t="str">
        <f>+'Order Details Aug22-Mar23'!T184</f>
        <v>Venkateshwara Marketing Hyd</v>
      </c>
      <c r="E184" s="25"/>
      <c r="F184" s="183" t="str">
        <f>+'Order Details Aug22-Mar23'!D184</f>
        <v>Nobilis IB (MA-5) Live Vaccine</v>
      </c>
      <c r="G184" s="184"/>
      <c r="H184" s="26" t="str">
        <f>+'Order Details Aug22-Mar23'!G184</f>
        <v>Dose</v>
      </c>
      <c r="I184" s="27">
        <f>+'Order Details Aug22-Mar23'!I184</f>
        <v>5000</v>
      </c>
      <c r="J184" s="28"/>
      <c r="K184" s="185" t="str">
        <f>+'Order Details Aug22-Mar23'!R184</f>
        <v>PO / NBF / 020323 / 35</v>
      </c>
      <c r="L184" s="186"/>
      <c r="M184" s="187"/>
      <c r="N184" s="31">
        <f>+'Order Details Aug22-Mar23'!F184*'Order Details Aug22-Mar23'!N184</f>
        <v>2520</v>
      </c>
      <c r="O184" s="25"/>
      <c r="P184" s="22"/>
      <c r="Q184" s="26"/>
      <c r="R184" s="26">
        <v>45</v>
      </c>
      <c r="S184" s="22">
        <f t="shared" si="11"/>
        <v>45</v>
      </c>
      <c r="T184" s="22"/>
      <c r="U184" s="31"/>
      <c r="V184" s="51"/>
    </row>
    <row r="185" spans="1:22" ht="20.100000000000001" customHeight="1" x14ac:dyDescent="0.3">
      <c r="A185" s="44">
        <v>177</v>
      </c>
      <c r="B185" s="22">
        <f>+'Order Details Aug22-Mar23'!P185</f>
        <v>45000</v>
      </c>
      <c r="C185" s="23"/>
      <c r="D185" s="53" t="str">
        <f>+'Order Details Aug22-Mar23'!T185</f>
        <v>Sneha Farms Pvt Ltd, Hyd</v>
      </c>
      <c r="E185" s="25"/>
      <c r="F185" s="183" t="str">
        <f>+'Order Details Aug22-Mar23'!D185</f>
        <v>Lysine HCL (Meihua)</v>
      </c>
      <c r="G185" s="184"/>
      <c r="H185" s="26" t="str">
        <f>+'Order Details Aug22-Mar23'!G185</f>
        <v>Kg</v>
      </c>
      <c r="I185" s="27">
        <f>+'Order Details Aug22-Mar23'!I185</f>
        <v>500</v>
      </c>
      <c r="J185" s="28"/>
      <c r="K185" s="185" t="str">
        <f>+'Order Details Aug22-Mar23'!R185</f>
        <v>PO / NBF / 150323 / 36</v>
      </c>
      <c r="L185" s="186"/>
      <c r="M185" s="187"/>
      <c r="N185" s="31">
        <f>+'Order Details Aug22-Mar23'!F185*'Order Details Aug22-Mar23'!N185</f>
        <v>80000.460000000006</v>
      </c>
      <c r="O185" s="25"/>
      <c r="P185" s="22"/>
      <c r="Q185" s="26"/>
      <c r="R185" s="26">
        <v>7</v>
      </c>
      <c r="S185" s="22">
        <f t="shared" si="11"/>
        <v>7</v>
      </c>
      <c r="T185" s="22"/>
      <c r="U185" s="31"/>
      <c r="V185" s="51"/>
    </row>
    <row r="186" spans="1:22" ht="20.100000000000001" customHeight="1" x14ac:dyDescent="0.3">
      <c r="A186" s="44">
        <v>178</v>
      </c>
      <c r="B186" s="22">
        <f>+'Order Details Aug22-Mar23'!P186</f>
        <v>45000</v>
      </c>
      <c r="C186" s="23"/>
      <c r="D186" s="53" t="str">
        <f>+'Order Details Aug22-Mar23'!T186</f>
        <v>Sneha Farms Pvt Ltd, Hyd</v>
      </c>
      <c r="E186" s="25"/>
      <c r="F186" s="183" t="str">
        <f>+'Order Details Aug22-Mar23'!D186</f>
        <v>DL Methionine (Evonik)</v>
      </c>
      <c r="G186" s="184"/>
      <c r="H186" s="26" t="str">
        <f>+'Order Details Aug22-Mar23'!G186</f>
        <v>Kg</v>
      </c>
      <c r="I186" s="27">
        <f>+'Order Details Aug22-Mar23'!I186</f>
        <v>500</v>
      </c>
      <c r="J186" s="28"/>
      <c r="K186" s="185" t="str">
        <f>+'Order Details Aug22-Mar23'!R186</f>
        <v>PO / NBF / 150323 / 36</v>
      </c>
      <c r="L186" s="186"/>
      <c r="M186" s="187"/>
      <c r="N186" s="31">
        <f>+'Order Details Aug22-Mar23'!F186*'Order Details Aug22-Mar23'!N186</f>
        <v>118000</v>
      </c>
      <c r="O186" s="25"/>
      <c r="P186" s="22"/>
      <c r="Q186" s="26"/>
      <c r="R186" s="26">
        <v>7</v>
      </c>
      <c r="S186" s="22">
        <f t="shared" si="11"/>
        <v>7</v>
      </c>
      <c r="T186" s="22"/>
      <c r="U186" s="31"/>
      <c r="V186" s="51"/>
    </row>
    <row r="187" spans="1:22" ht="20.100000000000001" customHeight="1" x14ac:dyDescent="0.3">
      <c r="A187" s="44">
        <v>179</v>
      </c>
      <c r="B187" s="22">
        <f>+'Order Details Aug22-Mar23'!P187</f>
        <v>45000</v>
      </c>
      <c r="C187" s="23"/>
      <c r="D187" s="53" t="str">
        <f>+'Order Details Aug22-Mar23'!T187</f>
        <v>Arevin Lifesciences Pvt Ltd</v>
      </c>
      <c r="E187" s="25"/>
      <c r="F187" s="183" t="str">
        <f>+'Order Details Aug22-Mar23'!D187</f>
        <v>MICROVIT-E 50 Promix (Adisseo)</v>
      </c>
      <c r="G187" s="184"/>
      <c r="H187" s="26" t="str">
        <f>+'Order Details Aug22-Mar23'!G187</f>
        <v>Kg</v>
      </c>
      <c r="I187" s="27">
        <f>+'Order Details Aug22-Mar23'!I187</f>
        <v>100</v>
      </c>
      <c r="J187" s="28"/>
      <c r="K187" s="185" t="str">
        <f>+'Order Details Aug22-Mar23'!R187</f>
        <v>PO / NBF / 150323 / 37</v>
      </c>
      <c r="L187" s="186"/>
      <c r="M187" s="187"/>
      <c r="N187" s="31">
        <f>+'Order Details Aug22-Mar23'!F187*'Order Details Aug22-Mar23'!N187</f>
        <v>92000</v>
      </c>
      <c r="O187" s="25"/>
      <c r="P187" s="22"/>
      <c r="Q187" s="26"/>
      <c r="R187" s="26">
        <v>30</v>
      </c>
      <c r="S187" s="22">
        <f t="shared" si="11"/>
        <v>30</v>
      </c>
      <c r="T187" s="22"/>
      <c r="U187" s="31"/>
      <c r="V187" s="51"/>
    </row>
    <row r="188" spans="1:22" ht="20.100000000000001" customHeight="1" x14ac:dyDescent="0.3">
      <c r="A188" s="44">
        <v>180</v>
      </c>
      <c r="B188" s="22">
        <f>+'Order Details Aug22-Mar23'!P188</f>
        <v>45007</v>
      </c>
      <c r="C188" s="23"/>
      <c r="D188" s="53" t="str">
        <f>+'Order Details Aug22-Mar23'!T188</f>
        <v>Alivira Animal Heaith Ltd</v>
      </c>
      <c r="E188" s="25"/>
      <c r="F188" s="183" t="str">
        <f>+'Order Details Aug22-Mar23'!D188</f>
        <v>CITRINAL (Alivira)</v>
      </c>
      <c r="G188" s="184"/>
      <c r="H188" s="26" t="str">
        <f>+'Order Details Aug22-Mar23'!G188</f>
        <v>Kg</v>
      </c>
      <c r="I188" s="27">
        <f>+'Order Details Aug22-Mar23'!I188</f>
        <v>500</v>
      </c>
      <c r="J188" s="28"/>
      <c r="K188" s="185" t="str">
        <f>+'Order Details Aug22-Mar23'!R188</f>
        <v>PO / NBF / 220323 / 38</v>
      </c>
      <c r="L188" s="186"/>
      <c r="M188" s="187"/>
      <c r="N188" s="31">
        <f>+'Order Details Aug22-Mar23'!F188*'Order Details Aug22-Mar23'!N188</f>
        <v>75000</v>
      </c>
      <c r="O188" s="25"/>
      <c r="P188" s="22"/>
      <c r="Q188" s="26"/>
      <c r="R188" s="26">
        <v>45</v>
      </c>
      <c r="S188" s="22">
        <f t="shared" si="11"/>
        <v>45</v>
      </c>
      <c r="T188" s="22"/>
      <c r="U188" s="31"/>
      <c r="V188" s="51"/>
    </row>
    <row r="189" spans="1:22" ht="20.100000000000001" customHeight="1" x14ac:dyDescent="0.3">
      <c r="A189" s="44">
        <v>181</v>
      </c>
      <c r="B189" s="22">
        <f>+'Order Details Aug22-Mar23'!P189</f>
        <v>45007</v>
      </c>
      <c r="C189" s="23"/>
      <c r="D189" s="53" t="str">
        <f>+'Order Details Aug22-Mar23'!T189</f>
        <v>Alltech Biotechnology Pvt Ltd</v>
      </c>
      <c r="E189" s="25"/>
      <c r="F189" s="183" t="str">
        <f>+'Order Details Aug22-Mar23'!D189</f>
        <v>BIOPLEX POULTRY PAK</v>
      </c>
      <c r="G189" s="184"/>
      <c r="H189" s="26" t="str">
        <f>+'Order Details Aug22-Mar23'!G189</f>
        <v>Kg</v>
      </c>
      <c r="I189" s="27">
        <f>+'Order Details Aug22-Mar23'!I189</f>
        <v>500</v>
      </c>
      <c r="J189" s="28"/>
      <c r="K189" s="185" t="str">
        <f>+'Order Details Aug22-Mar23'!R189</f>
        <v>PO / NBF / 220323 / 39</v>
      </c>
      <c r="L189" s="186"/>
      <c r="M189" s="187"/>
      <c r="N189" s="31">
        <f>+'Order Details Aug22-Mar23'!F189*'Order Details Aug22-Mar23'!N189</f>
        <v>137500</v>
      </c>
      <c r="O189" s="25"/>
      <c r="P189" s="22"/>
      <c r="Q189" s="26"/>
      <c r="R189" s="61">
        <v>45</v>
      </c>
      <c r="S189" s="22">
        <f t="shared" si="11"/>
        <v>45</v>
      </c>
      <c r="T189" s="22"/>
      <c r="U189" s="31"/>
      <c r="V189" s="51"/>
    </row>
    <row r="190" spans="1:22" ht="20.100000000000001" customHeight="1" x14ac:dyDescent="0.3">
      <c r="A190" s="44">
        <v>182</v>
      </c>
      <c r="B190" s="22">
        <f>+'Order Details Aug22-Mar23'!P190</f>
        <v>45007</v>
      </c>
      <c r="C190" s="23"/>
      <c r="D190" s="53" t="str">
        <f>+'Order Details Aug22-Mar23'!T190</f>
        <v>Stats Speciality Products</v>
      </c>
      <c r="E190" s="25"/>
      <c r="F190" s="183" t="str">
        <f>+'Order Details Aug22-Mar23'!D190</f>
        <v>KEMZYME-XPF(Kemin)</v>
      </c>
      <c r="G190" s="184"/>
      <c r="H190" s="26" t="str">
        <f>+'Order Details Aug22-Mar23'!G190</f>
        <v>Kg</v>
      </c>
      <c r="I190" s="27">
        <f>+'Order Details Aug22-Mar23'!I190</f>
        <v>200</v>
      </c>
      <c r="J190" s="28"/>
      <c r="K190" s="185" t="str">
        <f>+'Order Details Aug22-Mar23'!R190</f>
        <v>PO / NBF / 220323 / 40</v>
      </c>
      <c r="L190" s="186"/>
      <c r="M190" s="187"/>
      <c r="N190" s="31">
        <f>+'Order Details Aug22-Mar23'!F190*'Order Details Aug22-Mar23'!N190</f>
        <v>52000</v>
      </c>
      <c r="O190" s="25"/>
      <c r="P190" s="22"/>
      <c r="Q190" s="26"/>
      <c r="R190" s="26">
        <v>45</v>
      </c>
      <c r="S190" s="22">
        <f t="shared" si="11"/>
        <v>45</v>
      </c>
      <c r="T190" s="22"/>
      <c r="U190" s="31"/>
      <c r="V190" s="51"/>
    </row>
    <row r="191" spans="1:22" ht="20.100000000000001" customHeight="1" x14ac:dyDescent="0.3">
      <c r="A191" s="44">
        <v>183</v>
      </c>
      <c r="B191" s="22">
        <f>+'Order Details Aug22-Mar23'!P191</f>
        <v>45015</v>
      </c>
      <c r="C191" s="23"/>
      <c r="D191" s="53" t="str">
        <f>+'Order Details Aug22-Mar23'!T191</f>
        <v>Das Drug Centre, Habra</v>
      </c>
      <c r="E191" s="25"/>
      <c r="F191" s="183" t="str">
        <f>+'Order Details Aug22-Mar23'!D191</f>
        <v>KOLIN PLUS (Natural Remedies)</v>
      </c>
      <c r="G191" s="184"/>
      <c r="H191" s="26" t="str">
        <f>+'Order Details Aug22-Mar23'!G191</f>
        <v>Kg</v>
      </c>
      <c r="I191" s="27">
        <f>+'Order Details Aug22-Mar23'!I191</f>
        <v>500</v>
      </c>
      <c r="J191" s="28"/>
      <c r="K191" s="185" t="str">
        <f>+'Order Details Aug22-Mar23'!R191</f>
        <v>PO / NBF / 300323 / 41</v>
      </c>
      <c r="L191" s="186"/>
      <c r="M191" s="187"/>
      <c r="N191" s="31">
        <f>+'Order Details Aug22-Mar23'!F191*'Order Details Aug22-Mar23'!N191</f>
        <v>35000</v>
      </c>
      <c r="O191" s="25"/>
      <c r="P191" s="22"/>
      <c r="Q191" s="26"/>
      <c r="R191" s="26">
        <v>45</v>
      </c>
      <c r="S191" s="22">
        <f t="shared" ref="S191:S200" si="12">P191+R191</f>
        <v>45</v>
      </c>
      <c r="T191" s="22"/>
      <c r="U191" s="31"/>
      <c r="V191" s="51"/>
    </row>
    <row r="192" spans="1:22" ht="20.100000000000001" customHeight="1" x14ac:dyDescent="0.3">
      <c r="A192" s="44">
        <v>184</v>
      </c>
      <c r="B192" s="22">
        <f>+'Order Details Aug22-Mar23'!P192</f>
        <v>45015</v>
      </c>
      <c r="C192" s="23"/>
      <c r="D192" s="53" t="str">
        <f>+'Order Details Aug22-Mar23'!T192</f>
        <v>Das Drug Centre, Habra</v>
      </c>
      <c r="E192" s="25"/>
      <c r="F192" s="183" t="str">
        <f>+'Order Details Aug22-Mar23'!D192</f>
        <v>HIM C (Himalaya)</v>
      </c>
      <c r="G192" s="184"/>
      <c r="H192" s="26" t="str">
        <f>+'Order Details Aug22-Mar23'!G192</f>
        <v>Kg</v>
      </c>
      <c r="I192" s="27">
        <f>+'Order Details Aug22-Mar23'!I192</f>
        <v>500</v>
      </c>
      <c r="J192" s="28"/>
      <c r="K192" s="185" t="str">
        <f>+'Order Details Aug22-Mar23'!R192</f>
        <v>PO / NBF / 300323 / 41</v>
      </c>
      <c r="L192" s="186"/>
      <c r="M192" s="187"/>
      <c r="N192" s="31">
        <f>+'Order Details Aug22-Mar23'!F192*'Order Details Aug22-Mar23'!N192</f>
        <v>67500</v>
      </c>
      <c r="O192" s="25"/>
      <c r="P192" s="22"/>
      <c r="Q192" s="26"/>
      <c r="R192" s="26">
        <v>45</v>
      </c>
      <c r="S192" s="22">
        <f t="shared" si="12"/>
        <v>45</v>
      </c>
      <c r="T192" s="22"/>
      <c r="U192" s="31"/>
      <c r="V192" s="51"/>
    </row>
    <row r="193" spans="1:22" ht="20.100000000000001" customHeight="1" x14ac:dyDescent="0.3">
      <c r="A193" s="44">
        <v>185</v>
      </c>
      <c r="B193" s="22">
        <f>+'Order Details Aug22-Mar23'!P193</f>
        <v>45015</v>
      </c>
      <c r="C193" s="23"/>
      <c r="D193" s="53" t="str">
        <f>+'Order Details Aug22-Mar23'!T193</f>
        <v>Ves Spa, Barasat</v>
      </c>
      <c r="E193" s="25"/>
      <c r="F193" s="183" t="str">
        <f>+'Order Details Aug22-Mar23'!D193</f>
        <v>VES - CHOL 60% (Vesper)</v>
      </c>
      <c r="G193" s="184"/>
      <c r="H193" s="26" t="str">
        <f>+'Order Details Aug22-Mar23'!G193</f>
        <v>Kg</v>
      </c>
      <c r="I193" s="27">
        <f>+'Order Details Aug22-Mar23'!I193</f>
        <v>1000</v>
      </c>
      <c r="J193" s="28"/>
      <c r="K193" s="185" t="str">
        <f>+'Order Details Aug22-Mar23'!R193</f>
        <v>PO / NBF / 300323 / 42</v>
      </c>
      <c r="L193" s="186"/>
      <c r="M193" s="187"/>
      <c r="N193" s="31">
        <f>+'Order Details Aug22-Mar23'!F193*'Order Details Aug22-Mar23'!N193</f>
        <v>90000</v>
      </c>
      <c r="O193" s="25"/>
      <c r="P193" s="22"/>
      <c r="Q193" s="26"/>
      <c r="R193" s="26"/>
      <c r="S193" s="22">
        <f t="shared" si="12"/>
        <v>0</v>
      </c>
      <c r="T193" s="22"/>
      <c r="U193" s="31"/>
      <c r="V193" s="51"/>
    </row>
    <row r="194" spans="1:22" ht="20.100000000000001" customHeight="1" x14ac:dyDescent="0.3">
      <c r="A194" s="44">
        <v>186</v>
      </c>
      <c r="B194" s="22">
        <f>+'Order Details Aug22-Mar23'!P194</f>
        <v>0</v>
      </c>
      <c r="C194" s="23"/>
      <c r="D194" s="53">
        <f>+'Order Details Aug22-Mar23'!T194</f>
        <v>0</v>
      </c>
      <c r="E194" s="25"/>
      <c r="F194" s="183">
        <f>+'Order Details Aug22-Mar23'!D194</f>
        <v>0</v>
      </c>
      <c r="G194" s="184"/>
      <c r="H194" s="26">
        <f>+'Order Details Aug22-Mar23'!G194</f>
        <v>0</v>
      </c>
      <c r="I194" s="27">
        <f>+'Order Details Aug22-Mar23'!I194</f>
        <v>0</v>
      </c>
      <c r="J194" s="28"/>
      <c r="K194" s="185" t="str">
        <f>+'Order Details Aug22-Mar23'!R194</f>
        <v>PO / NBF /</v>
      </c>
      <c r="L194" s="186"/>
      <c r="M194" s="187"/>
      <c r="N194" s="31">
        <f>+'Order Details Aug22-Mar23'!F194*'Order Details Aug22-Mar23'!N194</f>
        <v>0</v>
      </c>
      <c r="O194" s="25"/>
      <c r="P194" s="22"/>
      <c r="Q194" s="26"/>
      <c r="R194" s="26"/>
      <c r="S194" s="22">
        <f t="shared" si="12"/>
        <v>0</v>
      </c>
      <c r="T194" s="22"/>
      <c r="U194" s="31"/>
      <c r="V194" s="51"/>
    </row>
    <row r="195" spans="1:22" ht="20.100000000000001" customHeight="1" x14ac:dyDescent="0.3">
      <c r="A195" s="44">
        <v>187</v>
      </c>
      <c r="B195" s="22">
        <f>+'Order Details Aug22-Mar23'!P195</f>
        <v>0</v>
      </c>
      <c r="C195" s="23"/>
      <c r="D195" s="53">
        <f>+'Order Details Aug22-Mar23'!T195</f>
        <v>0</v>
      </c>
      <c r="E195" s="25"/>
      <c r="F195" s="183">
        <f>+'Order Details Aug22-Mar23'!D195</f>
        <v>0</v>
      </c>
      <c r="G195" s="184"/>
      <c r="H195" s="26">
        <f>+'Order Details Aug22-Mar23'!G195</f>
        <v>0</v>
      </c>
      <c r="I195" s="27">
        <f>+'Order Details Aug22-Mar23'!I195</f>
        <v>0</v>
      </c>
      <c r="J195" s="28"/>
      <c r="K195" s="185" t="str">
        <f>+'Order Details Aug22-Mar23'!R195</f>
        <v>PO / NBF /</v>
      </c>
      <c r="L195" s="186"/>
      <c r="M195" s="187"/>
      <c r="N195" s="31">
        <f>+'Order Details Aug22-Mar23'!F195*'Order Details Aug22-Mar23'!N195</f>
        <v>0</v>
      </c>
      <c r="O195" s="25"/>
      <c r="P195" s="22"/>
      <c r="Q195" s="26"/>
      <c r="R195" s="26"/>
      <c r="S195" s="22">
        <f t="shared" si="12"/>
        <v>0</v>
      </c>
      <c r="T195" s="22"/>
      <c r="U195" s="31"/>
      <c r="V195" s="51"/>
    </row>
    <row r="196" spans="1:22" ht="20.100000000000001" customHeight="1" x14ac:dyDescent="0.3">
      <c r="A196" s="44">
        <v>188</v>
      </c>
      <c r="B196" s="22">
        <f>+'Order Details Aug22-Mar23'!P196</f>
        <v>0</v>
      </c>
      <c r="C196" s="23"/>
      <c r="D196" s="53">
        <f>+'Order Details Aug22-Mar23'!T196</f>
        <v>0</v>
      </c>
      <c r="E196" s="25"/>
      <c r="F196" s="183">
        <f>+'Order Details Aug22-Mar23'!D196</f>
        <v>0</v>
      </c>
      <c r="G196" s="184"/>
      <c r="H196" s="26">
        <f>+'Order Details Aug22-Mar23'!G196</f>
        <v>0</v>
      </c>
      <c r="I196" s="27">
        <f>+'Order Details Aug22-Mar23'!I196</f>
        <v>0</v>
      </c>
      <c r="J196" s="28"/>
      <c r="K196" s="185" t="str">
        <f>+'Order Details Aug22-Mar23'!R196</f>
        <v>PO / NBF /</v>
      </c>
      <c r="L196" s="186"/>
      <c r="M196" s="187"/>
      <c r="N196" s="31">
        <f>+'Order Details Aug22-Mar23'!F196*'Order Details Aug22-Mar23'!N196</f>
        <v>0</v>
      </c>
      <c r="O196" s="25"/>
      <c r="P196" s="22"/>
      <c r="Q196" s="26"/>
      <c r="R196" s="26"/>
      <c r="S196" s="22">
        <f t="shared" si="12"/>
        <v>0</v>
      </c>
      <c r="T196" s="22"/>
      <c r="U196" s="31"/>
      <c r="V196" s="51"/>
    </row>
    <row r="197" spans="1:22" ht="20.100000000000001" customHeight="1" x14ac:dyDescent="0.3">
      <c r="A197" s="44">
        <v>189</v>
      </c>
      <c r="B197" s="22">
        <f>+'Order Details Aug22-Mar23'!P197</f>
        <v>0</v>
      </c>
      <c r="C197" s="23"/>
      <c r="D197" s="53">
        <f>+'Order Details Aug22-Mar23'!T197</f>
        <v>0</v>
      </c>
      <c r="E197" s="25"/>
      <c r="F197" s="183">
        <f>+'Order Details Aug22-Mar23'!D197</f>
        <v>0</v>
      </c>
      <c r="G197" s="184"/>
      <c r="H197" s="26">
        <f>+'Order Details Aug22-Mar23'!G197</f>
        <v>0</v>
      </c>
      <c r="I197" s="27">
        <f>+'Order Details Aug22-Mar23'!I197</f>
        <v>0</v>
      </c>
      <c r="J197" s="28"/>
      <c r="K197" s="185" t="str">
        <f>+'Order Details Aug22-Mar23'!R197</f>
        <v>PO / NBF /</v>
      </c>
      <c r="L197" s="186"/>
      <c r="M197" s="187"/>
      <c r="N197" s="31">
        <f>+'Order Details Aug22-Mar23'!F197*'Order Details Aug22-Mar23'!N197</f>
        <v>0</v>
      </c>
      <c r="O197" s="25"/>
      <c r="P197" s="22"/>
      <c r="Q197" s="26"/>
      <c r="R197" s="26"/>
      <c r="S197" s="22">
        <f t="shared" si="12"/>
        <v>0</v>
      </c>
      <c r="T197" s="22"/>
      <c r="U197" s="31"/>
      <c r="V197" s="51"/>
    </row>
    <row r="198" spans="1:22" ht="20.100000000000001" customHeight="1" x14ac:dyDescent="0.3">
      <c r="A198" s="44">
        <v>190</v>
      </c>
      <c r="B198" s="22">
        <f>+'Order Details Aug22-Mar23'!P198</f>
        <v>0</v>
      </c>
      <c r="C198" s="23"/>
      <c r="D198" s="53">
        <f>+'Order Details Aug22-Mar23'!T198</f>
        <v>0</v>
      </c>
      <c r="E198" s="25"/>
      <c r="F198" s="183">
        <f>+'Order Details Aug22-Mar23'!D198</f>
        <v>0</v>
      </c>
      <c r="G198" s="184"/>
      <c r="H198" s="26">
        <f>+'Order Details Aug22-Mar23'!G198</f>
        <v>0</v>
      </c>
      <c r="I198" s="27">
        <f>+'Order Details Aug22-Mar23'!I198</f>
        <v>0</v>
      </c>
      <c r="J198" s="28"/>
      <c r="K198" s="185" t="str">
        <f>+'Order Details Aug22-Mar23'!R198</f>
        <v>PO / NBF /</v>
      </c>
      <c r="L198" s="186"/>
      <c r="M198" s="187"/>
      <c r="N198" s="31">
        <f>+'Order Details Aug22-Mar23'!F198*'Order Details Aug22-Mar23'!N198</f>
        <v>0</v>
      </c>
      <c r="O198" s="25"/>
      <c r="P198" s="22"/>
      <c r="Q198" s="26"/>
      <c r="R198" s="26"/>
      <c r="S198" s="22">
        <f t="shared" si="12"/>
        <v>0</v>
      </c>
      <c r="T198" s="22"/>
      <c r="U198" s="31"/>
      <c r="V198" s="51"/>
    </row>
    <row r="199" spans="1:22" ht="20.100000000000001" customHeight="1" x14ac:dyDescent="0.3">
      <c r="A199" s="44">
        <v>191</v>
      </c>
      <c r="B199" s="22">
        <f>+'Order Details Aug22-Mar23'!P199</f>
        <v>0</v>
      </c>
      <c r="C199" s="23"/>
      <c r="D199" s="53">
        <f>+'Order Details Aug22-Mar23'!T199</f>
        <v>0</v>
      </c>
      <c r="E199" s="25"/>
      <c r="F199" s="183">
        <f>+'Order Details Aug22-Mar23'!D199</f>
        <v>0</v>
      </c>
      <c r="G199" s="184"/>
      <c r="H199" s="26">
        <f>+'Order Details Aug22-Mar23'!G199</f>
        <v>0</v>
      </c>
      <c r="I199" s="27">
        <f>+'Order Details Aug22-Mar23'!I199</f>
        <v>0</v>
      </c>
      <c r="J199" s="28"/>
      <c r="K199" s="185" t="str">
        <f>+'Order Details Aug22-Mar23'!R199</f>
        <v>PO / NBF /</v>
      </c>
      <c r="L199" s="186"/>
      <c r="M199" s="187"/>
      <c r="N199" s="31">
        <f>+'Order Details Aug22-Mar23'!F199*'Order Details Aug22-Mar23'!N199</f>
        <v>0</v>
      </c>
      <c r="O199" s="25"/>
      <c r="P199" s="22"/>
      <c r="Q199" s="26"/>
      <c r="R199" s="26"/>
      <c r="S199" s="22">
        <f t="shared" si="12"/>
        <v>0</v>
      </c>
      <c r="T199" s="22"/>
      <c r="U199" s="31"/>
      <c r="V199" s="51"/>
    </row>
    <row r="200" spans="1:22" ht="20.100000000000001" customHeight="1" x14ac:dyDescent="0.3">
      <c r="A200" s="44">
        <v>192</v>
      </c>
      <c r="B200" s="22">
        <f>+'Order Details Aug22-Mar23'!P200</f>
        <v>0</v>
      </c>
      <c r="C200" s="23"/>
      <c r="D200" s="53">
        <f>+'Order Details Aug22-Mar23'!T200</f>
        <v>0</v>
      </c>
      <c r="E200" s="25"/>
      <c r="F200" s="183">
        <f>+'Order Details Aug22-Mar23'!D200</f>
        <v>0</v>
      </c>
      <c r="G200" s="184"/>
      <c r="H200" s="26">
        <f>+'Order Details Aug22-Mar23'!G200</f>
        <v>0</v>
      </c>
      <c r="I200" s="27">
        <f>+'Order Details Aug22-Mar23'!I200</f>
        <v>0</v>
      </c>
      <c r="J200" s="28"/>
      <c r="K200" s="185" t="str">
        <f>+'Order Details Aug22-Mar23'!R200</f>
        <v>PO / NBF /</v>
      </c>
      <c r="L200" s="186"/>
      <c r="M200" s="187"/>
      <c r="N200" s="31">
        <f>+'Order Details Aug22-Mar23'!F200*'Order Details Aug22-Mar23'!N200</f>
        <v>0</v>
      </c>
      <c r="O200" s="25"/>
      <c r="P200" s="22"/>
      <c r="Q200" s="26"/>
      <c r="R200" s="26"/>
      <c r="S200" s="22">
        <f t="shared" si="12"/>
        <v>0</v>
      </c>
      <c r="T200" s="22"/>
      <c r="U200" s="31"/>
      <c r="V200" s="51"/>
    </row>
    <row r="201" spans="1:22" ht="20.100000000000001" customHeight="1" x14ac:dyDescent="0.3">
      <c r="A201" s="44">
        <v>193</v>
      </c>
      <c r="B201" s="22">
        <f>+'Order Details Aug22-Mar23'!P201</f>
        <v>0</v>
      </c>
      <c r="C201" s="23"/>
      <c r="D201" s="53">
        <f>+'Order Details Aug22-Mar23'!T201</f>
        <v>0</v>
      </c>
      <c r="E201" s="25"/>
      <c r="F201" s="183">
        <f>+'Order Details Aug22-Mar23'!D201</f>
        <v>0</v>
      </c>
      <c r="G201" s="184"/>
      <c r="H201" s="26">
        <f>+'Order Details Aug22-Mar23'!G201</f>
        <v>0</v>
      </c>
      <c r="I201" s="27">
        <f>+'Order Details Aug22-Mar23'!I201</f>
        <v>0</v>
      </c>
      <c r="J201" s="28"/>
      <c r="K201" s="185" t="str">
        <f>+'Order Details Aug22-Mar23'!R201</f>
        <v>PO / NBF /</v>
      </c>
      <c r="L201" s="186"/>
      <c r="M201" s="187"/>
      <c r="N201" s="31">
        <f>+'Order Details Aug22-Mar23'!F201*'Order Details Aug22-Mar23'!N201</f>
        <v>0</v>
      </c>
      <c r="O201" s="25"/>
      <c r="P201" s="22"/>
      <c r="Q201" s="26"/>
      <c r="R201" s="26"/>
      <c r="S201" s="22">
        <f t="shared" ref="S201:S220" si="13">P201+R201</f>
        <v>0</v>
      </c>
      <c r="T201" s="22"/>
      <c r="U201" s="31"/>
      <c r="V201" s="51"/>
    </row>
    <row r="202" spans="1:22" ht="20.100000000000001" customHeight="1" x14ac:dyDescent="0.3">
      <c r="A202" s="44">
        <v>194</v>
      </c>
      <c r="B202" s="22">
        <f>+'Order Details Aug22-Mar23'!P202</f>
        <v>0</v>
      </c>
      <c r="C202" s="23"/>
      <c r="D202" s="53">
        <f>+'Order Details Aug22-Mar23'!T202</f>
        <v>0</v>
      </c>
      <c r="E202" s="25"/>
      <c r="F202" s="183">
        <f>+'Order Details Aug22-Mar23'!D202</f>
        <v>0</v>
      </c>
      <c r="G202" s="184"/>
      <c r="H202" s="26">
        <f>+'Order Details Aug22-Mar23'!G202</f>
        <v>0</v>
      </c>
      <c r="I202" s="27">
        <f>+'Order Details Aug22-Mar23'!I202</f>
        <v>0</v>
      </c>
      <c r="J202" s="28"/>
      <c r="K202" s="185" t="str">
        <f>+'Order Details Aug22-Mar23'!R202</f>
        <v>PO / NBF /</v>
      </c>
      <c r="L202" s="186"/>
      <c r="M202" s="187"/>
      <c r="N202" s="31">
        <f>+'Order Details Aug22-Mar23'!F202*'Order Details Aug22-Mar23'!N202</f>
        <v>0</v>
      </c>
      <c r="O202" s="25"/>
      <c r="P202" s="22"/>
      <c r="Q202" s="26"/>
      <c r="R202" s="26"/>
      <c r="S202" s="22">
        <f t="shared" si="13"/>
        <v>0</v>
      </c>
      <c r="T202" s="22"/>
      <c r="U202" s="31"/>
      <c r="V202" s="51"/>
    </row>
    <row r="203" spans="1:22" ht="20.100000000000001" customHeight="1" x14ac:dyDescent="0.3">
      <c r="A203" s="44">
        <v>195</v>
      </c>
      <c r="B203" s="22">
        <f>+'Order Details Aug22-Mar23'!P203</f>
        <v>0</v>
      </c>
      <c r="C203" s="23"/>
      <c r="D203" s="53">
        <f>+'Order Details Aug22-Mar23'!T203</f>
        <v>0</v>
      </c>
      <c r="E203" s="25"/>
      <c r="F203" s="183">
        <f>+'Order Details Aug22-Mar23'!D203</f>
        <v>0</v>
      </c>
      <c r="G203" s="184"/>
      <c r="H203" s="26">
        <f>+'Order Details Aug22-Mar23'!G203</f>
        <v>0</v>
      </c>
      <c r="I203" s="27">
        <f>+'Order Details Aug22-Mar23'!I203</f>
        <v>0</v>
      </c>
      <c r="J203" s="28"/>
      <c r="K203" s="185" t="str">
        <f>+'Order Details Aug22-Mar23'!R203</f>
        <v>PO / NBF /</v>
      </c>
      <c r="L203" s="186"/>
      <c r="M203" s="187"/>
      <c r="N203" s="31">
        <f>+'Order Details Aug22-Mar23'!F203*'Order Details Aug22-Mar23'!N203</f>
        <v>0</v>
      </c>
      <c r="O203" s="25"/>
      <c r="P203" s="22"/>
      <c r="Q203" s="26"/>
      <c r="R203" s="26"/>
      <c r="S203" s="22">
        <f t="shared" si="13"/>
        <v>0</v>
      </c>
      <c r="T203" s="22"/>
      <c r="U203" s="31"/>
      <c r="V203" s="51"/>
    </row>
    <row r="204" spans="1:22" ht="20.100000000000001" customHeight="1" x14ac:dyDescent="0.3">
      <c r="A204" s="44">
        <v>196</v>
      </c>
      <c r="B204" s="22">
        <f>+'Order Details Aug22-Mar23'!P204</f>
        <v>0</v>
      </c>
      <c r="C204" s="23"/>
      <c r="D204" s="53">
        <f>+'Order Details Aug22-Mar23'!T204</f>
        <v>0</v>
      </c>
      <c r="E204" s="25"/>
      <c r="F204" s="183">
        <f>+'Order Details Aug22-Mar23'!D204</f>
        <v>0</v>
      </c>
      <c r="G204" s="184"/>
      <c r="H204" s="26">
        <f>+'Order Details Aug22-Mar23'!G204</f>
        <v>0</v>
      </c>
      <c r="I204" s="27">
        <f>+'Order Details Aug22-Mar23'!I204</f>
        <v>0</v>
      </c>
      <c r="J204" s="28"/>
      <c r="K204" s="185" t="str">
        <f>+'Order Details Aug22-Mar23'!R204</f>
        <v>PO / NBF /</v>
      </c>
      <c r="L204" s="186"/>
      <c r="M204" s="187"/>
      <c r="N204" s="31">
        <f>+'Order Details Aug22-Mar23'!F204*'Order Details Aug22-Mar23'!N204</f>
        <v>0</v>
      </c>
      <c r="O204" s="25"/>
      <c r="P204" s="22"/>
      <c r="Q204" s="26"/>
      <c r="R204" s="26"/>
      <c r="S204" s="22">
        <f t="shared" si="13"/>
        <v>0</v>
      </c>
      <c r="T204" s="22"/>
      <c r="U204" s="31"/>
      <c r="V204" s="51"/>
    </row>
    <row r="205" spans="1:22" ht="20.100000000000001" customHeight="1" x14ac:dyDescent="0.3">
      <c r="A205" s="44">
        <v>197</v>
      </c>
      <c r="B205" s="22">
        <f>+'Order Details Aug22-Mar23'!P205</f>
        <v>0</v>
      </c>
      <c r="C205" s="23"/>
      <c r="D205" s="53">
        <f>+'Order Details Aug22-Mar23'!T205</f>
        <v>0</v>
      </c>
      <c r="E205" s="25"/>
      <c r="F205" s="183">
        <f>+'Order Details Aug22-Mar23'!D205</f>
        <v>0</v>
      </c>
      <c r="G205" s="184"/>
      <c r="H205" s="26">
        <f>+'Order Details Aug22-Mar23'!G205</f>
        <v>0</v>
      </c>
      <c r="I205" s="27">
        <f>+'Order Details Aug22-Mar23'!I205</f>
        <v>0</v>
      </c>
      <c r="J205" s="28"/>
      <c r="K205" s="185" t="str">
        <f>+'Order Details Aug22-Mar23'!R205</f>
        <v>PO / NBF /</v>
      </c>
      <c r="L205" s="186"/>
      <c r="M205" s="187"/>
      <c r="N205" s="31">
        <f>+'Order Details Aug22-Mar23'!F205*'Order Details Aug22-Mar23'!N205</f>
        <v>0</v>
      </c>
      <c r="O205" s="25"/>
      <c r="P205" s="22"/>
      <c r="Q205" s="26"/>
      <c r="R205" s="26"/>
      <c r="S205" s="22">
        <f t="shared" si="13"/>
        <v>0</v>
      </c>
      <c r="T205" s="22"/>
      <c r="U205" s="31"/>
      <c r="V205" s="51"/>
    </row>
    <row r="206" spans="1:22" ht="20.100000000000001" customHeight="1" x14ac:dyDescent="0.3">
      <c r="A206" s="44">
        <v>198</v>
      </c>
      <c r="B206" s="22">
        <f>+'Order Details Aug22-Mar23'!P206</f>
        <v>0</v>
      </c>
      <c r="C206" s="23"/>
      <c r="D206" s="53">
        <f>+'Order Details Aug22-Mar23'!T206</f>
        <v>0</v>
      </c>
      <c r="E206" s="25"/>
      <c r="F206" s="183">
        <f>+'Order Details Aug22-Mar23'!D206</f>
        <v>0</v>
      </c>
      <c r="G206" s="184"/>
      <c r="H206" s="26">
        <f>+'Order Details Aug22-Mar23'!G206</f>
        <v>0</v>
      </c>
      <c r="I206" s="27">
        <f>+'Order Details Aug22-Mar23'!I206</f>
        <v>0</v>
      </c>
      <c r="J206" s="28"/>
      <c r="K206" s="185" t="str">
        <f>+'Order Details Aug22-Mar23'!R206</f>
        <v>PO / NBF /</v>
      </c>
      <c r="L206" s="186"/>
      <c r="M206" s="187"/>
      <c r="N206" s="31">
        <f>+'Order Details Aug22-Mar23'!F206*'Order Details Aug22-Mar23'!N206</f>
        <v>0</v>
      </c>
      <c r="O206" s="25"/>
      <c r="P206" s="22"/>
      <c r="Q206" s="26"/>
      <c r="R206" s="26"/>
      <c r="S206" s="22">
        <f t="shared" si="13"/>
        <v>0</v>
      </c>
      <c r="T206" s="22"/>
      <c r="U206" s="31"/>
      <c r="V206" s="51"/>
    </row>
    <row r="207" spans="1:22" ht="20.100000000000001" customHeight="1" x14ac:dyDescent="0.3">
      <c r="A207" s="44">
        <v>199</v>
      </c>
      <c r="B207" s="22">
        <f>+'Order Details Aug22-Mar23'!P207</f>
        <v>0</v>
      </c>
      <c r="C207" s="23"/>
      <c r="D207" s="53">
        <f>+'Order Details Aug22-Mar23'!T207</f>
        <v>0</v>
      </c>
      <c r="E207" s="25"/>
      <c r="F207" s="183">
        <f>+'Order Details Aug22-Mar23'!D207</f>
        <v>0</v>
      </c>
      <c r="G207" s="184"/>
      <c r="H207" s="26">
        <f>+'Order Details Aug22-Mar23'!G207</f>
        <v>0</v>
      </c>
      <c r="I207" s="27">
        <f>+'Order Details Aug22-Mar23'!I207</f>
        <v>0</v>
      </c>
      <c r="J207" s="28"/>
      <c r="K207" s="185" t="str">
        <f>+'Order Details Aug22-Mar23'!R207</f>
        <v>PO / NBF /</v>
      </c>
      <c r="L207" s="186"/>
      <c r="M207" s="187"/>
      <c r="N207" s="31">
        <f>+'Order Details Aug22-Mar23'!F207*'Order Details Aug22-Mar23'!N207</f>
        <v>0</v>
      </c>
      <c r="O207" s="25"/>
      <c r="P207" s="22"/>
      <c r="Q207" s="26"/>
      <c r="R207" s="26"/>
      <c r="S207" s="22">
        <f t="shared" si="13"/>
        <v>0</v>
      </c>
      <c r="T207" s="22"/>
      <c r="U207" s="31"/>
      <c r="V207" s="51"/>
    </row>
    <row r="208" spans="1:22" ht="20.100000000000001" customHeight="1" x14ac:dyDescent="0.3">
      <c r="A208" s="44">
        <v>200</v>
      </c>
      <c r="B208" s="22">
        <f>+'Order Details Aug22-Mar23'!P208</f>
        <v>0</v>
      </c>
      <c r="C208" s="23"/>
      <c r="D208" s="53">
        <f>+'Order Details Aug22-Mar23'!T208</f>
        <v>0</v>
      </c>
      <c r="E208" s="25"/>
      <c r="F208" s="183">
        <f>+'Order Details Aug22-Mar23'!D208</f>
        <v>0</v>
      </c>
      <c r="G208" s="184"/>
      <c r="H208" s="26">
        <f>+'Order Details Aug22-Mar23'!G208</f>
        <v>0</v>
      </c>
      <c r="I208" s="27">
        <f>+'Order Details Aug22-Mar23'!I208</f>
        <v>0</v>
      </c>
      <c r="J208" s="28"/>
      <c r="K208" s="185" t="str">
        <f>+'Order Details Aug22-Mar23'!R208</f>
        <v>PO / NBF /</v>
      </c>
      <c r="L208" s="186"/>
      <c r="M208" s="187"/>
      <c r="N208" s="31">
        <f>+'Order Details Aug22-Mar23'!F208*'Order Details Aug22-Mar23'!N208</f>
        <v>0</v>
      </c>
      <c r="O208" s="25"/>
      <c r="P208" s="22"/>
      <c r="Q208" s="26"/>
      <c r="R208" s="26"/>
      <c r="S208" s="22">
        <f t="shared" si="13"/>
        <v>0</v>
      </c>
      <c r="T208" s="22"/>
      <c r="U208" s="31"/>
      <c r="V208" s="51"/>
    </row>
    <row r="209" spans="1:22" ht="20.100000000000001" customHeight="1" x14ac:dyDescent="0.3">
      <c r="A209" s="44">
        <v>201</v>
      </c>
      <c r="B209" s="22">
        <f>+'Order Details Aug22-Mar23'!P209</f>
        <v>0</v>
      </c>
      <c r="C209" s="23"/>
      <c r="D209" s="53">
        <f>+'Order Details Aug22-Mar23'!T209</f>
        <v>0</v>
      </c>
      <c r="E209" s="25"/>
      <c r="F209" s="183">
        <f>+'Order Details Aug22-Mar23'!D209</f>
        <v>0</v>
      </c>
      <c r="G209" s="184"/>
      <c r="H209" s="26">
        <f>+'Order Details Aug22-Mar23'!G209</f>
        <v>0</v>
      </c>
      <c r="I209" s="27">
        <f>+'Order Details Aug22-Mar23'!I209</f>
        <v>0</v>
      </c>
      <c r="J209" s="28"/>
      <c r="K209" s="185" t="str">
        <f>+'Order Details Aug22-Mar23'!R209</f>
        <v>PO / NBF /</v>
      </c>
      <c r="L209" s="186"/>
      <c r="M209" s="187"/>
      <c r="N209" s="31">
        <f>+'Order Details Aug22-Mar23'!F209*'Order Details Aug22-Mar23'!N209</f>
        <v>0</v>
      </c>
      <c r="O209" s="25"/>
      <c r="P209" s="22"/>
      <c r="Q209" s="26"/>
      <c r="R209" s="26"/>
      <c r="S209" s="22">
        <f t="shared" si="13"/>
        <v>0</v>
      </c>
      <c r="T209" s="22"/>
      <c r="U209" s="31"/>
      <c r="V209" s="51"/>
    </row>
    <row r="210" spans="1:22" ht="20.100000000000001" customHeight="1" x14ac:dyDescent="0.3">
      <c r="A210" s="44">
        <v>202</v>
      </c>
      <c r="B210" s="22">
        <f>+'Order Details Aug22-Mar23'!P210</f>
        <v>0</v>
      </c>
      <c r="C210" s="23"/>
      <c r="D210" s="53">
        <f>+'Order Details Aug22-Mar23'!T210</f>
        <v>0</v>
      </c>
      <c r="E210" s="25"/>
      <c r="F210" s="183">
        <f>+'Order Details Aug22-Mar23'!D210</f>
        <v>0</v>
      </c>
      <c r="G210" s="184"/>
      <c r="H210" s="26">
        <f>+'Order Details Aug22-Mar23'!G210</f>
        <v>0</v>
      </c>
      <c r="I210" s="27">
        <f>+'Order Details Aug22-Mar23'!I210</f>
        <v>0</v>
      </c>
      <c r="J210" s="28"/>
      <c r="K210" s="185" t="str">
        <f>+'Order Details Aug22-Mar23'!R210</f>
        <v>PO / NBF /</v>
      </c>
      <c r="L210" s="186"/>
      <c r="M210" s="187"/>
      <c r="N210" s="31">
        <f>+'Order Details Aug22-Mar23'!F210*'Order Details Aug22-Mar23'!N210</f>
        <v>0</v>
      </c>
      <c r="O210" s="25"/>
      <c r="P210" s="22"/>
      <c r="Q210" s="26"/>
      <c r="R210" s="26"/>
      <c r="S210" s="22">
        <f t="shared" si="13"/>
        <v>0</v>
      </c>
      <c r="T210" s="22"/>
      <c r="U210" s="31"/>
      <c r="V210" s="51"/>
    </row>
    <row r="211" spans="1:22" ht="20.100000000000001" customHeight="1" x14ac:dyDescent="0.3">
      <c r="A211" s="44">
        <v>203</v>
      </c>
      <c r="B211" s="22">
        <f>+'Order Details Aug22-Mar23'!P211</f>
        <v>0</v>
      </c>
      <c r="C211" s="23"/>
      <c r="D211" s="53">
        <f>+'Order Details Aug22-Mar23'!T211</f>
        <v>0</v>
      </c>
      <c r="E211" s="25"/>
      <c r="F211" s="183">
        <f>+'Order Details Aug22-Mar23'!D211</f>
        <v>0</v>
      </c>
      <c r="G211" s="184"/>
      <c r="H211" s="26">
        <f>+'Order Details Aug22-Mar23'!G211</f>
        <v>0</v>
      </c>
      <c r="I211" s="27">
        <f>+'Order Details Aug22-Mar23'!I211</f>
        <v>0</v>
      </c>
      <c r="J211" s="28"/>
      <c r="K211" s="185" t="str">
        <f>+'Order Details Aug22-Mar23'!R211</f>
        <v>PO / NBF /</v>
      </c>
      <c r="L211" s="186"/>
      <c r="M211" s="187"/>
      <c r="N211" s="31">
        <f>+'Order Details Aug22-Mar23'!F211*'Order Details Aug22-Mar23'!N211</f>
        <v>0</v>
      </c>
      <c r="O211" s="25"/>
      <c r="P211" s="22"/>
      <c r="Q211" s="26"/>
      <c r="R211" s="26"/>
      <c r="S211" s="22">
        <f t="shared" si="13"/>
        <v>0</v>
      </c>
      <c r="T211" s="22"/>
      <c r="U211" s="31"/>
      <c r="V211" s="51"/>
    </row>
    <row r="212" spans="1:22" ht="20.100000000000001" customHeight="1" x14ac:dyDescent="0.3">
      <c r="A212" s="44">
        <v>204</v>
      </c>
      <c r="B212" s="22">
        <f>+'Order Details Aug22-Mar23'!P212</f>
        <v>0</v>
      </c>
      <c r="C212" s="23"/>
      <c r="D212" s="53">
        <f>+'Order Details Aug22-Mar23'!T212</f>
        <v>0</v>
      </c>
      <c r="E212" s="25"/>
      <c r="F212" s="183">
        <f>+'Order Details Aug22-Mar23'!D212</f>
        <v>0</v>
      </c>
      <c r="G212" s="184"/>
      <c r="H212" s="26">
        <f>+'Order Details Aug22-Mar23'!G212</f>
        <v>0</v>
      </c>
      <c r="I212" s="27">
        <f>+'Order Details Aug22-Mar23'!I212</f>
        <v>0</v>
      </c>
      <c r="J212" s="28"/>
      <c r="K212" s="185" t="str">
        <f>+'Order Details Aug22-Mar23'!R212</f>
        <v>PO / NBF /</v>
      </c>
      <c r="L212" s="186"/>
      <c r="M212" s="187"/>
      <c r="N212" s="31">
        <f>+'Order Details Aug22-Mar23'!F212*'Order Details Aug22-Mar23'!N212</f>
        <v>0</v>
      </c>
      <c r="O212" s="25"/>
      <c r="P212" s="22"/>
      <c r="Q212" s="26"/>
      <c r="R212" s="26"/>
      <c r="S212" s="22">
        <f t="shared" si="13"/>
        <v>0</v>
      </c>
      <c r="T212" s="22"/>
      <c r="U212" s="31"/>
      <c r="V212" s="51"/>
    </row>
    <row r="213" spans="1:22" ht="20.100000000000001" customHeight="1" x14ac:dyDescent="0.3">
      <c r="A213" s="44">
        <v>205</v>
      </c>
      <c r="B213" s="22">
        <f>+'Order Details Aug22-Mar23'!P213</f>
        <v>0</v>
      </c>
      <c r="C213" s="23"/>
      <c r="D213" s="53">
        <f>+'Order Details Aug22-Mar23'!T213</f>
        <v>0</v>
      </c>
      <c r="E213" s="25"/>
      <c r="F213" s="183">
        <f>+'Order Details Aug22-Mar23'!D213</f>
        <v>0</v>
      </c>
      <c r="G213" s="184"/>
      <c r="H213" s="26">
        <f>+'Order Details Aug22-Mar23'!G213</f>
        <v>0</v>
      </c>
      <c r="I213" s="27">
        <f>+'Order Details Aug22-Mar23'!I213</f>
        <v>0</v>
      </c>
      <c r="J213" s="28"/>
      <c r="K213" s="185" t="str">
        <f>+'Order Details Aug22-Mar23'!R213</f>
        <v>PO / NBF /</v>
      </c>
      <c r="L213" s="186"/>
      <c r="M213" s="187"/>
      <c r="N213" s="31">
        <f>+'Order Details Aug22-Mar23'!F213*'Order Details Aug22-Mar23'!N213</f>
        <v>0</v>
      </c>
      <c r="O213" s="25"/>
      <c r="P213" s="22"/>
      <c r="Q213" s="26"/>
      <c r="R213" s="26"/>
      <c r="S213" s="22">
        <f t="shared" si="13"/>
        <v>0</v>
      </c>
      <c r="T213" s="22"/>
      <c r="U213" s="31"/>
      <c r="V213" s="51"/>
    </row>
    <row r="214" spans="1:22" ht="20.100000000000001" customHeight="1" x14ac:dyDescent="0.3">
      <c r="A214" s="44">
        <v>206</v>
      </c>
      <c r="B214" s="22">
        <f>+'Order Details Aug22-Mar23'!P214</f>
        <v>0</v>
      </c>
      <c r="C214" s="23"/>
      <c r="D214" s="53">
        <f>+'Order Details Aug22-Mar23'!T214</f>
        <v>0</v>
      </c>
      <c r="E214" s="25"/>
      <c r="F214" s="183">
        <f>+'Order Details Aug22-Mar23'!D214</f>
        <v>0</v>
      </c>
      <c r="G214" s="184"/>
      <c r="H214" s="26">
        <f>+'Order Details Aug22-Mar23'!G214</f>
        <v>0</v>
      </c>
      <c r="I214" s="27">
        <f>+'Order Details Aug22-Mar23'!I214</f>
        <v>0</v>
      </c>
      <c r="J214" s="28"/>
      <c r="K214" s="185" t="str">
        <f>+'Order Details Aug22-Mar23'!R214</f>
        <v>PO / NBF /</v>
      </c>
      <c r="L214" s="186"/>
      <c r="M214" s="187"/>
      <c r="N214" s="31">
        <f>+'Order Details Aug22-Mar23'!F214*'Order Details Aug22-Mar23'!N214</f>
        <v>0</v>
      </c>
      <c r="O214" s="25"/>
      <c r="P214" s="22"/>
      <c r="Q214" s="26"/>
      <c r="R214" s="26"/>
      <c r="S214" s="22">
        <f t="shared" si="13"/>
        <v>0</v>
      </c>
      <c r="T214" s="22"/>
      <c r="U214" s="31"/>
      <c r="V214" s="51"/>
    </row>
    <row r="215" spans="1:22" ht="20.100000000000001" customHeight="1" x14ac:dyDescent="0.3">
      <c r="A215" s="44">
        <v>207</v>
      </c>
      <c r="B215" s="22">
        <f>+'Order Details Aug22-Mar23'!P215</f>
        <v>0</v>
      </c>
      <c r="C215" s="23"/>
      <c r="D215" s="53">
        <f>+'Order Details Aug22-Mar23'!T215</f>
        <v>0</v>
      </c>
      <c r="E215" s="25"/>
      <c r="F215" s="183">
        <f>+'Order Details Aug22-Mar23'!D215</f>
        <v>0</v>
      </c>
      <c r="G215" s="184"/>
      <c r="H215" s="26">
        <f>+'Order Details Aug22-Mar23'!G215</f>
        <v>0</v>
      </c>
      <c r="I215" s="27">
        <f>+'Order Details Aug22-Mar23'!I215</f>
        <v>0</v>
      </c>
      <c r="J215" s="28"/>
      <c r="K215" s="185" t="str">
        <f>+'Order Details Aug22-Mar23'!R215</f>
        <v>PO / NBF /</v>
      </c>
      <c r="L215" s="186"/>
      <c r="M215" s="187"/>
      <c r="N215" s="31">
        <f>+'Order Details Aug22-Mar23'!F215*'Order Details Aug22-Mar23'!N215</f>
        <v>0</v>
      </c>
      <c r="O215" s="25"/>
      <c r="P215" s="22"/>
      <c r="Q215" s="26"/>
      <c r="R215" s="26"/>
      <c r="S215" s="22">
        <f t="shared" si="13"/>
        <v>0</v>
      </c>
      <c r="T215" s="22"/>
      <c r="U215" s="31"/>
      <c r="V215" s="51"/>
    </row>
    <row r="216" spans="1:22" ht="20.100000000000001" customHeight="1" x14ac:dyDescent="0.3">
      <c r="A216" s="44">
        <v>208</v>
      </c>
      <c r="B216" s="22">
        <f>+'Order Details Aug22-Mar23'!P216</f>
        <v>0</v>
      </c>
      <c r="C216" s="23"/>
      <c r="D216" s="53">
        <f>+'Order Details Aug22-Mar23'!T216</f>
        <v>0</v>
      </c>
      <c r="E216" s="25"/>
      <c r="F216" s="183">
        <f>+'Order Details Aug22-Mar23'!D216</f>
        <v>0</v>
      </c>
      <c r="G216" s="184"/>
      <c r="H216" s="26">
        <f>+'Order Details Aug22-Mar23'!G216</f>
        <v>0</v>
      </c>
      <c r="I216" s="27">
        <f>+'Order Details Aug22-Mar23'!I216</f>
        <v>0</v>
      </c>
      <c r="J216" s="28"/>
      <c r="K216" s="185" t="str">
        <f>+'Order Details Aug22-Mar23'!R216</f>
        <v>PO / NBF /</v>
      </c>
      <c r="L216" s="186"/>
      <c r="M216" s="187"/>
      <c r="N216" s="31">
        <f>+'Order Details Aug22-Mar23'!F216*'Order Details Aug22-Mar23'!N216</f>
        <v>0</v>
      </c>
      <c r="O216" s="25"/>
      <c r="P216" s="22"/>
      <c r="Q216" s="26"/>
      <c r="R216" s="26"/>
      <c r="S216" s="22">
        <f t="shared" si="13"/>
        <v>0</v>
      </c>
      <c r="T216" s="22"/>
      <c r="U216" s="31"/>
      <c r="V216" s="51"/>
    </row>
    <row r="217" spans="1:22" ht="20.100000000000001" customHeight="1" x14ac:dyDescent="0.3">
      <c r="A217" s="44">
        <v>209</v>
      </c>
      <c r="B217" s="22">
        <f>+'Order Details Aug22-Mar23'!P217</f>
        <v>0</v>
      </c>
      <c r="C217" s="23"/>
      <c r="D217" s="53">
        <f>+'Order Details Aug22-Mar23'!T217</f>
        <v>0</v>
      </c>
      <c r="E217" s="25"/>
      <c r="F217" s="183">
        <f>+'Order Details Aug22-Mar23'!D217</f>
        <v>0</v>
      </c>
      <c r="G217" s="184"/>
      <c r="H217" s="26">
        <f>+'Order Details Aug22-Mar23'!G217</f>
        <v>0</v>
      </c>
      <c r="I217" s="27">
        <f>+'Order Details Aug22-Mar23'!I217</f>
        <v>0</v>
      </c>
      <c r="J217" s="28"/>
      <c r="K217" s="185" t="str">
        <f>+'Order Details Aug22-Mar23'!R217</f>
        <v>PO / NBF /</v>
      </c>
      <c r="L217" s="186"/>
      <c r="M217" s="187"/>
      <c r="N217" s="31">
        <f>+'Order Details Aug22-Mar23'!F217*'Order Details Aug22-Mar23'!N217</f>
        <v>0</v>
      </c>
      <c r="O217" s="25"/>
      <c r="P217" s="22"/>
      <c r="Q217" s="26"/>
      <c r="R217" s="26"/>
      <c r="S217" s="22">
        <f t="shared" si="13"/>
        <v>0</v>
      </c>
      <c r="T217" s="22"/>
      <c r="U217" s="31"/>
      <c r="V217" s="51"/>
    </row>
    <row r="218" spans="1:22" ht="20.100000000000001" customHeight="1" x14ac:dyDescent="0.3">
      <c r="A218" s="44">
        <v>210</v>
      </c>
      <c r="B218" s="22">
        <f>+'Order Details Aug22-Mar23'!P218</f>
        <v>0</v>
      </c>
      <c r="C218" s="23"/>
      <c r="D218" s="53">
        <f>+'Order Details Aug22-Mar23'!T218</f>
        <v>0</v>
      </c>
      <c r="E218" s="25"/>
      <c r="F218" s="183">
        <f>+'Order Details Aug22-Mar23'!D218</f>
        <v>0</v>
      </c>
      <c r="G218" s="184"/>
      <c r="H218" s="26">
        <f>+'Order Details Aug22-Mar23'!G218</f>
        <v>0</v>
      </c>
      <c r="I218" s="27">
        <f>+'Order Details Aug22-Mar23'!I218</f>
        <v>0</v>
      </c>
      <c r="J218" s="28"/>
      <c r="K218" s="185" t="str">
        <f>+'Order Details Aug22-Mar23'!R218</f>
        <v>PO / NBF /</v>
      </c>
      <c r="L218" s="186"/>
      <c r="M218" s="187"/>
      <c r="N218" s="31">
        <f>+'Order Details Aug22-Mar23'!F218*'Order Details Aug22-Mar23'!N218</f>
        <v>0</v>
      </c>
      <c r="O218" s="25"/>
      <c r="P218" s="22"/>
      <c r="Q218" s="26"/>
      <c r="R218" s="26"/>
      <c r="S218" s="22">
        <f t="shared" si="13"/>
        <v>0</v>
      </c>
      <c r="T218" s="22"/>
      <c r="U218" s="31"/>
      <c r="V218" s="51"/>
    </row>
    <row r="219" spans="1:22" ht="20.100000000000001" customHeight="1" x14ac:dyDescent="0.3">
      <c r="A219" s="44">
        <v>211</v>
      </c>
      <c r="B219" s="22">
        <f>+'Order Details Aug22-Mar23'!P219</f>
        <v>0</v>
      </c>
      <c r="C219" s="23"/>
      <c r="D219" s="53">
        <f>+'Order Details Aug22-Mar23'!T219</f>
        <v>0</v>
      </c>
      <c r="E219" s="25"/>
      <c r="F219" s="183">
        <f>+'Order Details Aug22-Mar23'!D219</f>
        <v>0</v>
      </c>
      <c r="G219" s="184"/>
      <c r="H219" s="26">
        <f>+'Order Details Aug22-Mar23'!G219</f>
        <v>0</v>
      </c>
      <c r="I219" s="27">
        <f>+'Order Details Aug22-Mar23'!I219</f>
        <v>0</v>
      </c>
      <c r="J219" s="28"/>
      <c r="K219" s="185" t="str">
        <f>+'Order Details Aug22-Mar23'!R219</f>
        <v>PO / NBF /</v>
      </c>
      <c r="L219" s="186"/>
      <c r="M219" s="187"/>
      <c r="N219" s="31">
        <f>+'Order Details Aug22-Mar23'!F219*'Order Details Aug22-Mar23'!N219</f>
        <v>0</v>
      </c>
      <c r="O219" s="25"/>
      <c r="P219" s="22"/>
      <c r="Q219" s="26"/>
      <c r="R219" s="26"/>
      <c r="S219" s="22">
        <f t="shared" si="13"/>
        <v>0</v>
      </c>
      <c r="T219" s="22"/>
      <c r="U219" s="31"/>
      <c r="V219" s="51"/>
    </row>
    <row r="220" spans="1:22" ht="20.100000000000001" customHeight="1" x14ac:dyDescent="0.3">
      <c r="A220" s="44">
        <v>212</v>
      </c>
      <c r="B220" s="22">
        <f>+'Order Details Aug22-Mar23'!P220</f>
        <v>0</v>
      </c>
      <c r="C220" s="23"/>
      <c r="D220" s="53">
        <f>+'Order Details Aug22-Mar23'!T220</f>
        <v>0</v>
      </c>
      <c r="E220" s="25"/>
      <c r="F220" s="183">
        <f>+'Order Details Aug22-Mar23'!D220</f>
        <v>0</v>
      </c>
      <c r="G220" s="184"/>
      <c r="H220" s="26">
        <f>+'Order Details Aug22-Mar23'!G220</f>
        <v>0</v>
      </c>
      <c r="I220" s="27">
        <f>+'Order Details Aug22-Mar23'!I220</f>
        <v>0</v>
      </c>
      <c r="J220" s="28"/>
      <c r="K220" s="185" t="str">
        <f>+'Order Details Aug22-Mar23'!R220</f>
        <v>PO / NBF /</v>
      </c>
      <c r="L220" s="186"/>
      <c r="M220" s="187"/>
      <c r="N220" s="31">
        <f>+'Order Details Aug22-Mar23'!F220*'Order Details Aug22-Mar23'!N220</f>
        <v>0</v>
      </c>
      <c r="O220" s="25"/>
      <c r="P220" s="22"/>
      <c r="Q220" s="26"/>
      <c r="R220" s="26"/>
      <c r="S220" s="22">
        <f t="shared" si="13"/>
        <v>0</v>
      </c>
      <c r="T220" s="22"/>
      <c r="U220" s="31"/>
      <c r="V220" s="51"/>
    </row>
    <row r="221" spans="1:22" ht="20.100000000000001" customHeight="1" x14ac:dyDescent="0.3"/>
    <row r="222" spans="1:22" ht="20.100000000000001" customHeight="1" x14ac:dyDescent="0.3"/>
    <row r="223" spans="1:22" ht="20.100000000000001" customHeight="1" x14ac:dyDescent="0.3"/>
    <row r="224" spans="1:22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  <row r="342" ht="20.100000000000001" customHeight="1" x14ac:dyDescent="0.3"/>
    <row r="343" ht="20.100000000000001" customHeight="1" x14ac:dyDescent="0.3"/>
    <row r="344" ht="20.100000000000001" customHeight="1" x14ac:dyDescent="0.3"/>
    <row r="345" ht="20.100000000000001" customHeight="1" x14ac:dyDescent="0.3"/>
    <row r="346" ht="20.100000000000001" customHeight="1" x14ac:dyDescent="0.3"/>
    <row r="347" ht="20.100000000000001" customHeight="1" x14ac:dyDescent="0.3"/>
    <row r="348" ht="20.100000000000001" customHeight="1" x14ac:dyDescent="0.3"/>
    <row r="349" ht="20.100000000000001" customHeight="1" x14ac:dyDescent="0.3"/>
    <row r="350" ht="20.100000000000001" customHeight="1" x14ac:dyDescent="0.3"/>
    <row r="351" ht="20.100000000000001" customHeight="1" x14ac:dyDescent="0.3"/>
    <row r="352" ht="20.100000000000001" customHeight="1" x14ac:dyDescent="0.3"/>
    <row r="353" ht="20.100000000000001" customHeight="1" x14ac:dyDescent="0.3"/>
    <row r="354" ht="20.100000000000001" customHeight="1" x14ac:dyDescent="0.3"/>
    <row r="355" ht="20.100000000000001" customHeight="1" x14ac:dyDescent="0.3"/>
    <row r="356" ht="20.100000000000001" customHeight="1" x14ac:dyDescent="0.3"/>
    <row r="357" ht="20.100000000000001" customHeight="1" x14ac:dyDescent="0.3"/>
    <row r="358" ht="20.100000000000001" customHeight="1" x14ac:dyDescent="0.3"/>
    <row r="359" ht="20.100000000000001" customHeight="1" x14ac:dyDescent="0.3"/>
    <row r="360" ht="20.100000000000001" customHeight="1" x14ac:dyDescent="0.3"/>
    <row r="361" ht="20.100000000000001" customHeight="1" x14ac:dyDescent="0.3"/>
    <row r="362" ht="20.100000000000001" customHeight="1" x14ac:dyDescent="0.3"/>
    <row r="363" ht="20.100000000000001" customHeight="1" x14ac:dyDescent="0.3"/>
    <row r="364" ht="20.100000000000001" customHeight="1" x14ac:dyDescent="0.3"/>
    <row r="365" ht="20.100000000000001" customHeight="1" x14ac:dyDescent="0.3"/>
    <row r="366" ht="20.100000000000001" customHeight="1" x14ac:dyDescent="0.3"/>
    <row r="367" ht="20.100000000000001" customHeight="1" x14ac:dyDescent="0.3"/>
    <row r="368" ht="20.100000000000001" customHeight="1" x14ac:dyDescent="0.3"/>
    <row r="369" ht="20.100000000000001" customHeight="1" x14ac:dyDescent="0.3"/>
    <row r="370" ht="20.100000000000001" customHeight="1" x14ac:dyDescent="0.3"/>
    <row r="371" ht="20.100000000000001" customHeight="1" x14ac:dyDescent="0.3"/>
    <row r="372" ht="20.100000000000001" customHeight="1" x14ac:dyDescent="0.3"/>
    <row r="373" ht="20.100000000000001" customHeight="1" x14ac:dyDescent="0.3"/>
    <row r="374" ht="20.100000000000001" customHeight="1" x14ac:dyDescent="0.3"/>
    <row r="375" ht="20.100000000000001" customHeight="1" x14ac:dyDescent="0.3"/>
    <row r="376" ht="20.100000000000001" customHeight="1" x14ac:dyDescent="0.3"/>
    <row r="377" ht="20.100000000000001" customHeight="1" x14ac:dyDescent="0.3"/>
    <row r="378" ht="20.100000000000001" customHeight="1" x14ac:dyDescent="0.3"/>
    <row r="379" ht="20.100000000000001" customHeight="1" x14ac:dyDescent="0.3"/>
    <row r="380" ht="20.100000000000001" customHeight="1" x14ac:dyDescent="0.3"/>
    <row r="381" ht="20.100000000000001" customHeight="1" x14ac:dyDescent="0.3"/>
    <row r="382" ht="20.100000000000001" customHeight="1" x14ac:dyDescent="0.3"/>
    <row r="383" ht="20.100000000000001" customHeight="1" x14ac:dyDescent="0.3"/>
    <row r="384" ht="20.100000000000001" customHeight="1" x14ac:dyDescent="0.3"/>
    <row r="385" ht="20.100000000000001" customHeight="1" x14ac:dyDescent="0.3"/>
    <row r="386" ht="20.100000000000001" customHeight="1" x14ac:dyDescent="0.3"/>
    <row r="387" ht="20.100000000000001" customHeight="1" x14ac:dyDescent="0.3"/>
    <row r="388" ht="20.100000000000001" customHeight="1" x14ac:dyDescent="0.3"/>
    <row r="389" ht="20.100000000000001" customHeight="1" x14ac:dyDescent="0.3"/>
    <row r="390" ht="20.100000000000001" customHeight="1" x14ac:dyDescent="0.3"/>
    <row r="391" ht="20.100000000000001" customHeight="1" x14ac:dyDescent="0.3"/>
    <row r="392" ht="20.100000000000001" customHeight="1" x14ac:dyDescent="0.3"/>
    <row r="393" ht="20.100000000000001" customHeight="1" x14ac:dyDescent="0.3"/>
    <row r="394" ht="20.100000000000001" customHeight="1" x14ac:dyDescent="0.3"/>
    <row r="395" ht="20.100000000000001" customHeight="1" x14ac:dyDescent="0.3"/>
    <row r="396" ht="20.100000000000001" customHeight="1" x14ac:dyDescent="0.3"/>
    <row r="397" ht="20.100000000000001" customHeight="1" x14ac:dyDescent="0.3"/>
    <row r="398" ht="20.100000000000001" customHeight="1" x14ac:dyDescent="0.3"/>
    <row r="399" ht="20.100000000000001" customHeight="1" x14ac:dyDescent="0.3"/>
    <row r="400" ht="20.100000000000001" customHeight="1" x14ac:dyDescent="0.3"/>
    <row r="401" ht="20.100000000000001" customHeight="1" x14ac:dyDescent="0.3"/>
    <row r="402" ht="20.100000000000001" customHeight="1" x14ac:dyDescent="0.3"/>
    <row r="403" ht="20.100000000000001" customHeight="1" x14ac:dyDescent="0.3"/>
    <row r="404" ht="20.100000000000001" customHeight="1" x14ac:dyDescent="0.3"/>
    <row r="405" ht="20.100000000000001" customHeight="1" x14ac:dyDescent="0.3"/>
    <row r="406" ht="20.100000000000001" customHeight="1" x14ac:dyDescent="0.3"/>
    <row r="407" ht="20.100000000000001" customHeight="1" x14ac:dyDescent="0.3"/>
    <row r="408" ht="20.100000000000001" customHeight="1" x14ac:dyDescent="0.3"/>
    <row r="409" ht="20.100000000000001" customHeight="1" x14ac:dyDescent="0.3"/>
    <row r="410" ht="20.100000000000001" customHeight="1" x14ac:dyDescent="0.3"/>
    <row r="411" ht="20.100000000000001" customHeight="1" x14ac:dyDescent="0.3"/>
    <row r="412" ht="20.100000000000001" customHeight="1" x14ac:dyDescent="0.3"/>
    <row r="413" ht="20.100000000000001" customHeight="1" x14ac:dyDescent="0.3"/>
    <row r="414" ht="20.100000000000001" customHeight="1" x14ac:dyDescent="0.3"/>
    <row r="415" ht="20.100000000000001" customHeight="1" x14ac:dyDescent="0.3"/>
    <row r="416" ht="20.100000000000001" customHeight="1" x14ac:dyDescent="0.3"/>
    <row r="417" ht="20.100000000000001" customHeight="1" x14ac:dyDescent="0.3"/>
    <row r="418" ht="20.100000000000001" customHeight="1" x14ac:dyDescent="0.3"/>
    <row r="419" ht="20.100000000000001" customHeight="1" x14ac:dyDescent="0.3"/>
    <row r="420" ht="20.100000000000001" customHeight="1" x14ac:dyDescent="0.3"/>
    <row r="421" ht="20.100000000000001" customHeight="1" x14ac:dyDescent="0.3"/>
    <row r="422" ht="20.100000000000001" customHeight="1" x14ac:dyDescent="0.3"/>
    <row r="423" ht="20.100000000000001" customHeight="1" x14ac:dyDescent="0.3"/>
    <row r="424" ht="20.100000000000001" customHeight="1" x14ac:dyDescent="0.3"/>
    <row r="425" ht="20.100000000000001" customHeight="1" x14ac:dyDescent="0.3"/>
    <row r="426" ht="20.100000000000001" customHeight="1" x14ac:dyDescent="0.3"/>
    <row r="427" ht="20.100000000000001" customHeight="1" x14ac:dyDescent="0.3"/>
    <row r="428" ht="20.100000000000001" customHeight="1" x14ac:dyDescent="0.3"/>
    <row r="429" ht="20.100000000000001" customHeight="1" x14ac:dyDescent="0.3"/>
    <row r="430" ht="20.100000000000001" customHeight="1" x14ac:dyDescent="0.3"/>
    <row r="431" ht="20.100000000000001" customHeight="1" x14ac:dyDescent="0.3"/>
    <row r="432" ht="20.100000000000001" customHeight="1" x14ac:dyDescent="0.3"/>
    <row r="433" ht="20.100000000000001" customHeight="1" x14ac:dyDescent="0.3"/>
    <row r="434" ht="20.100000000000001" customHeight="1" x14ac:dyDescent="0.3"/>
    <row r="435" ht="20.100000000000001" customHeight="1" x14ac:dyDescent="0.3"/>
    <row r="436" ht="20.100000000000001" customHeight="1" x14ac:dyDescent="0.3"/>
    <row r="437" ht="20.100000000000001" customHeight="1" x14ac:dyDescent="0.3"/>
    <row r="438" ht="20.100000000000001" customHeight="1" x14ac:dyDescent="0.3"/>
    <row r="439" ht="20.100000000000001" customHeight="1" x14ac:dyDescent="0.3"/>
    <row r="440" ht="20.100000000000001" customHeight="1" x14ac:dyDescent="0.3"/>
    <row r="441" ht="20.100000000000001" customHeight="1" x14ac:dyDescent="0.3"/>
    <row r="442" ht="20.100000000000001" customHeight="1" x14ac:dyDescent="0.3"/>
    <row r="443" ht="20.100000000000001" customHeight="1" x14ac:dyDescent="0.3"/>
    <row r="444" ht="20.100000000000001" customHeight="1" x14ac:dyDescent="0.3"/>
    <row r="445" ht="20.100000000000001" customHeight="1" x14ac:dyDescent="0.3"/>
    <row r="446" ht="20.100000000000001" customHeight="1" x14ac:dyDescent="0.3"/>
    <row r="447" ht="20.100000000000001" customHeight="1" x14ac:dyDescent="0.3"/>
    <row r="448" ht="20.100000000000001" customHeight="1" x14ac:dyDescent="0.3"/>
    <row r="449" ht="20.100000000000001" customHeight="1" x14ac:dyDescent="0.3"/>
    <row r="450" ht="20.100000000000001" customHeight="1" x14ac:dyDescent="0.3"/>
    <row r="451" ht="20.100000000000001" customHeight="1" x14ac:dyDescent="0.3"/>
    <row r="452" ht="20.100000000000001" customHeight="1" x14ac:dyDescent="0.3"/>
    <row r="453" ht="20.100000000000001" customHeight="1" x14ac:dyDescent="0.3"/>
    <row r="454" ht="20.100000000000001" customHeight="1" x14ac:dyDescent="0.3"/>
    <row r="455" ht="20.100000000000001" customHeight="1" x14ac:dyDescent="0.3"/>
    <row r="456" ht="20.100000000000001" customHeight="1" x14ac:dyDescent="0.3"/>
    <row r="457" ht="20.100000000000001" customHeight="1" x14ac:dyDescent="0.3"/>
    <row r="458" ht="20.100000000000001" customHeight="1" x14ac:dyDescent="0.3"/>
    <row r="459" ht="20.100000000000001" customHeight="1" x14ac:dyDescent="0.3"/>
    <row r="460" ht="20.100000000000001" customHeight="1" x14ac:dyDescent="0.3"/>
    <row r="461" ht="20.100000000000001" customHeight="1" x14ac:dyDescent="0.3"/>
    <row r="462" ht="20.100000000000001" customHeight="1" x14ac:dyDescent="0.3"/>
    <row r="463" ht="20.100000000000001" customHeight="1" x14ac:dyDescent="0.3"/>
    <row r="464" ht="20.100000000000001" customHeight="1" x14ac:dyDescent="0.3"/>
    <row r="465" ht="20.100000000000001" customHeight="1" x14ac:dyDescent="0.3"/>
    <row r="466" ht="20.100000000000001" customHeight="1" x14ac:dyDescent="0.3"/>
    <row r="467" ht="20.100000000000001" customHeight="1" x14ac:dyDescent="0.3"/>
    <row r="468" ht="20.100000000000001" customHeight="1" x14ac:dyDescent="0.3"/>
    <row r="469" ht="20.100000000000001" customHeight="1" x14ac:dyDescent="0.3"/>
    <row r="470" ht="20.100000000000001" customHeight="1" x14ac:dyDescent="0.3"/>
    <row r="471" ht="20.100000000000001" customHeight="1" x14ac:dyDescent="0.3"/>
    <row r="472" ht="20.100000000000001" customHeight="1" x14ac:dyDescent="0.3"/>
    <row r="473" ht="20.100000000000001" customHeight="1" x14ac:dyDescent="0.3"/>
    <row r="474" ht="20.100000000000001" customHeight="1" x14ac:dyDescent="0.3"/>
    <row r="475" ht="20.100000000000001" customHeight="1" x14ac:dyDescent="0.3"/>
    <row r="476" ht="20.100000000000001" customHeight="1" x14ac:dyDescent="0.3"/>
    <row r="477" ht="20.100000000000001" customHeight="1" x14ac:dyDescent="0.3"/>
    <row r="478" ht="20.100000000000001" customHeight="1" x14ac:dyDescent="0.3"/>
    <row r="479" ht="20.100000000000001" customHeight="1" x14ac:dyDescent="0.3"/>
    <row r="480" ht="20.100000000000001" customHeight="1" x14ac:dyDescent="0.3"/>
    <row r="481" ht="20.100000000000001" customHeight="1" x14ac:dyDescent="0.3"/>
    <row r="482" ht="20.100000000000001" customHeight="1" x14ac:dyDescent="0.3"/>
    <row r="483" ht="20.100000000000001" customHeight="1" x14ac:dyDescent="0.3"/>
    <row r="484" ht="20.100000000000001" customHeight="1" x14ac:dyDescent="0.3"/>
    <row r="485" ht="20.100000000000001" customHeight="1" x14ac:dyDescent="0.3"/>
    <row r="486" ht="20.100000000000001" customHeight="1" x14ac:dyDescent="0.3"/>
    <row r="487" ht="20.100000000000001" customHeight="1" x14ac:dyDescent="0.3"/>
    <row r="488" ht="20.100000000000001" customHeight="1" x14ac:dyDescent="0.3"/>
    <row r="489" ht="20.100000000000001" customHeight="1" x14ac:dyDescent="0.3"/>
    <row r="490" ht="20.100000000000001" customHeight="1" x14ac:dyDescent="0.3"/>
    <row r="491" ht="20.100000000000001" customHeight="1" x14ac:dyDescent="0.3"/>
    <row r="492" ht="20.100000000000001" customHeight="1" x14ac:dyDescent="0.3"/>
    <row r="493" ht="20.100000000000001" customHeight="1" x14ac:dyDescent="0.3"/>
    <row r="494" ht="20.100000000000001" customHeight="1" x14ac:dyDescent="0.3"/>
    <row r="495" ht="20.100000000000001" customHeight="1" x14ac:dyDescent="0.3"/>
    <row r="496" ht="20.100000000000001" customHeight="1" x14ac:dyDescent="0.3"/>
    <row r="497" ht="20.100000000000001" customHeight="1" x14ac:dyDescent="0.3"/>
    <row r="498" ht="20.100000000000001" customHeight="1" x14ac:dyDescent="0.3"/>
    <row r="499" ht="20.100000000000001" customHeight="1" x14ac:dyDescent="0.3"/>
    <row r="500" ht="20.100000000000001" customHeight="1" x14ac:dyDescent="0.3"/>
    <row r="501" ht="20.100000000000001" customHeight="1" x14ac:dyDescent="0.3"/>
    <row r="502" ht="20.100000000000001" customHeight="1" x14ac:dyDescent="0.3"/>
    <row r="503" ht="20.100000000000001" customHeight="1" x14ac:dyDescent="0.3"/>
    <row r="504" ht="20.100000000000001" customHeight="1" x14ac:dyDescent="0.3"/>
    <row r="505" ht="20.100000000000001" customHeight="1" x14ac:dyDescent="0.3"/>
    <row r="506" ht="20.100000000000001" customHeight="1" x14ac:dyDescent="0.3"/>
    <row r="507" ht="20.100000000000001" customHeight="1" x14ac:dyDescent="0.3"/>
    <row r="508" ht="20.100000000000001" customHeight="1" x14ac:dyDescent="0.3"/>
    <row r="509" ht="20.100000000000001" customHeight="1" x14ac:dyDescent="0.3"/>
    <row r="510" ht="20.100000000000001" customHeight="1" x14ac:dyDescent="0.3"/>
  </sheetData>
  <autoFilter ref="D1:D220"/>
  <mergeCells count="430">
    <mergeCell ref="F216:G216"/>
    <mergeCell ref="K216:M216"/>
    <mergeCell ref="F217:G217"/>
    <mergeCell ref="K217:M217"/>
    <mergeCell ref="F218:G218"/>
    <mergeCell ref="K218:M218"/>
    <mergeCell ref="F219:G219"/>
    <mergeCell ref="K219:M219"/>
    <mergeCell ref="F220:G220"/>
    <mergeCell ref="K220:M220"/>
    <mergeCell ref="F211:G211"/>
    <mergeCell ref="K211:M211"/>
    <mergeCell ref="F212:G212"/>
    <mergeCell ref="K212:M212"/>
    <mergeCell ref="F213:G213"/>
    <mergeCell ref="K213:M213"/>
    <mergeCell ref="F214:G214"/>
    <mergeCell ref="K214:M214"/>
    <mergeCell ref="F215:G215"/>
    <mergeCell ref="K215:M215"/>
    <mergeCell ref="F206:G206"/>
    <mergeCell ref="K206:M206"/>
    <mergeCell ref="F207:G207"/>
    <mergeCell ref="K207:M207"/>
    <mergeCell ref="F208:G208"/>
    <mergeCell ref="K208:M208"/>
    <mergeCell ref="F209:G209"/>
    <mergeCell ref="K209:M209"/>
    <mergeCell ref="F210:G210"/>
    <mergeCell ref="K210:M210"/>
    <mergeCell ref="F201:G201"/>
    <mergeCell ref="K201:M201"/>
    <mergeCell ref="F202:G202"/>
    <mergeCell ref="K202:M202"/>
    <mergeCell ref="F203:G203"/>
    <mergeCell ref="K203:M203"/>
    <mergeCell ref="F204:G204"/>
    <mergeCell ref="K204:M204"/>
    <mergeCell ref="F205:G205"/>
    <mergeCell ref="K205:M205"/>
    <mergeCell ref="F196:G196"/>
    <mergeCell ref="K196:M196"/>
    <mergeCell ref="F197:G197"/>
    <mergeCell ref="K197:M197"/>
    <mergeCell ref="F198:G198"/>
    <mergeCell ref="K198:M198"/>
    <mergeCell ref="F199:G199"/>
    <mergeCell ref="K199:M199"/>
    <mergeCell ref="F200:G200"/>
    <mergeCell ref="K200:M200"/>
    <mergeCell ref="F191:G191"/>
    <mergeCell ref="K191:M191"/>
    <mergeCell ref="F192:G192"/>
    <mergeCell ref="K192:M192"/>
    <mergeCell ref="F193:G193"/>
    <mergeCell ref="K193:M193"/>
    <mergeCell ref="F194:G194"/>
    <mergeCell ref="K194:M194"/>
    <mergeCell ref="F195:G195"/>
    <mergeCell ref="K195:M195"/>
    <mergeCell ref="F186:G186"/>
    <mergeCell ref="K186:M186"/>
    <mergeCell ref="F187:G187"/>
    <mergeCell ref="K187:M187"/>
    <mergeCell ref="F188:G188"/>
    <mergeCell ref="K188:M188"/>
    <mergeCell ref="F189:G189"/>
    <mergeCell ref="K189:M189"/>
    <mergeCell ref="F190:G190"/>
    <mergeCell ref="K190:M190"/>
    <mergeCell ref="F181:G181"/>
    <mergeCell ref="K181:M181"/>
    <mergeCell ref="F182:G182"/>
    <mergeCell ref="K182:M182"/>
    <mergeCell ref="F183:G183"/>
    <mergeCell ref="K183:M183"/>
    <mergeCell ref="F184:G184"/>
    <mergeCell ref="K184:M184"/>
    <mergeCell ref="F185:G185"/>
    <mergeCell ref="K185:M185"/>
    <mergeCell ref="F167:G167"/>
    <mergeCell ref="K167:M167"/>
    <mergeCell ref="F168:G168"/>
    <mergeCell ref="K168:M168"/>
    <mergeCell ref="F162:G162"/>
    <mergeCell ref="K162:M162"/>
    <mergeCell ref="F163:G163"/>
    <mergeCell ref="K163:M163"/>
    <mergeCell ref="F164:G164"/>
    <mergeCell ref="K164:M164"/>
    <mergeCell ref="F165:G165"/>
    <mergeCell ref="K165:M165"/>
    <mergeCell ref="F166:G166"/>
    <mergeCell ref="K166:M166"/>
    <mergeCell ref="F157:G157"/>
    <mergeCell ref="K157:M157"/>
    <mergeCell ref="F158:G158"/>
    <mergeCell ref="K158:M158"/>
    <mergeCell ref="F159:G159"/>
    <mergeCell ref="K159:M159"/>
    <mergeCell ref="F160:G160"/>
    <mergeCell ref="K160:M160"/>
    <mergeCell ref="F161:G161"/>
    <mergeCell ref="K161:M161"/>
    <mergeCell ref="F152:G152"/>
    <mergeCell ref="K152:M152"/>
    <mergeCell ref="F153:G153"/>
    <mergeCell ref="K153:M153"/>
    <mergeCell ref="F154:G154"/>
    <mergeCell ref="K154:M154"/>
    <mergeCell ref="F155:G155"/>
    <mergeCell ref="K155:M155"/>
    <mergeCell ref="F156:G156"/>
    <mergeCell ref="K156:M156"/>
    <mergeCell ref="F147:G147"/>
    <mergeCell ref="K147:M147"/>
    <mergeCell ref="F148:G148"/>
    <mergeCell ref="K148:M148"/>
    <mergeCell ref="F149:G149"/>
    <mergeCell ref="K149:M149"/>
    <mergeCell ref="F150:G150"/>
    <mergeCell ref="K150:M150"/>
    <mergeCell ref="F151:G151"/>
    <mergeCell ref="K151:M151"/>
    <mergeCell ref="F142:G142"/>
    <mergeCell ref="K142:M142"/>
    <mergeCell ref="F143:G143"/>
    <mergeCell ref="K143:M143"/>
    <mergeCell ref="F144:G144"/>
    <mergeCell ref="K144:M144"/>
    <mergeCell ref="F145:G145"/>
    <mergeCell ref="K145:M145"/>
    <mergeCell ref="F146:G146"/>
    <mergeCell ref="K146:M146"/>
    <mergeCell ref="F96:G96"/>
    <mergeCell ref="K96:M96"/>
    <mergeCell ref="F97:G97"/>
    <mergeCell ref="K97:M97"/>
    <mergeCell ref="F98:G98"/>
    <mergeCell ref="K98:M98"/>
    <mergeCell ref="F99:G99"/>
    <mergeCell ref="K99:M99"/>
    <mergeCell ref="F100:G100"/>
    <mergeCell ref="K100:M100"/>
    <mergeCell ref="F91:G91"/>
    <mergeCell ref="K91:M91"/>
    <mergeCell ref="F92:G92"/>
    <mergeCell ref="K92:M92"/>
    <mergeCell ref="F93:G93"/>
    <mergeCell ref="K93:M93"/>
    <mergeCell ref="F94:G94"/>
    <mergeCell ref="K94:M94"/>
    <mergeCell ref="F95:G95"/>
    <mergeCell ref="K95:M95"/>
    <mergeCell ref="F89:G89"/>
    <mergeCell ref="K89:M89"/>
    <mergeCell ref="F90:G90"/>
    <mergeCell ref="K90:M90"/>
    <mergeCell ref="F84:G84"/>
    <mergeCell ref="K84:M84"/>
    <mergeCell ref="F85:G85"/>
    <mergeCell ref="K85:M85"/>
    <mergeCell ref="F86:G86"/>
    <mergeCell ref="K86:M86"/>
    <mergeCell ref="F87:G87"/>
    <mergeCell ref="K87:M87"/>
    <mergeCell ref="F88:G88"/>
    <mergeCell ref="K88:M88"/>
    <mergeCell ref="F60:G60"/>
    <mergeCell ref="K60:M60"/>
    <mergeCell ref="F57:G57"/>
    <mergeCell ref="K57:M57"/>
    <mergeCell ref="F58:G58"/>
    <mergeCell ref="K58:M58"/>
    <mergeCell ref="F59:G59"/>
    <mergeCell ref="K59:M59"/>
    <mergeCell ref="F54:G54"/>
    <mergeCell ref="K54:M54"/>
    <mergeCell ref="F55:G55"/>
    <mergeCell ref="K55:M55"/>
    <mergeCell ref="F56:G56"/>
    <mergeCell ref="K56:M56"/>
    <mergeCell ref="F51:G51"/>
    <mergeCell ref="K51:M51"/>
    <mergeCell ref="F52:G52"/>
    <mergeCell ref="K52:M52"/>
    <mergeCell ref="F53:G53"/>
    <mergeCell ref="K53:M53"/>
    <mergeCell ref="S3:U3"/>
    <mergeCell ref="K45:M45"/>
    <mergeCell ref="K46:M46"/>
    <mergeCell ref="K47:M47"/>
    <mergeCell ref="K48:M48"/>
    <mergeCell ref="K33:M33"/>
    <mergeCell ref="K34:M34"/>
    <mergeCell ref="K35:M35"/>
    <mergeCell ref="K36:M36"/>
    <mergeCell ref="K37:M37"/>
    <mergeCell ref="K38:M38"/>
    <mergeCell ref="K27:M27"/>
    <mergeCell ref="K28:M28"/>
    <mergeCell ref="K29:M29"/>
    <mergeCell ref="K30:M30"/>
    <mergeCell ref="K31:M31"/>
    <mergeCell ref="K49:M49"/>
    <mergeCell ref="K50:M50"/>
    <mergeCell ref="K39:M39"/>
    <mergeCell ref="K40:M40"/>
    <mergeCell ref="K41:M41"/>
    <mergeCell ref="K42:M42"/>
    <mergeCell ref="K43:M43"/>
    <mergeCell ref="K44:M44"/>
    <mergeCell ref="K32:M32"/>
    <mergeCell ref="K21:M21"/>
    <mergeCell ref="K22:M22"/>
    <mergeCell ref="K23:M23"/>
    <mergeCell ref="K24:M24"/>
    <mergeCell ref="K25:M25"/>
    <mergeCell ref="K26:M26"/>
    <mergeCell ref="K20:M20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F50:G50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38:G38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26:G26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14:G14"/>
    <mergeCell ref="F5:I5"/>
    <mergeCell ref="K5:N5"/>
    <mergeCell ref="P5:U5"/>
    <mergeCell ref="F7:G7"/>
    <mergeCell ref="K7:M7"/>
    <mergeCell ref="F9:G9"/>
    <mergeCell ref="F10:G10"/>
    <mergeCell ref="F11:G11"/>
    <mergeCell ref="F12:G12"/>
    <mergeCell ref="F13:G13"/>
    <mergeCell ref="F61:G61"/>
    <mergeCell ref="K61:M61"/>
    <mergeCell ref="F62:G62"/>
    <mergeCell ref="K62:M62"/>
    <mergeCell ref="F63:G63"/>
    <mergeCell ref="K63:M63"/>
    <mergeCell ref="F64:G64"/>
    <mergeCell ref="K64:M64"/>
    <mergeCell ref="F65:G65"/>
    <mergeCell ref="K65:M65"/>
    <mergeCell ref="F66:G66"/>
    <mergeCell ref="K66:M66"/>
    <mergeCell ref="F67:G67"/>
    <mergeCell ref="K67:M67"/>
    <mergeCell ref="F68:G68"/>
    <mergeCell ref="K68:M68"/>
    <mergeCell ref="F69:G69"/>
    <mergeCell ref="K69:M69"/>
    <mergeCell ref="F70:G70"/>
    <mergeCell ref="K70:M70"/>
    <mergeCell ref="F71:G71"/>
    <mergeCell ref="K71:M71"/>
    <mergeCell ref="F72:G72"/>
    <mergeCell ref="K72:M72"/>
    <mergeCell ref="F73:G73"/>
    <mergeCell ref="K73:M73"/>
    <mergeCell ref="F74:G74"/>
    <mergeCell ref="K74:M74"/>
    <mergeCell ref="F75:G75"/>
    <mergeCell ref="K75:M75"/>
    <mergeCell ref="F81:G81"/>
    <mergeCell ref="K81:M81"/>
    <mergeCell ref="F82:G82"/>
    <mergeCell ref="K82:M82"/>
    <mergeCell ref="F83:G83"/>
    <mergeCell ref="K83:M83"/>
    <mergeCell ref="F76:G76"/>
    <mergeCell ref="K76:M76"/>
    <mergeCell ref="F77:G77"/>
    <mergeCell ref="K77:M77"/>
    <mergeCell ref="F78:G78"/>
    <mergeCell ref="K78:M78"/>
    <mergeCell ref="F79:G79"/>
    <mergeCell ref="K79:M79"/>
    <mergeCell ref="F80:G80"/>
    <mergeCell ref="K80:M80"/>
    <mergeCell ref="F101:G101"/>
    <mergeCell ref="K101:M101"/>
    <mergeCell ref="F102:G102"/>
    <mergeCell ref="K102:M102"/>
    <mergeCell ref="F103:G103"/>
    <mergeCell ref="K103:M103"/>
    <mergeCell ref="F104:G104"/>
    <mergeCell ref="K104:M104"/>
    <mergeCell ref="F105:G105"/>
    <mergeCell ref="K105:M105"/>
    <mergeCell ref="F106:G106"/>
    <mergeCell ref="K106:M106"/>
    <mergeCell ref="F107:G107"/>
    <mergeCell ref="K107:M107"/>
    <mergeCell ref="F108:G108"/>
    <mergeCell ref="K108:M108"/>
    <mergeCell ref="F109:G109"/>
    <mergeCell ref="K109:M109"/>
    <mergeCell ref="F110:G110"/>
    <mergeCell ref="K110:M110"/>
    <mergeCell ref="F111:G111"/>
    <mergeCell ref="K111:M111"/>
    <mergeCell ref="F112:G112"/>
    <mergeCell ref="K112:M112"/>
    <mergeCell ref="F113:G113"/>
    <mergeCell ref="K113:M113"/>
    <mergeCell ref="F114:G114"/>
    <mergeCell ref="K114:M114"/>
    <mergeCell ref="F115:G115"/>
    <mergeCell ref="K115:M115"/>
    <mergeCell ref="F116:G116"/>
    <mergeCell ref="K116:M116"/>
    <mergeCell ref="F117:G117"/>
    <mergeCell ref="K117:M117"/>
    <mergeCell ref="F118:G118"/>
    <mergeCell ref="K118:M118"/>
    <mergeCell ref="F119:G119"/>
    <mergeCell ref="K119:M119"/>
    <mergeCell ref="F120:G120"/>
    <mergeCell ref="K120:M120"/>
    <mergeCell ref="F121:G121"/>
    <mergeCell ref="K121:M121"/>
    <mergeCell ref="F122:G122"/>
    <mergeCell ref="K122:M122"/>
    <mergeCell ref="F123:G123"/>
    <mergeCell ref="K123:M123"/>
    <mergeCell ref="F124:G124"/>
    <mergeCell ref="K124:M124"/>
    <mergeCell ref="F125:G125"/>
    <mergeCell ref="K125:M125"/>
    <mergeCell ref="F126:G126"/>
    <mergeCell ref="K126:M126"/>
    <mergeCell ref="F127:G127"/>
    <mergeCell ref="K127:M127"/>
    <mergeCell ref="F128:G128"/>
    <mergeCell ref="K128:M128"/>
    <mergeCell ref="F129:G129"/>
    <mergeCell ref="K129:M129"/>
    <mergeCell ref="F130:G130"/>
    <mergeCell ref="K130:M130"/>
    <mergeCell ref="F131:G131"/>
    <mergeCell ref="K131:M131"/>
    <mergeCell ref="F132:G132"/>
    <mergeCell ref="K132:M132"/>
    <mergeCell ref="F133:G133"/>
    <mergeCell ref="K133:M133"/>
    <mergeCell ref="F134:G134"/>
    <mergeCell ref="K134:M134"/>
    <mergeCell ref="F135:G135"/>
    <mergeCell ref="K135:M135"/>
    <mergeCell ref="F141:G141"/>
    <mergeCell ref="K141:M141"/>
    <mergeCell ref="F136:G136"/>
    <mergeCell ref="K136:M136"/>
    <mergeCell ref="F137:G137"/>
    <mergeCell ref="K137:M137"/>
    <mergeCell ref="F138:G138"/>
    <mergeCell ref="K138:M138"/>
    <mergeCell ref="F139:G139"/>
    <mergeCell ref="K139:M139"/>
    <mergeCell ref="F140:G140"/>
    <mergeCell ref="K140:M140"/>
    <mergeCell ref="F169:G169"/>
    <mergeCell ref="K169:M169"/>
    <mergeCell ref="F170:G170"/>
    <mergeCell ref="K170:M170"/>
    <mergeCell ref="F171:G171"/>
    <mergeCell ref="K171:M171"/>
    <mergeCell ref="F172:G172"/>
    <mergeCell ref="K172:M172"/>
    <mergeCell ref="F173:G173"/>
    <mergeCell ref="K173:M173"/>
    <mergeCell ref="F179:G179"/>
    <mergeCell ref="K179:M179"/>
    <mergeCell ref="F180:G180"/>
    <mergeCell ref="K180:M180"/>
    <mergeCell ref="F174:G174"/>
    <mergeCell ref="K174:M174"/>
    <mergeCell ref="F175:G175"/>
    <mergeCell ref="K175:M175"/>
    <mergeCell ref="F176:G176"/>
    <mergeCell ref="K176:M176"/>
    <mergeCell ref="F177:G177"/>
    <mergeCell ref="K177:M177"/>
    <mergeCell ref="F178:G178"/>
    <mergeCell ref="K178:M178"/>
  </mergeCell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U350"/>
  <sheetViews>
    <sheetView workbookViewId="0">
      <pane ySplit="7" topLeftCell="A8" activePane="bottomLeft" state="frozen"/>
      <selection pane="bottomLeft" activeCell="D231" sqref="D231"/>
    </sheetView>
  </sheetViews>
  <sheetFormatPr defaultRowHeight="16.5" x14ac:dyDescent="0.3"/>
  <cols>
    <col min="1" max="1" width="4.140625" style="45" customWidth="1"/>
    <col min="2" max="2" width="10.5703125" style="35" customWidth="1"/>
    <col min="3" max="3" width="2.85546875" style="35" customWidth="1"/>
    <col min="4" max="4" width="28.140625" style="35" customWidth="1"/>
    <col min="5" max="5" width="3.140625" style="35" customWidth="1"/>
    <col min="6" max="6" width="9.140625" style="35" customWidth="1"/>
    <col min="7" max="7" width="6.42578125" style="73" customWidth="1"/>
    <col min="8" max="8" width="6.42578125" style="35" customWidth="1"/>
    <col min="9" max="9" width="9" style="35" customWidth="1"/>
    <col min="10" max="10" width="3.42578125" style="35" customWidth="1"/>
    <col min="11" max="11" width="8.5703125" style="35" customWidth="1"/>
    <col min="12" max="12" width="6.85546875" style="35" customWidth="1"/>
    <col min="13" max="13" width="7.5703125" style="35" customWidth="1"/>
    <col min="14" max="14" width="9.140625" style="35"/>
    <col min="15" max="15" width="3.5703125" style="35" customWidth="1"/>
    <col min="16" max="16" width="10.7109375" style="38" customWidth="1"/>
    <col min="17" max="17" width="3" style="35" customWidth="1"/>
    <col min="18" max="18" width="19" style="38" customWidth="1"/>
    <col min="19" max="19" width="3.140625" style="35" customWidth="1"/>
    <col min="20" max="20" width="27.28515625" style="35" customWidth="1"/>
    <col min="21" max="21" width="3.42578125" style="35" customWidth="1"/>
    <col min="22" max="16384" width="9.140625" style="35"/>
  </cols>
  <sheetData>
    <row r="2" spans="1:21" x14ac:dyDescent="0.3">
      <c r="A2" s="43"/>
      <c r="B2" s="2"/>
      <c r="C2" s="1"/>
      <c r="D2" s="1"/>
      <c r="E2" s="1"/>
      <c r="F2" s="1"/>
      <c r="G2" s="69"/>
      <c r="H2" s="1"/>
      <c r="I2" s="1"/>
      <c r="J2" s="1"/>
      <c r="K2" s="3"/>
      <c r="L2" s="4"/>
      <c r="M2" s="5"/>
      <c r="N2" s="5"/>
      <c r="O2" s="1"/>
      <c r="P2" s="34"/>
      <c r="Q2" s="1"/>
      <c r="R2" s="86"/>
      <c r="S2" s="1"/>
      <c r="T2" s="1"/>
      <c r="U2" s="1"/>
    </row>
    <row r="3" spans="1:21" ht="20.100000000000001" customHeight="1" thickBot="1" x14ac:dyDescent="0.35">
      <c r="A3" s="43"/>
      <c r="B3" s="42" t="s">
        <v>15</v>
      </c>
      <c r="C3" s="1"/>
      <c r="D3" s="1"/>
      <c r="E3" s="36" t="s">
        <v>34</v>
      </c>
      <c r="F3" s="36"/>
      <c r="G3" s="70"/>
      <c r="H3" s="36"/>
      <c r="I3" s="36"/>
      <c r="J3" s="36"/>
      <c r="K3" s="36"/>
      <c r="L3" s="36"/>
      <c r="M3" s="36"/>
      <c r="N3" s="36"/>
      <c r="O3" s="36"/>
      <c r="P3" s="36"/>
      <c r="Q3" s="37"/>
      <c r="R3" s="56"/>
      <c r="S3" s="181" t="s">
        <v>666</v>
      </c>
      <c r="T3" s="182"/>
      <c r="U3" s="60"/>
    </row>
    <row r="4" spans="1:21" ht="17.25" thickTop="1" x14ac:dyDescent="0.3">
      <c r="A4" s="43"/>
      <c r="B4" s="2"/>
      <c r="C4" s="1"/>
      <c r="D4" s="1"/>
      <c r="E4" s="1"/>
      <c r="F4" s="1"/>
      <c r="G4" s="69"/>
      <c r="H4" s="6"/>
      <c r="I4" s="6"/>
      <c r="J4" s="1"/>
      <c r="K4" s="3"/>
      <c r="L4" s="4"/>
      <c r="M4" s="5"/>
      <c r="N4" s="5"/>
      <c r="O4" s="1"/>
      <c r="P4" s="34"/>
      <c r="Q4" s="1"/>
      <c r="R4" s="86"/>
      <c r="S4" s="1"/>
      <c r="T4" s="1"/>
      <c r="U4" s="1"/>
    </row>
    <row r="5" spans="1:21" ht="30" customHeight="1" x14ac:dyDescent="0.3">
      <c r="A5" s="43"/>
      <c r="B5" s="8" t="s">
        <v>0</v>
      </c>
      <c r="C5" s="7"/>
      <c r="D5" s="41" t="s">
        <v>14</v>
      </c>
      <c r="E5" s="7"/>
      <c r="F5" s="178" t="s">
        <v>76</v>
      </c>
      <c r="G5" s="178"/>
      <c r="H5" s="178"/>
      <c r="I5" s="178"/>
      <c r="J5" s="9"/>
      <c r="K5" s="179" t="s">
        <v>78</v>
      </c>
      <c r="L5" s="179"/>
      <c r="M5" s="179"/>
      <c r="N5" s="179"/>
      <c r="O5" s="7"/>
      <c r="P5" s="180" t="s">
        <v>77</v>
      </c>
      <c r="Q5" s="180"/>
      <c r="R5" s="180"/>
      <c r="S5" s="180"/>
      <c r="T5" s="180"/>
      <c r="U5" s="7"/>
    </row>
    <row r="6" spans="1:21" x14ac:dyDescent="0.3">
      <c r="A6" s="43"/>
      <c r="B6" s="2"/>
      <c r="C6" s="1"/>
      <c r="D6" s="1"/>
      <c r="E6" s="1"/>
      <c r="F6" s="10"/>
      <c r="G6" s="71"/>
      <c r="H6" s="1"/>
      <c r="I6" s="1"/>
      <c r="J6" s="1"/>
      <c r="K6" s="3"/>
      <c r="L6" s="4"/>
      <c r="M6" s="5"/>
      <c r="N6" s="5"/>
      <c r="O6" s="1"/>
      <c r="P6" s="34"/>
      <c r="Q6" s="1"/>
      <c r="R6" s="86"/>
      <c r="S6" s="1"/>
      <c r="T6" s="1"/>
      <c r="U6" s="1"/>
    </row>
    <row r="7" spans="1:21" ht="30" customHeight="1" x14ac:dyDescent="0.3">
      <c r="A7" s="44"/>
      <c r="B7" s="12" t="s">
        <v>1</v>
      </c>
      <c r="C7" s="13"/>
      <c r="D7" s="14" t="s">
        <v>2</v>
      </c>
      <c r="E7" s="11"/>
      <c r="F7" s="15" t="s">
        <v>3</v>
      </c>
      <c r="G7" s="72" t="s">
        <v>4</v>
      </c>
      <c r="H7" s="15" t="s">
        <v>5</v>
      </c>
      <c r="I7" s="15" t="s">
        <v>6</v>
      </c>
      <c r="J7" s="16"/>
      <c r="K7" s="17" t="s">
        <v>7</v>
      </c>
      <c r="L7" s="18" t="s">
        <v>8</v>
      </c>
      <c r="M7" s="19" t="s">
        <v>9</v>
      </c>
      <c r="N7" s="17" t="s">
        <v>31</v>
      </c>
      <c r="O7" s="11"/>
      <c r="P7" s="12" t="s">
        <v>10</v>
      </c>
      <c r="Q7" s="11"/>
      <c r="R7" s="14" t="s">
        <v>11</v>
      </c>
      <c r="S7" s="46"/>
      <c r="T7" s="14" t="s">
        <v>12</v>
      </c>
      <c r="U7" s="11"/>
    </row>
    <row r="8" spans="1:21" x14ac:dyDescent="0.3">
      <c r="A8" s="43"/>
      <c r="B8" s="2"/>
      <c r="C8" s="1"/>
      <c r="D8" s="1"/>
      <c r="E8" s="1"/>
      <c r="F8" s="1"/>
      <c r="G8" s="69"/>
      <c r="H8" s="1"/>
      <c r="I8" s="1"/>
      <c r="J8" s="20"/>
      <c r="K8" s="3"/>
      <c r="L8" s="4"/>
      <c r="M8" s="5"/>
      <c r="N8" s="5"/>
      <c r="O8" s="1"/>
      <c r="P8" s="34"/>
      <c r="Q8" s="1"/>
      <c r="R8" s="86"/>
      <c r="S8" s="1"/>
      <c r="T8" s="1"/>
      <c r="U8" s="1"/>
    </row>
    <row r="9" spans="1:21" ht="20.100000000000001" customHeight="1" x14ac:dyDescent="0.3">
      <c r="A9" s="44">
        <v>1</v>
      </c>
      <c r="B9" s="22">
        <v>45021</v>
      </c>
      <c r="C9" s="79"/>
      <c r="D9" s="80" t="s">
        <v>303</v>
      </c>
      <c r="E9" s="81"/>
      <c r="F9" s="82">
        <v>20</v>
      </c>
      <c r="G9" s="83" t="s">
        <v>18</v>
      </c>
      <c r="H9" s="82">
        <v>25</v>
      </c>
      <c r="I9" s="27">
        <f t="shared" ref="I9:I72" si="0">F9*H9</f>
        <v>500</v>
      </c>
      <c r="J9" s="28"/>
      <c r="K9" s="29">
        <v>14250</v>
      </c>
      <c r="L9" s="30"/>
      <c r="M9" s="31">
        <f t="shared" ref="M9:M72" si="1">K9*L9</f>
        <v>0</v>
      </c>
      <c r="N9" s="31">
        <f t="shared" ref="N9:N72" si="2">K9+M9</f>
        <v>14250</v>
      </c>
      <c r="O9" s="25"/>
      <c r="P9" s="22">
        <v>45022</v>
      </c>
      <c r="Q9" s="25"/>
      <c r="R9" s="26" t="s">
        <v>304</v>
      </c>
      <c r="S9" s="21"/>
      <c r="T9" s="32" t="s">
        <v>45</v>
      </c>
      <c r="U9" s="21"/>
    </row>
    <row r="10" spans="1:21" ht="20.100000000000001" customHeight="1" x14ac:dyDescent="0.3">
      <c r="A10" s="44">
        <v>2</v>
      </c>
      <c r="B10" s="22">
        <v>45021</v>
      </c>
      <c r="C10" s="79"/>
      <c r="D10" s="80" t="s">
        <v>305</v>
      </c>
      <c r="E10" s="81"/>
      <c r="F10" s="82">
        <v>22</v>
      </c>
      <c r="G10" s="83" t="s">
        <v>51</v>
      </c>
      <c r="H10" s="82">
        <v>1000</v>
      </c>
      <c r="I10" s="27">
        <f t="shared" si="0"/>
        <v>22000</v>
      </c>
      <c r="J10" s="28"/>
      <c r="K10" s="29">
        <v>6650</v>
      </c>
      <c r="L10" s="30">
        <v>0.05</v>
      </c>
      <c r="M10" s="31">
        <f t="shared" si="1"/>
        <v>332.5</v>
      </c>
      <c r="N10" s="31">
        <f t="shared" si="2"/>
        <v>6982.5</v>
      </c>
      <c r="O10" s="25"/>
      <c r="P10" s="22">
        <v>45022</v>
      </c>
      <c r="Q10" s="25"/>
      <c r="R10" s="26" t="s">
        <v>306</v>
      </c>
      <c r="S10" s="21"/>
      <c r="T10" s="32" t="s">
        <v>28</v>
      </c>
      <c r="U10" s="21"/>
    </row>
    <row r="11" spans="1:21" ht="20.100000000000001" customHeight="1" x14ac:dyDescent="0.3">
      <c r="A11" s="44">
        <v>3</v>
      </c>
      <c r="B11" s="22">
        <v>45021</v>
      </c>
      <c r="C11" s="79"/>
      <c r="D11" s="80" t="s">
        <v>235</v>
      </c>
      <c r="E11" s="81"/>
      <c r="F11" s="82">
        <v>20</v>
      </c>
      <c r="G11" s="83" t="s">
        <v>18</v>
      </c>
      <c r="H11" s="82">
        <v>25</v>
      </c>
      <c r="I11" s="27">
        <f t="shared" si="0"/>
        <v>500</v>
      </c>
      <c r="J11" s="28"/>
      <c r="K11" s="29">
        <v>3200</v>
      </c>
      <c r="L11" s="30"/>
      <c r="M11" s="31">
        <f t="shared" si="1"/>
        <v>0</v>
      </c>
      <c r="N11" s="31">
        <f t="shared" si="2"/>
        <v>3200</v>
      </c>
      <c r="O11" s="25"/>
      <c r="P11" s="22">
        <v>45022</v>
      </c>
      <c r="Q11" s="25"/>
      <c r="R11" s="26" t="s">
        <v>307</v>
      </c>
      <c r="S11" s="21"/>
      <c r="T11" s="32" t="s">
        <v>234</v>
      </c>
      <c r="U11" s="21"/>
    </row>
    <row r="12" spans="1:21" ht="20.100000000000001" customHeight="1" x14ac:dyDescent="0.3">
      <c r="A12" s="44">
        <v>4</v>
      </c>
      <c r="B12" s="22">
        <v>45022</v>
      </c>
      <c r="C12" s="79"/>
      <c r="D12" s="80" t="s">
        <v>254</v>
      </c>
      <c r="E12" s="81"/>
      <c r="F12" s="82">
        <v>44</v>
      </c>
      <c r="G12" s="83" t="s">
        <v>51</v>
      </c>
      <c r="H12" s="82">
        <v>1000</v>
      </c>
      <c r="I12" s="27">
        <f t="shared" si="0"/>
        <v>44000</v>
      </c>
      <c r="J12" s="28"/>
      <c r="K12" s="29">
        <v>1025</v>
      </c>
      <c r="L12" s="30">
        <v>0.05</v>
      </c>
      <c r="M12" s="31">
        <f t="shared" si="1"/>
        <v>51.25</v>
      </c>
      <c r="N12" s="31">
        <f t="shared" si="2"/>
        <v>1076.25</v>
      </c>
      <c r="O12" s="25"/>
      <c r="P12" s="22">
        <v>45022</v>
      </c>
      <c r="Q12" s="25"/>
      <c r="R12" s="26" t="s">
        <v>308</v>
      </c>
      <c r="S12" s="21"/>
      <c r="T12" s="32" t="s">
        <v>309</v>
      </c>
      <c r="U12" s="21"/>
    </row>
    <row r="13" spans="1:21" ht="20.100000000000001" customHeight="1" x14ac:dyDescent="0.3">
      <c r="A13" s="44">
        <v>5</v>
      </c>
      <c r="B13" s="22">
        <v>45023</v>
      </c>
      <c r="C13" s="79"/>
      <c r="D13" s="80" t="s">
        <v>310</v>
      </c>
      <c r="E13" s="81"/>
      <c r="F13" s="82">
        <v>32</v>
      </c>
      <c r="G13" s="83" t="s">
        <v>66</v>
      </c>
      <c r="H13" s="82">
        <v>400</v>
      </c>
      <c r="I13" s="27">
        <f t="shared" si="0"/>
        <v>12800</v>
      </c>
      <c r="J13" s="28"/>
      <c r="K13" s="29">
        <v>8550</v>
      </c>
      <c r="L13" s="30">
        <v>0.12</v>
      </c>
      <c r="M13" s="31">
        <f t="shared" si="1"/>
        <v>1026</v>
      </c>
      <c r="N13" s="31">
        <f t="shared" si="2"/>
        <v>9576</v>
      </c>
      <c r="O13" s="25"/>
      <c r="P13" s="22">
        <v>45024</v>
      </c>
      <c r="Q13" s="25"/>
      <c r="R13" s="26" t="s">
        <v>311</v>
      </c>
      <c r="S13" s="21"/>
      <c r="T13" s="32" t="s">
        <v>312</v>
      </c>
      <c r="U13" s="21"/>
    </row>
    <row r="14" spans="1:21" ht="20.100000000000001" customHeight="1" x14ac:dyDescent="0.3">
      <c r="A14" s="44">
        <v>6</v>
      </c>
      <c r="B14" s="22">
        <v>45023</v>
      </c>
      <c r="C14" s="79"/>
      <c r="D14" s="80" t="s">
        <v>313</v>
      </c>
      <c r="E14" s="81"/>
      <c r="F14" s="82">
        <v>60</v>
      </c>
      <c r="G14" s="83" t="s">
        <v>66</v>
      </c>
      <c r="H14" s="82">
        <v>500</v>
      </c>
      <c r="I14" s="27">
        <f t="shared" si="0"/>
        <v>30000</v>
      </c>
      <c r="J14" s="28"/>
      <c r="K14" s="29">
        <v>405</v>
      </c>
      <c r="L14" s="30">
        <v>0.18</v>
      </c>
      <c r="M14" s="31">
        <f t="shared" si="1"/>
        <v>72.899999999999991</v>
      </c>
      <c r="N14" s="31">
        <f t="shared" si="2"/>
        <v>477.9</v>
      </c>
      <c r="O14" s="25"/>
      <c r="P14" s="22">
        <v>45024</v>
      </c>
      <c r="Q14" s="25"/>
      <c r="R14" s="26" t="s">
        <v>314</v>
      </c>
      <c r="S14" s="21"/>
      <c r="T14" s="32" t="s">
        <v>315</v>
      </c>
      <c r="U14" s="21"/>
    </row>
    <row r="15" spans="1:21" ht="20.100000000000001" customHeight="1" x14ac:dyDescent="0.3">
      <c r="A15" s="44">
        <v>7</v>
      </c>
      <c r="B15" s="22">
        <v>45023</v>
      </c>
      <c r="C15" s="79"/>
      <c r="D15" s="80" t="s">
        <v>316</v>
      </c>
      <c r="E15" s="81"/>
      <c r="F15" s="82">
        <v>20</v>
      </c>
      <c r="G15" s="83" t="s">
        <v>56</v>
      </c>
      <c r="H15" s="82">
        <v>5</v>
      </c>
      <c r="I15" s="27">
        <f t="shared" si="0"/>
        <v>100</v>
      </c>
      <c r="J15" s="28"/>
      <c r="K15" s="29">
        <v>2765</v>
      </c>
      <c r="L15" s="30">
        <v>0.18</v>
      </c>
      <c r="M15" s="31">
        <f t="shared" si="1"/>
        <v>497.7</v>
      </c>
      <c r="N15" s="31">
        <f t="shared" si="2"/>
        <v>3262.7</v>
      </c>
      <c r="O15" s="25"/>
      <c r="P15" s="22">
        <v>45024</v>
      </c>
      <c r="Q15" s="25"/>
      <c r="R15" s="26" t="s">
        <v>319</v>
      </c>
      <c r="S15" s="21"/>
      <c r="T15" s="32" t="s">
        <v>28</v>
      </c>
      <c r="U15" s="21"/>
    </row>
    <row r="16" spans="1:21" s="39" customFormat="1" ht="20.100000000000001" customHeight="1" x14ac:dyDescent="0.2">
      <c r="A16" s="44">
        <v>8</v>
      </c>
      <c r="B16" s="22">
        <v>45023</v>
      </c>
      <c r="C16" s="79"/>
      <c r="D16" s="80" t="s">
        <v>317</v>
      </c>
      <c r="E16" s="81"/>
      <c r="F16" s="82">
        <v>50</v>
      </c>
      <c r="G16" s="83" t="s">
        <v>56</v>
      </c>
      <c r="H16" s="82">
        <v>1</v>
      </c>
      <c r="I16" s="27">
        <f t="shared" si="0"/>
        <v>50</v>
      </c>
      <c r="J16" s="28"/>
      <c r="K16" s="29">
        <v>600</v>
      </c>
      <c r="L16" s="30">
        <v>0.12</v>
      </c>
      <c r="M16" s="31">
        <f t="shared" si="1"/>
        <v>72</v>
      </c>
      <c r="N16" s="31">
        <f t="shared" si="2"/>
        <v>672</v>
      </c>
      <c r="O16" s="25"/>
      <c r="P16" s="22">
        <v>45024</v>
      </c>
      <c r="Q16" s="25"/>
      <c r="R16" s="26" t="s">
        <v>319</v>
      </c>
      <c r="S16" s="21"/>
      <c r="T16" s="32" t="s">
        <v>28</v>
      </c>
      <c r="U16" s="21"/>
    </row>
    <row r="17" spans="1:21" s="39" customFormat="1" ht="20.100000000000001" customHeight="1" x14ac:dyDescent="0.2">
      <c r="A17" s="44">
        <v>9</v>
      </c>
      <c r="B17" s="22">
        <v>45023</v>
      </c>
      <c r="C17" s="79"/>
      <c r="D17" s="80" t="s">
        <v>318</v>
      </c>
      <c r="E17" s="81"/>
      <c r="F17" s="82">
        <v>60</v>
      </c>
      <c r="G17" s="83" t="s">
        <v>56</v>
      </c>
      <c r="H17" s="82">
        <v>1</v>
      </c>
      <c r="I17" s="27">
        <f t="shared" si="0"/>
        <v>60</v>
      </c>
      <c r="J17" s="28"/>
      <c r="K17" s="29">
        <v>580</v>
      </c>
      <c r="L17" s="30"/>
      <c r="M17" s="31">
        <f t="shared" si="1"/>
        <v>0</v>
      </c>
      <c r="N17" s="31">
        <f t="shared" si="2"/>
        <v>580</v>
      </c>
      <c r="O17" s="25"/>
      <c r="P17" s="22">
        <v>45024</v>
      </c>
      <c r="Q17" s="25"/>
      <c r="R17" s="26" t="s">
        <v>319</v>
      </c>
      <c r="S17" s="21"/>
      <c r="T17" s="32" t="s">
        <v>28</v>
      </c>
      <c r="U17" s="21"/>
    </row>
    <row r="18" spans="1:21" s="39" customFormat="1" ht="20.100000000000001" customHeight="1" x14ac:dyDescent="0.2">
      <c r="A18" s="44">
        <v>10</v>
      </c>
      <c r="B18" s="78">
        <v>45028</v>
      </c>
      <c r="C18" s="79"/>
      <c r="D18" s="80" t="s">
        <v>126</v>
      </c>
      <c r="E18" s="81"/>
      <c r="F18" s="82">
        <v>70</v>
      </c>
      <c r="G18" s="83" t="s">
        <v>51</v>
      </c>
      <c r="H18" s="82">
        <v>1000</v>
      </c>
      <c r="I18" s="27">
        <f t="shared" si="0"/>
        <v>70000</v>
      </c>
      <c r="J18" s="28"/>
      <c r="K18" s="29">
        <v>902.48</v>
      </c>
      <c r="L18" s="30">
        <v>0.05</v>
      </c>
      <c r="M18" s="31">
        <f t="shared" si="1"/>
        <v>45.124000000000002</v>
      </c>
      <c r="N18" s="31">
        <f t="shared" si="2"/>
        <v>947.60400000000004</v>
      </c>
      <c r="O18" s="25"/>
      <c r="P18" s="22">
        <v>45030</v>
      </c>
      <c r="Q18" s="25"/>
      <c r="R18" s="26" t="s">
        <v>320</v>
      </c>
      <c r="S18" s="21"/>
      <c r="T18" s="32" t="s">
        <v>124</v>
      </c>
      <c r="U18" s="21"/>
    </row>
    <row r="19" spans="1:21" s="39" customFormat="1" ht="20.100000000000001" customHeight="1" x14ac:dyDescent="0.2">
      <c r="A19" s="44">
        <v>11</v>
      </c>
      <c r="B19" s="78">
        <v>45033</v>
      </c>
      <c r="C19" s="79"/>
      <c r="D19" s="80" t="s">
        <v>321</v>
      </c>
      <c r="E19" s="81"/>
      <c r="F19" s="82">
        <v>30</v>
      </c>
      <c r="G19" s="83" t="s">
        <v>18</v>
      </c>
      <c r="H19" s="82">
        <v>1</v>
      </c>
      <c r="I19" s="27">
        <f t="shared" si="0"/>
        <v>30</v>
      </c>
      <c r="J19" s="28"/>
      <c r="K19" s="29">
        <v>3500</v>
      </c>
      <c r="L19" s="30"/>
      <c r="M19" s="31">
        <f t="shared" si="1"/>
        <v>0</v>
      </c>
      <c r="N19" s="31">
        <f t="shared" si="2"/>
        <v>3500</v>
      </c>
      <c r="O19" s="25"/>
      <c r="P19" s="22">
        <v>45033</v>
      </c>
      <c r="Q19" s="25"/>
      <c r="R19" s="26" t="s">
        <v>322</v>
      </c>
      <c r="S19" s="21"/>
      <c r="T19" s="32" t="s">
        <v>323</v>
      </c>
      <c r="U19" s="21"/>
    </row>
    <row r="20" spans="1:21" ht="20.100000000000001" customHeight="1" x14ac:dyDescent="0.3">
      <c r="A20" s="44">
        <v>12</v>
      </c>
      <c r="B20" s="78">
        <v>45033</v>
      </c>
      <c r="C20" s="79"/>
      <c r="D20" s="80" t="s">
        <v>324</v>
      </c>
      <c r="E20" s="81"/>
      <c r="F20" s="82">
        <v>20</v>
      </c>
      <c r="G20" s="83" t="s">
        <v>18</v>
      </c>
      <c r="H20" s="82">
        <v>20</v>
      </c>
      <c r="I20" s="27">
        <f t="shared" si="0"/>
        <v>400</v>
      </c>
      <c r="J20" s="28"/>
      <c r="K20" s="29">
        <v>32000</v>
      </c>
      <c r="L20" s="30"/>
      <c r="M20" s="31">
        <f t="shared" si="1"/>
        <v>0</v>
      </c>
      <c r="N20" s="31">
        <f t="shared" si="2"/>
        <v>32000</v>
      </c>
      <c r="O20" s="25"/>
      <c r="P20" s="78">
        <v>45033</v>
      </c>
      <c r="Q20" s="25"/>
      <c r="R20" s="26" t="s">
        <v>325</v>
      </c>
      <c r="S20" s="21"/>
      <c r="T20" s="32" t="s">
        <v>326</v>
      </c>
      <c r="U20" s="21"/>
    </row>
    <row r="21" spans="1:21" ht="20.100000000000001" customHeight="1" x14ac:dyDescent="0.3">
      <c r="A21" s="44">
        <v>13</v>
      </c>
      <c r="B21" s="78">
        <v>45033</v>
      </c>
      <c r="C21" s="79"/>
      <c r="D21" s="80" t="s">
        <v>327</v>
      </c>
      <c r="E21" s="81"/>
      <c r="F21" s="82">
        <v>500</v>
      </c>
      <c r="G21" s="83" t="s">
        <v>18</v>
      </c>
      <c r="H21" s="82">
        <v>1</v>
      </c>
      <c r="I21" s="27">
        <f t="shared" si="0"/>
        <v>500</v>
      </c>
      <c r="J21" s="28"/>
      <c r="K21" s="29">
        <v>400</v>
      </c>
      <c r="L21" s="30"/>
      <c r="M21" s="31">
        <f t="shared" si="1"/>
        <v>0</v>
      </c>
      <c r="N21" s="31">
        <f t="shared" si="2"/>
        <v>400</v>
      </c>
      <c r="O21" s="25"/>
      <c r="P21" s="78">
        <v>45033</v>
      </c>
      <c r="Q21" s="25"/>
      <c r="R21" s="26" t="s">
        <v>328</v>
      </c>
      <c r="S21" s="21"/>
      <c r="T21" s="32" t="s">
        <v>329</v>
      </c>
      <c r="U21" s="21"/>
    </row>
    <row r="22" spans="1:21" ht="20.100000000000001" customHeight="1" x14ac:dyDescent="0.3">
      <c r="A22" s="44">
        <v>14</v>
      </c>
      <c r="B22" s="78">
        <v>45033</v>
      </c>
      <c r="C22" s="79"/>
      <c r="D22" s="80" t="s">
        <v>330</v>
      </c>
      <c r="E22" s="81"/>
      <c r="F22" s="82">
        <v>15</v>
      </c>
      <c r="G22" s="83" t="s">
        <v>18</v>
      </c>
      <c r="H22" s="82">
        <v>10</v>
      </c>
      <c r="I22" s="27">
        <f t="shared" si="0"/>
        <v>150</v>
      </c>
      <c r="J22" s="28"/>
      <c r="K22" s="29">
        <v>4000</v>
      </c>
      <c r="L22" s="30"/>
      <c r="M22" s="31">
        <f t="shared" si="1"/>
        <v>0</v>
      </c>
      <c r="N22" s="31">
        <f t="shared" si="2"/>
        <v>4000</v>
      </c>
      <c r="O22" s="25"/>
      <c r="P22" s="78">
        <v>45033</v>
      </c>
      <c r="Q22" s="25"/>
      <c r="R22" s="26" t="s">
        <v>331</v>
      </c>
      <c r="S22" s="21"/>
      <c r="T22" s="32" t="s">
        <v>332</v>
      </c>
      <c r="U22" s="21"/>
    </row>
    <row r="23" spans="1:21" ht="20.100000000000001" customHeight="1" x14ac:dyDescent="0.3">
      <c r="A23" s="44">
        <v>15</v>
      </c>
      <c r="B23" s="78">
        <v>45036</v>
      </c>
      <c r="C23" s="79"/>
      <c r="D23" s="80" t="s">
        <v>254</v>
      </c>
      <c r="E23" s="81"/>
      <c r="F23" s="82">
        <v>49</v>
      </c>
      <c r="G23" s="83" t="s">
        <v>51</v>
      </c>
      <c r="H23" s="82">
        <v>1000</v>
      </c>
      <c r="I23" s="27">
        <f t="shared" si="0"/>
        <v>49000</v>
      </c>
      <c r="J23" s="28"/>
      <c r="K23" s="29">
        <v>1025</v>
      </c>
      <c r="L23" s="30">
        <v>0.05</v>
      </c>
      <c r="M23" s="31">
        <f t="shared" si="1"/>
        <v>51.25</v>
      </c>
      <c r="N23" s="31">
        <f t="shared" si="2"/>
        <v>1076.25</v>
      </c>
      <c r="O23" s="25"/>
      <c r="P23" s="78">
        <v>45036</v>
      </c>
      <c r="Q23" s="25"/>
      <c r="R23" s="26" t="s">
        <v>333</v>
      </c>
      <c r="S23" s="21"/>
      <c r="T23" s="32" t="s">
        <v>309</v>
      </c>
      <c r="U23" s="21"/>
    </row>
    <row r="24" spans="1:21" ht="20.100000000000001" customHeight="1" x14ac:dyDescent="0.3">
      <c r="A24" s="44">
        <v>16</v>
      </c>
      <c r="B24" s="78">
        <v>45040</v>
      </c>
      <c r="C24" s="79"/>
      <c r="D24" s="80" t="s">
        <v>334</v>
      </c>
      <c r="E24" s="81"/>
      <c r="F24" s="82">
        <v>20</v>
      </c>
      <c r="G24" s="83" t="s">
        <v>18</v>
      </c>
      <c r="H24" s="82">
        <v>10</v>
      </c>
      <c r="I24" s="27">
        <f t="shared" si="0"/>
        <v>200</v>
      </c>
      <c r="J24" s="28"/>
      <c r="K24" s="29">
        <v>7050</v>
      </c>
      <c r="L24" s="30"/>
      <c r="M24" s="31">
        <f t="shared" si="1"/>
        <v>0</v>
      </c>
      <c r="N24" s="31">
        <f t="shared" si="2"/>
        <v>7050</v>
      </c>
      <c r="O24" s="25"/>
      <c r="P24" s="78">
        <v>45040</v>
      </c>
      <c r="Q24" s="25"/>
      <c r="R24" s="26" t="s">
        <v>335</v>
      </c>
      <c r="S24" s="21"/>
      <c r="T24" s="32" t="s">
        <v>101</v>
      </c>
      <c r="U24" s="21"/>
    </row>
    <row r="25" spans="1:21" ht="20.100000000000001" customHeight="1" x14ac:dyDescent="0.3">
      <c r="A25" s="44">
        <v>17</v>
      </c>
      <c r="B25" s="78">
        <v>45040</v>
      </c>
      <c r="C25" s="79"/>
      <c r="D25" s="80" t="s">
        <v>337</v>
      </c>
      <c r="E25" s="81"/>
      <c r="F25" s="82">
        <v>20</v>
      </c>
      <c r="G25" s="83" t="s">
        <v>18</v>
      </c>
      <c r="H25" s="82">
        <v>25</v>
      </c>
      <c r="I25" s="27">
        <f t="shared" si="0"/>
        <v>500</v>
      </c>
      <c r="J25" s="28"/>
      <c r="K25" s="29">
        <v>1250</v>
      </c>
      <c r="L25" s="30"/>
      <c r="M25" s="31">
        <f t="shared" si="1"/>
        <v>0</v>
      </c>
      <c r="N25" s="31">
        <f t="shared" si="2"/>
        <v>1250</v>
      </c>
      <c r="O25" s="25"/>
      <c r="P25" s="78">
        <v>45040</v>
      </c>
      <c r="Q25" s="25"/>
      <c r="R25" s="26" t="s">
        <v>336</v>
      </c>
      <c r="S25" s="21"/>
      <c r="T25" s="32" t="s">
        <v>338</v>
      </c>
      <c r="U25" s="21"/>
    </row>
    <row r="26" spans="1:21" ht="20.100000000000001" customHeight="1" x14ac:dyDescent="0.3">
      <c r="A26" s="44">
        <v>18</v>
      </c>
      <c r="B26" s="78">
        <v>45040</v>
      </c>
      <c r="C26" s="79"/>
      <c r="D26" s="80" t="s">
        <v>552</v>
      </c>
      <c r="E26" s="81"/>
      <c r="F26" s="82">
        <v>8</v>
      </c>
      <c r="G26" s="83" t="s">
        <v>18</v>
      </c>
      <c r="H26" s="82">
        <v>25</v>
      </c>
      <c r="I26" s="27">
        <f t="shared" si="0"/>
        <v>200</v>
      </c>
      <c r="J26" s="28"/>
      <c r="K26" s="29">
        <v>16875</v>
      </c>
      <c r="L26" s="30"/>
      <c r="M26" s="31">
        <f t="shared" si="1"/>
        <v>0</v>
      </c>
      <c r="N26" s="31">
        <f t="shared" si="2"/>
        <v>16875</v>
      </c>
      <c r="O26" s="25"/>
      <c r="P26" s="78">
        <v>45041</v>
      </c>
      <c r="Q26" s="25"/>
      <c r="R26" s="26" t="s">
        <v>339</v>
      </c>
      <c r="S26" s="21"/>
      <c r="T26" s="32" t="s">
        <v>323</v>
      </c>
      <c r="U26" s="21"/>
    </row>
    <row r="27" spans="1:21" ht="20.100000000000001" customHeight="1" x14ac:dyDescent="0.3">
      <c r="A27" s="44">
        <v>19</v>
      </c>
      <c r="B27" s="78">
        <v>45044</v>
      </c>
      <c r="C27" s="79"/>
      <c r="D27" s="80" t="s">
        <v>340</v>
      </c>
      <c r="E27" s="81"/>
      <c r="F27" s="82">
        <v>8</v>
      </c>
      <c r="G27" s="83" t="s">
        <v>18</v>
      </c>
      <c r="H27" s="82">
        <v>25</v>
      </c>
      <c r="I27" s="27">
        <f t="shared" si="0"/>
        <v>200</v>
      </c>
      <c r="J27" s="28"/>
      <c r="K27" s="29">
        <v>3200</v>
      </c>
      <c r="L27" s="30">
        <v>0.12</v>
      </c>
      <c r="M27" s="31">
        <f t="shared" si="1"/>
        <v>384</v>
      </c>
      <c r="N27" s="31">
        <f t="shared" si="2"/>
        <v>3584</v>
      </c>
      <c r="O27" s="25"/>
      <c r="P27" s="22">
        <v>45045</v>
      </c>
      <c r="Q27" s="25"/>
      <c r="R27" s="26" t="s">
        <v>341</v>
      </c>
      <c r="S27" s="21"/>
      <c r="T27" s="32" t="s">
        <v>166</v>
      </c>
      <c r="U27" s="21"/>
    </row>
    <row r="28" spans="1:21" ht="20.100000000000001" customHeight="1" x14ac:dyDescent="0.3">
      <c r="A28" s="44">
        <v>20</v>
      </c>
      <c r="B28" s="78">
        <v>45048</v>
      </c>
      <c r="C28" s="79"/>
      <c r="D28" s="80" t="s">
        <v>342</v>
      </c>
      <c r="E28" s="81"/>
      <c r="F28" s="82">
        <v>20</v>
      </c>
      <c r="G28" s="83" t="s">
        <v>18</v>
      </c>
      <c r="H28" s="82">
        <v>25</v>
      </c>
      <c r="I28" s="27">
        <f t="shared" si="0"/>
        <v>500</v>
      </c>
      <c r="J28" s="28"/>
      <c r="K28" s="29">
        <v>14625</v>
      </c>
      <c r="L28" s="30"/>
      <c r="M28" s="31">
        <f t="shared" si="1"/>
        <v>0</v>
      </c>
      <c r="N28" s="31">
        <f t="shared" si="2"/>
        <v>14625</v>
      </c>
      <c r="O28" s="25"/>
      <c r="P28" s="22">
        <v>45050</v>
      </c>
      <c r="Q28" s="25"/>
      <c r="R28" s="26" t="s">
        <v>343</v>
      </c>
      <c r="S28" s="21"/>
      <c r="T28" s="32" t="s">
        <v>98</v>
      </c>
      <c r="U28" s="21"/>
    </row>
    <row r="29" spans="1:21" ht="20.100000000000001" customHeight="1" x14ac:dyDescent="0.3">
      <c r="A29" s="44">
        <v>21</v>
      </c>
      <c r="B29" s="78">
        <v>45054</v>
      </c>
      <c r="C29" s="79"/>
      <c r="D29" s="80" t="s">
        <v>345</v>
      </c>
      <c r="E29" s="81"/>
      <c r="F29" s="82">
        <v>100</v>
      </c>
      <c r="G29" s="83" t="s">
        <v>51</v>
      </c>
      <c r="H29" s="82">
        <v>2500</v>
      </c>
      <c r="I29" s="27">
        <f>F29*H29</f>
        <v>250000</v>
      </c>
      <c r="J29" s="28"/>
      <c r="K29" s="29">
        <v>550</v>
      </c>
      <c r="L29" s="30">
        <v>0.05</v>
      </c>
      <c r="M29" s="31">
        <f t="shared" si="1"/>
        <v>27.5</v>
      </c>
      <c r="N29" s="31">
        <f t="shared" si="2"/>
        <v>577.5</v>
      </c>
      <c r="O29" s="25"/>
      <c r="P29" s="22">
        <v>45054</v>
      </c>
      <c r="Q29" s="25"/>
      <c r="R29" s="26" t="s">
        <v>346</v>
      </c>
      <c r="S29" s="21"/>
      <c r="T29" s="32" t="s">
        <v>49</v>
      </c>
      <c r="U29" s="21"/>
    </row>
    <row r="30" spans="1:21" ht="20.100000000000001" customHeight="1" x14ac:dyDescent="0.3">
      <c r="A30" s="44">
        <v>22</v>
      </c>
      <c r="B30" s="78" t="s">
        <v>189</v>
      </c>
      <c r="C30" s="79"/>
      <c r="D30" s="80" t="s">
        <v>347</v>
      </c>
      <c r="E30" s="81"/>
      <c r="F30" s="82">
        <v>8</v>
      </c>
      <c r="G30" s="83" t="s">
        <v>18</v>
      </c>
      <c r="H30" s="82">
        <v>25</v>
      </c>
      <c r="I30" s="27">
        <f t="shared" si="0"/>
        <v>200</v>
      </c>
      <c r="J30" s="28"/>
      <c r="K30" s="89">
        <v>12500</v>
      </c>
      <c r="L30" s="30"/>
      <c r="M30" s="31">
        <f t="shared" si="1"/>
        <v>0</v>
      </c>
      <c r="N30" s="31">
        <f t="shared" si="2"/>
        <v>12500</v>
      </c>
      <c r="O30" s="25"/>
      <c r="P30" s="22">
        <v>45057</v>
      </c>
      <c r="Q30" s="25"/>
      <c r="R30" s="26" t="s">
        <v>348</v>
      </c>
      <c r="S30" s="21"/>
      <c r="T30" s="32" t="s">
        <v>349</v>
      </c>
      <c r="U30" s="21"/>
    </row>
    <row r="31" spans="1:21" ht="20.100000000000001" customHeight="1" x14ac:dyDescent="0.3">
      <c r="A31" s="44">
        <v>23</v>
      </c>
      <c r="B31" s="22">
        <v>45061</v>
      </c>
      <c r="C31" s="79"/>
      <c r="D31" s="80" t="s">
        <v>291</v>
      </c>
      <c r="E31" s="81"/>
      <c r="F31" s="82">
        <v>25</v>
      </c>
      <c r="G31" s="83" t="s">
        <v>18</v>
      </c>
      <c r="H31" s="82">
        <v>20</v>
      </c>
      <c r="I31" s="27">
        <f t="shared" si="0"/>
        <v>500</v>
      </c>
      <c r="J31" s="28"/>
      <c r="K31" s="29">
        <v>3000</v>
      </c>
      <c r="L31" s="30"/>
      <c r="M31" s="31">
        <f t="shared" si="1"/>
        <v>0</v>
      </c>
      <c r="N31" s="31">
        <f t="shared" si="2"/>
        <v>3000</v>
      </c>
      <c r="O31" s="25"/>
      <c r="P31" s="22">
        <v>45061</v>
      </c>
      <c r="Q31" s="25"/>
      <c r="R31" s="26" t="s">
        <v>350</v>
      </c>
      <c r="S31" s="21"/>
      <c r="T31" s="32" t="s">
        <v>312</v>
      </c>
      <c r="U31" s="21"/>
    </row>
    <row r="32" spans="1:21" ht="20.100000000000001" customHeight="1" x14ac:dyDescent="0.3">
      <c r="A32" s="44">
        <v>24</v>
      </c>
      <c r="B32" s="78">
        <v>45060</v>
      </c>
      <c r="C32" s="79"/>
      <c r="D32" s="80" t="s">
        <v>279</v>
      </c>
      <c r="E32" s="81"/>
      <c r="F32" s="82">
        <v>42</v>
      </c>
      <c r="G32" s="83" t="s">
        <v>51</v>
      </c>
      <c r="H32" s="82">
        <v>1000</v>
      </c>
      <c r="I32" s="27">
        <f t="shared" si="0"/>
        <v>42000</v>
      </c>
      <c r="J32" s="28"/>
      <c r="K32" s="29">
        <v>1500</v>
      </c>
      <c r="L32" s="30">
        <v>0.05</v>
      </c>
      <c r="M32" s="31">
        <f t="shared" si="1"/>
        <v>75</v>
      </c>
      <c r="N32" s="31">
        <f t="shared" si="2"/>
        <v>1575</v>
      </c>
      <c r="O32" s="25"/>
      <c r="P32" s="78">
        <v>45060</v>
      </c>
      <c r="Q32" s="25"/>
      <c r="R32" s="26" t="s">
        <v>351</v>
      </c>
      <c r="S32" s="21"/>
      <c r="T32" s="32" t="s">
        <v>124</v>
      </c>
      <c r="U32" s="21"/>
    </row>
    <row r="33" spans="1:21" ht="20.100000000000001" customHeight="1" x14ac:dyDescent="0.3">
      <c r="A33" s="44">
        <v>25</v>
      </c>
      <c r="B33" s="22">
        <v>45061</v>
      </c>
      <c r="C33" s="79"/>
      <c r="D33" s="80" t="s">
        <v>352</v>
      </c>
      <c r="E33" s="81"/>
      <c r="F33" s="82">
        <v>12</v>
      </c>
      <c r="G33" s="83" t="s">
        <v>18</v>
      </c>
      <c r="H33" s="82">
        <v>10</v>
      </c>
      <c r="I33" s="27">
        <f t="shared" si="0"/>
        <v>120</v>
      </c>
      <c r="J33" s="28"/>
      <c r="K33" s="29">
        <v>8800</v>
      </c>
      <c r="L33" s="30"/>
      <c r="M33" s="31">
        <f t="shared" si="1"/>
        <v>0</v>
      </c>
      <c r="N33" s="31">
        <f t="shared" si="2"/>
        <v>8800</v>
      </c>
      <c r="O33" s="25"/>
      <c r="P33" s="22">
        <v>45061</v>
      </c>
      <c r="Q33" s="25"/>
      <c r="R33" s="26" t="s">
        <v>353</v>
      </c>
      <c r="S33" s="21"/>
      <c r="T33" s="32" t="s">
        <v>354</v>
      </c>
      <c r="U33" s="21"/>
    </row>
    <row r="34" spans="1:21" ht="20.100000000000001" customHeight="1" x14ac:dyDescent="0.3">
      <c r="A34" s="44">
        <v>26</v>
      </c>
      <c r="B34" s="78">
        <v>45060</v>
      </c>
      <c r="C34" s="79"/>
      <c r="D34" s="80" t="s">
        <v>355</v>
      </c>
      <c r="E34" s="81"/>
      <c r="F34" s="82">
        <v>20</v>
      </c>
      <c r="G34" s="83" t="s">
        <v>51</v>
      </c>
      <c r="H34" s="82">
        <v>2500</v>
      </c>
      <c r="I34" s="27">
        <f t="shared" si="0"/>
        <v>50000</v>
      </c>
      <c r="J34" s="28"/>
      <c r="K34" s="29">
        <v>296</v>
      </c>
      <c r="L34" s="30">
        <v>0.05</v>
      </c>
      <c r="M34" s="31">
        <f t="shared" si="1"/>
        <v>14.8</v>
      </c>
      <c r="N34" s="31">
        <f t="shared" si="2"/>
        <v>310.8</v>
      </c>
      <c r="O34" s="25"/>
      <c r="P34" s="22">
        <v>45061</v>
      </c>
      <c r="Q34" s="25"/>
      <c r="R34" s="26" t="s">
        <v>356</v>
      </c>
      <c r="S34" s="21"/>
      <c r="T34" s="32" t="s">
        <v>49</v>
      </c>
      <c r="U34" s="21"/>
    </row>
    <row r="35" spans="1:21" ht="20.100000000000001" customHeight="1" x14ac:dyDescent="0.3">
      <c r="A35" s="44">
        <v>27</v>
      </c>
      <c r="B35" s="78">
        <v>45060</v>
      </c>
      <c r="C35" s="79"/>
      <c r="D35" s="80" t="s">
        <v>345</v>
      </c>
      <c r="E35" s="81"/>
      <c r="F35" s="82">
        <v>40</v>
      </c>
      <c r="G35" s="83" t="s">
        <v>51</v>
      </c>
      <c r="H35" s="82">
        <v>2500</v>
      </c>
      <c r="I35" s="27">
        <f t="shared" si="0"/>
        <v>100000</v>
      </c>
      <c r="J35" s="28"/>
      <c r="K35" s="29">
        <v>550</v>
      </c>
      <c r="L35" s="30">
        <v>0.05</v>
      </c>
      <c r="M35" s="31">
        <f t="shared" si="1"/>
        <v>27.5</v>
      </c>
      <c r="N35" s="31">
        <f t="shared" si="2"/>
        <v>577.5</v>
      </c>
      <c r="O35" s="25"/>
      <c r="P35" s="22">
        <v>45061</v>
      </c>
      <c r="Q35" s="25"/>
      <c r="R35" s="26" t="s">
        <v>356</v>
      </c>
      <c r="S35" s="21"/>
      <c r="T35" s="32" t="s">
        <v>49</v>
      </c>
      <c r="U35" s="21"/>
    </row>
    <row r="36" spans="1:21" ht="20.100000000000001" customHeight="1" x14ac:dyDescent="0.3">
      <c r="A36" s="44">
        <v>28</v>
      </c>
      <c r="B36" s="78">
        <v>45060</v>
      </c>
      <c r="C36" s="79"/>
      <c r="D36" s="80" t="s">
        <v>358</v>
      </c>
      <c r="E36" s="81"/>
      <c r="F36" s="82">
        <v>45</v>
      </c>
      <c r="G36" s="83" t="s">
        <v>51</v>
      </c>
      <c r="H36" s="82">
        <v>1000</v>
      </c>
      <c r="I36" s="27">
        <f t="shared" si="0"/>
        <v>45000</v>
      </c>
      <c r="J36" s="28"/>
      <c r="K36" s="29">
        <v>125</v>
      </c>
      <c r="L36" s="30">
        <v>0.05</v>
      </c>
      <c r="M36" s="31">
        <f t="shared" si="1"/>
        <v>6.25</v>
      </c>
      <c r="N36" s="31">
        <f t="shared" si="2"/>
        <v>131.25</v>
      </c>
      <c r="O36" s="25"/>
      <c r="P36" s="22">
        <v>45062</v>
      </c>
      <c r="Q36" s="25"/>
      <c r="R36" s="26" t="s">
        <v>362</v>
      </c>
      <c r="S36" s="21"/>
      <c r="T36" s="32" t="s">
        <v>309</v>
      </c>
      <c r="U36" s="21"/>
    </row>
    <row r="37" spans="1:21" ht="20.100000000000001" customHeight="1" x14ac:dyDescent="0.3">
      <c r="A37" s="44">
        <v>29</v>
      </c>
      <c r="B37" s="78">
        <v>45060</v>
      </c>
      <c r="C37" s="79"/>
      <c r="D37" s="80" t="s">
        <v>359</v>
      </c>
      <c r="E37" s="81"/>
      <c r="F37" s="82">
        <v>44</v>
      </c>
      <c r="G37" s="83" t="s">
        <v>51</v>
      </c>
      <c r="H37" s="82">
        <v>1000</v>
      </c>
      <c r="I37" s="27">
        <f t="shared" si="0"/>
        <v>44000</v>
      </c>
      <c r="J37" s="28"/>
      <c r="K37" s="29">
        <v>1995</v>
      </c>
      <c r="L37" s="30">
        <v>0.05</v>
      </c>
      <c r="M37" s="31">
        <f t="shared" si="1"/>
        <v>99.75</v>
      </c>
      <c r="N37" s="31">
        <f t="shared" si="2"/>
        <v>2094.75</v>
      </c>
      <c r="O37" s="25"/>
      <c r="P37" s="22">
        <v>45062</v>
      </c>
      <c r="Q37" s="25"/>
      <c r="R37" s="26" t="s">
        <v>362</v>
      </c>
      <c r="S37" s="21"/>
      <c r="T37" s="32" t="s">
        <v>309</v>
      </c>
      <c r="U37" s="21"/>
    </row>
    <row r="38" spans="1:21" ht="20.100000000000001" customHeight="1" x14ac:dyDescent="0.3">
      <c r="A38" s="44">
        <v>30</v>
      </c>
      <c r="B38" s="78">
        <v>45060</v>
      </c>
      <c r="C38" s="79"/>
      <c r="D38" s="80" t="s">
        <v>360</v>
      </c>
      <c r="E38" s="81"/>
      <c r="F38" s="82">
        <v>120</v>
      </c>
      <c r="G38" s="83" t="s">
        <v>51</v>
      </c>
      <c r="H38" s="82">
        <v>400</v>
      </c>
      <c r="I38" s="27">
        <f t="shared" si="0"/>
        <v>48000</v>
      </c>
      <c r="J38" s="28"/>
      <c r="K38" s="29">
        <v>896</v>
      </c>
      <c r="L38" s="30">
        <v>0.05</v>
      </c>
      <c r="M38" s="31">
        <f t="shared" si="1"/>
        <v>44.800000000000004</v>
      </c>
      <c r="N38" s="31">
        <f t="shared" si="2"/>
        <v>940.8</v>
      </c>
      <c r="O38" s="25"/>
      <c r="P38" s="22">
        <v>45062</v>
      </c>
      <c r="Q38" s="25"/>
      <c r="R38" s="26" t="s">
        <v>362</v>
      </c>
      <c r="S38" s="21"/>
      <c r="T38" s="32" t="s">
        <v>309</v>
      </c>
      <c r="U38" s="21"/>
    </row>
    <row r="39" spans="1:21" ht="20.100000000000001" customHeight="1" x14ac:dyDescent="0.3">
      <c r="A39" s="44">
        <v>31</v>
      </c>
      <c r="B39" s="78">
        <v>45060</v>
      </c>
      <c r="C39" s="79"/>
      <c r="D39" s="80" t="s">
        <v>361</v>
      </c>
      <c r="E39" s="81"/>
      <c r="F39" s="82">
        <v>95</v>
      </c>
      <c r="G39" s="83" t="s">
        <v>51</v>
      </c>
      <c r="H39" s="82">
        <v>1000</v>
      </c>
      <c r="I39" s="27">
        <f t="shared" si="0"/>
        <v>95000</v>
      </c>
      <c r="J39" s="28"/>
      <c r="K39" s="29">
        <v>4200</v>
      </c>
      <c r="L39" s="30">
        <v>0.05</v>
      </c>
      <c r="M39" s="31">
        <f t="shared" si="1"/>
        <v>210</v>
      </c>
      <c r="N39" s="31">
        <f t="shared" si="2"/>
        <v>4410</v>
      </c>
      <c r="O39" s="25"/>
      <c r="P39" s="22">
        <v>45062</v>
      </c>
      <c r="Q39" s="25"/>
      <c r="R39" s="26" t="s">
        <v>362</v>
      </c>
      <c r="S39" s="21"/>
      <c r="T39" s="32" t="s">
        <v>309</v>
      </c>
      <c r="U39" s="21"/>
    </row>
    <row r="40" spans="1:21" ht="20.100000000000001" customHeight="1" x14ac:dyDescent="0.3">
      <c r="A40" s="44">
        <v>32</v>
      </c>
      <c r="B40" s="78">
        <v>45060</v>
      </c>
      <c r="C40" s="79"/>
      <c r="D40" s="80" t="s">
        <v>363</v>
      </c>
      <c r="E40" s="81"/>
      <c r="F40" s="82">
        <v>48</v>
      </c>
      <c r="G40" s="83" t="s">
        <v>51</v>
      </c>
      <c r="H40" s="82">
        <v>1000</v>
      </c>
      <c r="I40" s="27">
        <f t="shared" si="0"/>
        <v>48000</v>
      </c>
      <c r="J40" s="28"/>
      <c r="K40" s="29">
        <v>3145</v>
      </c>
      <c r="L40" s="30">
        <v>0.05</v>
      </c>
      <c r="M40" s="31">
        <f t="shared" si="1"/>
        <v>157.25</v>
      </c>
      <c r="N40" s="31">
        <f t="shared" si="2"/>
        <v>3302.25</v>
      </c>
      <c r="O40" s="25"/>
      <c r="P40" s="22">
        <v>45062</v>
      </c>
      <c r="Q40" s="25"/>
      <c r="R40" s="26" t="s">
        <v>362</v>
      </c>
      <c r="S40" s="21"/>
      <c r="T40" s="32" t="s">
        <v>309</v>
      </c>
      <c r="U40" s="21"/>
    </row>
    <row r="41" spans="1:21" ht="20.100000000000001" customHeight="1" x14ac:dyDescent="0.3">
      <c r="A41" s="44">
        <v>33</v>
      </c>
      <c r="B41" s="78">
        <v>45060</v>
      </c>
      <c r="C41" s="79"/>
      <c r="D41" s="80" t="s">
        <v>249</v>
      </c>
      <c r="E41" s="81"/>
      <c r="F41" s="82">
        <v>43</v>
      </c>
      <c r="G41" s="83" t="s">
        <v>51</v>
      </c>
      <c r="H41" s="82">
        <v>1000</v>
      </c>
      <c r="I41" s="27">
        <f t="shared" si="0"/>
        <v>43000</v>
      </c>
      <c r="J41" s="28"/>
      <c r="K41" s="29">
        <v>2835</v>
      </c>
      <c r="L41" s="30">
        <v>0.05</v>
      </c>
      <c r="M41" s="31">
        <f t="shared" si="1"/>
        <v>141.75</v>
      </c>
      <c r="N41" s="31">
        <f t="shared" si="2"/>
        <v>2976.75</v>
      </c>
      <c r="O41" s="25"/>
      <c r="P41" s="22">
        <v>45062</v>
      </c>
      <c r="Q41" s="25"/>
      <c r="R41" s="26" t="s">
        <v>362</v>
      </c>
      <c r="S41" s="21"/>
      <c r="T41" s="32" t="s">
        <v>309</v>
      </c>
      <c r="U41" s="21"/>
    </row>
    <row r="42" spans="1:21" ht="20.100000000000001" customHeight="1" x14ac:dyDescent="0.3">
      <c r="A42" s="44">
        <v>34</v>
      </c>
      <c r="B42" s="78">
        <v>45060</v>
      </c>
      <c r="C42" s="79"/>
      <c r="D42" s="80" t="s">
        <v>357</v>
      </c>
      <c r="E42" s="81"/>
      <c r="F42" s="82">
        <v>42</v>
      </c>
      <c r="G42" s="83" t="s">
        <v>51</v>
      </c>
      <c r="H42" s="82">
        <v>1000</v>
      </c>
      <c r="I42" s="27">
        <f t="shared" si="0"/>
        <v>42000</v>
      </c>
      <c r="J42" s="28"/>
      <c r="K42" s="29">
        <v>2363</v>
      </c>
      <c r="L42" s="30">
        <v>0.05</v>
      </c>
      <c r="M42" s="31">
        <f t="shared" si="1"/>
        <v>118.15</v>
      </c>
      <c r="N42" s="31">
        <f t="shared" si="2"/>
        <v>2481.15</v>
      </c>
      <c r="O42" s="25"/>
      <c r="P42" s="22">
        <v>45062</v>
      </c>
      <c r="Q42" s="25"/>
      <c r="R42" s="26" t="s">
        <v>362</v>
      </c>
      <c r="S42" s="21"/>
      <c r="T42" s="32" t="s">
        <v>309</v>
      </c>
      <c r="U42" s="21"/>
    </row>
    <row r="43" spans="1:21" ht="20.100000000000001" customHeight="1" x14ac:dyDescent="0.3">
      <c r="A43" s="44">
        <v>35</v>
      </c>
      <c r="B43" s="78">
        <v>45060</v>
      </c>
      <c r="C43" s="79"/>
      <c r="D43" s="80" t="s">
        <v>250</v>
      </c>
      <c r="E43" s="81"/>
      <c r="F43" s="82">
        <v>50</v>
      </c>
      <c r="G43" s="83" t="s">
        <v>230</v>
      </c>
      <c r="H43" s="82">
        <v>30</v>
      </c>
      <c r="I43" s="27">
        <f t="shared" si="0"/>
        <v>1500</v>
      </c>
      <c r="J43" s="28"/>
      <c r="K43" s="29">
        <v>1.75</v>
      </c>
      <c r="L43" s="30">
        <v>0.05</v>
      </c>
      <c r="M43" s="31">
        <f t="shared" si="1"/>
        <v>8.7500000000000008E-2</v>
      </c>
      <c r="N43" s="31">
        <f t="shared" si="2"/>
        <v>1.8374999999999999</v>
      </c>
      <c r="O43" s="25"/>
      <c r="P43" s="22">
        <v>45062</v>
      </c>
      <c r="Q43" s="25"/>
      <c r="R43" s="26" t="s">
        <v>362</v>
      </c>
      <c r="S43" s="21"/>
      <c r="T43" s="32" t="s">
        <v>309</v>
      </c>
      <c r="U43" s="21"/>
    </row>
    <row r="44" spans="1:21" ht="20.100000000000001" customHeight="1" x14ac:dyDescent="0.3">
      <c r="A44" s="44">
        <v>36</v>
      </c>
      <c r="B44" s="78">
        <v>45068</v>
      </c>
      <c r="C44" s="79"/>
      <c r="D44" s="80" t="s">
        <v>485</v>
      </c>
      <c r="E44" s="81"/>
      <c r="F44" s="82">
        <v>34</v>
      </c>
      <c r="G44" s="83" t="s">
        <v>18</v>
      </c>
      <c r="H44" s="82">
        <v>30</v>
      </c>
      <c r="I44" s="27">
        <f t="shared" si="0"/>
        <v>1020</v>
      </c>
      <c r="J44" s="28"/>
      <c r="K44" s="29">
        <v>1957</v>
      </c>
      <c r="L44" s="30"/>
      <c r="M44" s="31">
        <f t="shared" si="1"/>
        <v>0</v>
      </c>
      <c r="N44" s="31">
        <f t="shared" si="2"/>
        <v>1957</v>
      </c>
      <c r="O44" s="25"/>
      <c r="P44" s="22">
        <v>45068</v>
      </c>
      <c r="Q44" s="25"/>
      <c r="R44" s="26" t="s">
        <v>364</v>
      </c>
      <c r="S44" s="21"/>
      <c r="T44" s="32" t="s">
        <v>315</v>
      </c>
      <c r="U44" s="21"/>
    </row>
    <row r="45" spans="1:21" ht="20.100000000000001" customHeight="1" x14ac:dyDescent="0.3">
      <c r="A45" s="44">
        <v>37</v>
      </c>
      <c r="B45" s="78">
        <v>45068</v>
      </c>
      <c r="C45" s="79"/>
      <c r="D45" s="80" t="s">
        <v>365</v>
      </c>
      <c r="E45" s="81"/>
      <c r="F45" s="82">
        <v>100</v>
      </c>
      <c r="G45" s="83" t="s">
        <v>56</v>
      </c>
      <c r="H45" s="82">
        <v>1</v>
      </c>
      <c r="I45" s="27">
        <f t="shared" si="0"/>
        <v>100</v>
      </c>
      <c r="J45" s="28"/>
      <c r="K45" s="29">
        <v>965</v>
      </c>
      <c r="L45" s="30">
        <v>0.12</v>
      </c>
      <c r="M45" s="31">
        <f t="shared" si="1"/>
        <v>115.8</v>
      </c>
      <c r="N45" s="31">
        <f t="shared" si="2"/>
        <v>1080.8</v>
      </c>
      <c r="O45" s="25"/>
      <c r="P45" s="22">
        <v>45068</v>
      </c>
      <c r="Q45" s="25"/>
      <c r="R45" s="26" t="s">
        <v>369</v>
      </c>
      <c r="S45" s="21"/>
      <c r="T45" s="32" t="s">
        <v>117</v>
      </c>
      <c r="U45" s="21"/>
    </row>
    <row r="46" spans="1:21" ht="20.100000000000001" customHeight="1" x14ac:dyDescent="0.3">
      <c r="A46" s="44">
        <v>38</v>
      </c>
      <c r="B46" s="78">
        <v>45068</v>
      </c>
      <c r="C46" s="79"/>
      <c r="D46" s="80" t="s">
        <v>366</v>
      </c>
      <c r="E46" s="81"/>
      <c r="F46" s="82">
        <v>200</v>
      </c>
      <c r="G46" s="83" t="s">
        <v>230</v>
      </c>
      <c r="H46" s="82">
        <v>100</v>
      </c>
      <c r="I46" s="27">
        <f t="shared" si="0"/>
        <v>20000</v>
      </c>
      <c r="J46" s="28"/>
      <c r="K46" s="29">
        <v>102</v>
      </c>
      <c r="L46" s="30">
        <v>0.05</v>
      </c>
      <c r="M46" s="31">
        <f t="shared" si="1"/>
        <v>5.1000000000000005</v>
      </c>
      <c r="N46" s="31">
        <f t="shared" si="2"/>
        <v>107.1</v>
      </c>
      <c r="O46" s="25"/>
      <c r="P46" s="22">
        <v>45068</v>
      </c>
      <c r="Q46" s="25"/>
      <c r="R46" s="26" t="s">
        <v>369</v>
      </c>
      <c r="S46" s="21"/>
      <c r="T46" s="32" t="s">
        <v>117</v>
      </c>
      <c r="U46" s="21"/>
    </row>
    <row r="47" spans="1:21" ht="20.100000000000001" customHeight="1" x14ac:dyDescent="0.3">
      <c r="A47" s="44">
        <v>39</v>
      </c>
      <c r="B47" s="78">
        <v>45068</v>
      </c>
      <c r="C47" s="79"/>
      <c r="D47" s="80" t="s">
        <v>367</v>
      </c>
      <c r="E47" s="81"/>
      <c r="F47" s="82">
        <v>100</v>
      </c>
      <c r="G47" s="83" t="s">
        <v>230</v>
      </c>
      <c r="H47" s="82">
        <v>100</v>
      </c>
      <c r="I47" s="27">
        <f t="shared" si="0"/>
        <v>10000</v>
      </c>
      <c r="J47" s="28"/>
      <c r="K47" s="29">
        <v>115</v>
      </c>
      <c r="L47" s="30">
        <v>0.12</v>
      </c>
      <c r="M47" s="31">
        <f t="shared" si="1"/>
        <v>13.799999999999999</v>
      </c>
      <c r="N47" s="31">
        <f t="shared" si="2"/>
        <v>128.80000000000001</v>
      </c>
      <c r="O47" s="25"/>
      <c r="P47" s="22">
        <v>45068</v>
      </c>
      <c r="Q47" s="25"/>
      <c r="R47" s="26" t="s">
        <v>369</v>
      </c>
      <c r="S47" s="21"/>
      <c r="T47" s="32" t="s">
        <v>117</v>
      </c>
      <c r="U47" s="21"/>
    </row>
    <row r="48" spans="1:21" ht="20.100000000000001" customHeight="1" x14ac:dyDescent="0.3">
      <c r="A48" s="44">
        <v>40</v>
      </c>
      <c r="B48" s="78">
        <v>45068</v>
      </c>
      <c r="C48" s="79"/>
      <c r="D48" s="80" t="s">
        <v>368</v>
      </c>
      <c r="E48" s="81"/>
      <c r="F48" s="82">
        <v>1400</v>
      </c>
      <c r="G48" s="83" t="s">
        <v>230</v>
      </c>
      <c r="H48" s="82">
        <v>50</v>
      </c>
      <c r="I48" s="27">
        <f t="shared" si="0"/>
        <v>70000</v>
      </c>
      <c r="J48" s="28"/>
      <c r="K48" s="29">
        <v>116</v>
      </c>
      <c r="L48" s="30">
        <v>0.05</v>
      </c>
      <c r="M48" s="31">
        <f t="shared" si="1"/>
        <v>5.8000000000000007</v>
      </c>
      <c r="N48" s="31">
        <f t="shared" si="2"/>
        <v>121.8</v>
      </c>
      <c r="O48" s="25"/>
      <c r="P48" s="22">
        <v>45068</v>
      </c>
      <c r="Q48" s="25"/>
      <c r="R48" s="26" t="s">
        <v>369</v>
      </c>
      <c r="S48" s="21"/>
      <c r="T48" s="32" t="s">
        <v>117</v>
      </c>
      <c r="U48" s="21"/>
    </row>
    <row r="49" spans="1:21" ht="20.100000000000001" customHeight="1" x14ac:dyDescent="0.3">
      <c r="A49" s="44">
        <v>41</v>
      </c>
      <c r="B49" s="78">
        <v>45068</v>
      </c>
      <c r="C49" s="79"/>
      <c r="D49" s="80" t="s">
        <v>370</v>
      </c>
      <c r="E49" s="81"/>
      <c r="F49" s="82">
        <v>20</v>
      </c>
      <c r="G49" s="83" t="s">
        <v>18</v>
      </c>
      <c r="H49" s="82">
        <v>5</v>
      </c>
      <c r="I49" s="27">
        <f t="shared" si="0"/>
        <v>100</v>
      </c>
      <c r="J49" s="28"/>
      <c r="K49" s="29">
        <v>675</v>
      </c>
      <c r="L49" s="30"/>
      <c r="M49" s="31">
        <f t="shared" si="1"/>
        <v>0</v>
      </c>
      <c r="N49" s="31">
        <f t="shared" si="2"/>
        <v>675</v>
      </c>
      <c r="O49" s="25"/>
      <c r="P49" s="22">
        <v>45068</v>
      </c>
      <c r="Q49" s="25"/>
      <c r="R49" s="26" t="s">
        <v>371</v>
      </c>
      <c r="S49" s="21"/>
      <c r="T49" s="32" t="s">
        <v>372</v>
      </c>
      <c r="U49" s="21"/>
    </row>
    <row r="50" spans="1:21" ht="20.100000000000001" customHeight="1" x14ac:dyDescent="0.3">
      <c r="A50" s="44">
        <v>42</v>
      </c>
      <c r="B50" s="78">
        <v>45061</v>
      </c>
      <c r="C50" s="79"/>
      <c r="D50" s="80" t="s">
        <v>285</v>
      </c>
      <c r="E50" s="81"/>
      <c r="F50" s="82">
        <v>20</v>
      </c>
      <c r="G50" s="83" t="s">
        <v>18</v>
      </c>
      <c r="H50" s="82">
        <v>25</v>
      </c>
      <c r="I50" s="27">
        <f t="shared" si="0"/>
        <v>500</v>
      </c>
      <c r="J50" s="28"/>
      <c r="K50" s="29">
        <v>4661</v>
      </c>
      <c r="L50" s="30">
        <v>0.18</v>
      </c>
      <c r="M50" s="31">
        <f t="shared" si="1"/>
        <v>838.98</v>
      </c>
      <c r="N50" s="31">
        <f t="shared" si="2"/>
        <v>5499.98</v>
      </c>
      <c r="O50" s="25"/>
      <c r="P50" s="22">
        <v>45070</v>
      </c>
      <c r="Q50" s="25"/>
      <c r="R50" s="26" t="s">
        <v>374</v>
      </c>
      <c r="S50" s="21"/>
      <c r="T50" s="32" t="s">
        <v>375</v>
      </c>
      <c r="U50" s="21"/>
    </row>
    <row r="51" spans="1:21" ht="20.100000000000001" customHeight="1" x14ac:dyDescent="0.3">
      <c r="A51" s="44">
        <v>43</v>
      </c>
      <c r="B51" s="78">
        <v>45061</v>
      </c>
      <c r="C51" s="79"/>
      <c r="D51" s="80" t="s">
        <v>373</v>
      </c>
      <c r="E51" s="81"/>
      <c r="F51" s="82">
        <v>4</v>
      </c>
      <c r="G51" s="83" t="s">
        <v>18</v>
      </c>
      <c r="H51" s="82">
        <v>25</v>
      </c>
      <c r="I51" s="27">
        <f t="shared" si="0"/>
        <v>100</v>
      </c>
      <c r="J51" s="28"/>
      <c r="K51" s="29">
        <v>27500</v>
      </c>
      <c r="L51" s="30"/>
      <c r="M51" s="31">
        <f t="shared" si="1"/>
        <v>0</v>
      </c>
      <c r="N51" s="31">
        <f t="shared" si="2"/>
        <v>27500</v>
      </c>
      <c r="O51" s="25"/>
      <c r="P51" s="22">
        <v>45070</v>
      </c>
      <c r="Q51" s="25"/>
      <c r="R51" s="26" t="s">
        <v>374</v>
      </c>
      <c r="S51" s="21"/>
      <c r="T51" s="32" t="s">
        <v>375</v>
      </c>
      <c r="U51" s="21"/>
    </row>
    <row r="52" spans="1:21" ht="20.100000000000001" customHeight="1" x14ac:dyDescent="0.3">
      <c r="A52" s="44">
        <v>44</v>
      </c>
      <c r="B52" s="22">
        <v>45061</v>
      </c>
      <c r="C52" s="79"/>
      <c r="D52" s="80" t="s">
        <v>352</v>
      </c>
      <c r="E52" s="81"/>
      <c r="F52" s="82">
        <v>5</v>
      </c>
      <c r="G52" s="83" t="s">
        <v>18</v>
      </c>
      <c r="H52" s="82">
        <v>10</v>
      </c>
      <c r="I52" s="27">
        <f t="shared" si="0"/>
        <v>50</v>
      </c>
      <c r="J52" s="28"/>
      <c r="K52" s="29">
        <v>12500</v>
      </c>
      <c r="L52" s="30"/>
      <c r="M52" s="31">
        <f t="shared" si="1"/>
        <v>0</v>
      </c>
      <c r="N52" s="31">
        <f t="shared" si="2"/>
        <v>12500</v>
      </c>
      <c r="O52" s="25"/>
      <c r="P52" s="22">
        <v>45072</v>
      </c>
      <c r="Q52" s="25"/>
      <c r="R52" s="26" t="s">
        <v>376</v>
      </c>
      <c r="S52" s="21"/>
      <c r="T52" s="32" t="s">
        <v>377</v>
      </c>
      <c r="U52" s="21"/>
    </row>
    <row r="53" spans="1:21" ht="20.100000000000001" customHeight="1" x14ac:dyDescent="0.3">
      <c r="A53" s="44">
        <v>45</v>
      </c>
      <c r="B53" s="78">
        <v>45078</v>
      </c>
      <c r="C53" s="79"/>
      <c r="D53" s="80" t="s">
        <v>378</v>
      </c>
      <c r="E53" s="81"/>
      <c r="F53" s="82">
        <v>20</v>
      </c>
      <c r="G53" s="83" t="s">
        <v>18</v>
      </c>
      <c r="H53" s="82">
        <v>25</v>
      </c>
      <c r="I53" s="27">
        <f t="shared" si="0"/>
        <v>500</v>
      </c>
      <c r="J53" s="28"/>
      <c r="K53" s="29">
        <v>5500</v>
      </c>
      <c r="L53" s="30"/>
      <c r="M53" s="31">
        <f t="shared" si="1"/>
        <v>0</v>
      </c>
      <c r="N53" s="31">
        <f t="shared" si="2"/>
        <v>5500</v>
      </c>
      <c r="O53" s="25"/>
      <c r="P53" s="22">
        <v>45078</v>
      </c>
      <c r="Q53" s="25"/>
      <c r="R53" s="26" t="s">
        <v>379</v>
      </c>
      <c r="S53" s="21"/>
      <c r="T53" s="32" t="s">
        <v>74</v>
      </c>
      <c r="U53" s="21"/>
    </row>
    <row r="54" spans="1:21" ht="20.100000000000001" customHeight="1" x14ac:dyDescent="0.3">
      <c r="A54" s="44">
        <v>46</v>
      </c>
      <c r="B54" s="22">
        <v>45078</v>
      </c>
      <c r="C54" s="79"/>
      <c r="D54" s="80" t="s">
        <v>380</v>
      </c>
      <c r="E54" s="81"/>
      <c r="F54" s="82">
        <v>500</v>
      </c>
      <c r="G54" s="83" t="s">
        <v>18</v>
      </c>
      <c r="H54" s="82">
        <v>1</v>
      </c>
      <c r="I54" s="27">
        <f t="shared" si="0"/>
        <v>500</v>
      </c>
      <c r="J54" s="28"/>
      <c r="K54" s="29">
        <v>135</v>
      </c>
      <c r="L54" s="30"/>
      <c r="M54" s="31">
        <f t="shared" si="1"/>
        <v>0</v>
      </c>
      <c r="N54" s="31">
        <f t="shared" si="2"/>
        <v>135</v>
      </c>
      <c r="O54" s="25"/>
      <c r="P54" s="22">
        <v>45078</v>
      </c>
      <c r="Q54" s="25"/>
      <c r="R54" s="26" t="s">
        <v>382</v>
      </c>
      <c r="S54" s="21"/>
      <c r="T54" s="32" t="s">
        <v>28</v>
      </c>
      <c r="U54" s="21"/>
    </row>
    <row r="55" spans="1:21" ht="20.100000000000001" customHeight="1" x14ac:dyDescent="0.3">
      <c r="A55" s="44">
        <v>47</v>
      </c>
      <c r="B55" s="22">
        <v>45078</v>
      </c>
      <c r="C55" s="79"/>
      <c r="D55" s="80" t="s">
        <v>381</v>
      </c>
      <c r="E55" s="81"/>
      <c r="F55" s="82">
        <v>100</v>
      </c>
      <c r="G55" s="83" t="s">
        <v>230</v>
      </c>
      <c r="H55" s="82">
        <v>100</v>
      </c>
      <c r="I55" s="27">
        <f t="shared" si="0"/>
        <v>10000</v>
      </c>
      <c r="J55" s="28"/>
      <c r="K55" s="29">
        <v>227</v>
      </c>
      <c r="L55" s="30">
        <v>0.12</v>
      </c>
      <c r="M55" s="31">
        <f t="shared" si="1"/>
        <v>27.24</v>
      </c>
      <c r="N55" s="31">
        <f t="shared" si="2"/>
        <v>254.24</v>
      </c>
      <c r="O55" s="25"/>
      <c r="P55" s="22">
        <v>45078</v>
      </c>
      <c r="Q55" s="25"/>
      <c r="R55" s="26" t="s">
        <v>382</v>
      </c>
      <c r="S55" s="21"/>
      <c r="T55" s="32" t="s">
        <v>28</v>
      </c>
      <c r="U55" s="21"/>
    </row>
    <row r="56" spans="1:21" ht="20.100000000000001" customHeight="1" x14ac:dyDescent="0.3">
      <c r="A56" s="44">
        <v>48</v>
      </c>
      <c r="B56" s="22">
        <v>45078</v>
      </c>
      <c r="C56" s="79"/>
      <c r="D56" s="80" t="s">
        <v>235</v>
      </c>
      <c r="E56" s="81"/>
      <c r="F56" s="82">
        <v>20</v>
      </c>
      <c r="G56" s="83" t="s">
        <v>18</v>
      </c>
      <c r="H56" s="82">
        <v>25</v>
      </c>
      <c r="I56" s="27">
        <f t="shared" si="0"/>
        <v>500</v>
      </c>
      <c r="J56" s="28"/>
      <c r="K56" s="29">
        <v>3200</v>
      </c>
      <c r="L56" s="30"/>
      <c r="M56" s="31">
        <f t="shared" si="1"/>
        <v>0</v>
      </c>
      <c r="N56" s="31">
        <f t="shared" si="2"/>
        <v>3200</v>
      </c>
      <c r="O56" s="25"/>
      <c r="P56" s="22">
        <v>45078</v>
      </c>
      <c r="Q56" s="25"/>
      <c r="R56" s="26" t="s">
        <v>383</v>
      </c>
      <c r="S56" s="21"/>
      <c r="T56" s="32" t="s">
        <v>234</v>
      </c>
      <c r="U56" s="21"/>
    </row>
    <row r="57" spans="1:21" ht="20.100000000000001" customHeight="1" x14ac:dyDescent="0.3">
      <c r="A57" s="44">
        <v>49</v>
      </c>
      <c r="B57" s="78">
        <v>45073</v>
      </c>
      <c r="C57" s="79"/>
      <c r="D57" s="80" t="s">
        <v>384</v>
      </c>
      <c r="E57" s="81"/>
      <c r="F57" s="82">
        <v>4</v>
      </c>
      <c r="G57" s="83" t="s">
        <v>18</v>
      </c>
      <c r="H57" s="82">
        <v>25</v>
      </c>
      <c r="I57" s="27">
        <f t="shared" si="0"/>
        <v>100</v>
      </c>
      <c r="J57" s="28"/>
      <c r="K57" s="29">
        <v>16842.5</v>
      </c>
      <c r="L57" s="30"/>
      <c r="M57" s="31">
        <f t="shared" si="1"/>
        <v>0</v>
      </c>
      <c r="N57" s="31">
        <f t="shared" si="2"/>
        <v>16842.5</v>
      </c>
      <c r="O57" s="25"/>
      <c r="P57" s="22">
        <v>45079</v>
      </c>
      <c r="Q57" s="25"/>
      <c r="R57" s="26" t="s">
        <v>385</v>
      </c>
      <c r="S57" s="21"/>
      <c r="T57" s="32" t="s">
        <v>101</v>
      </c>
      <c r="U57" s="21"/>
    </row>
    <row r="58" spans="1:21" ht="20.100000000000001" customHeight="1" x14ac:dyDescent="0.3">
      <c r="A58" s="44">
        <v>50</v>
      </c>
      <c r="B58" s="65">
        <v>45061</v>
      </c>
      <c r="C58" s="79"/>
      <c r="D58" s="80" t="s">
        <v>386</v>
      </c>
      <c r="E58" s="81"/>
      <c r="F58" s="82">
        <v>4</v>
      </c>
      <c r="G58" s="83" t="s">
        <v>18</v>
      </c>
      <c r="H58" s="82">
        <v>25</v>
      </c>
      <c r="I58" s="27">
        <f t="shared" si="0"/>
        <v>100</v>
      </c>
      <c r="J58" s="28"/>
      <c r="K58" s="29">
        <v>23500</v>
      </c>
      <c r="L58" s="30"/>
      <c r="M58" s="31">
        <f t="shared" si="1"/>
        <v>0</v>
      </c>
      <c r="N58" s="31">
        <f t="shared" si="2"/>
        <v>23500</v>
      </c>
      <c r="O58" s="25"/>
      <c r="P58" s="22">
        <v>45080</v>
      </c>
      <c r="Q58" s="25"/>
      <c r="R58" s="26" t="s">
        <v>387</v>
      </c>
      <c r="S58" s="21"/>
      <c r="T58" s="32" t="s">
        <v>388</v>
      </c>
      <c r="U58" s="21"/>
    </row>
    <row r="59" spans="1:21" ht="20.100000000000001" customHeight="1" x14ac:dyDescent="0.3">
      <c r="A59" s="44">
        <v>51</v>
      </c>
      <c r="B59" s="22">
        <v>45080</v>
      </c>
      <c r="C59" s="79"/>
      <c r="D59" s="80" t="s">
        <v>389</v>
      </c>
      <c r="E59" s="81"/>
      <c r="F59" s="82">
        <v>40</v>
      </c>
      <c r="G59" s="83" t="s">
        <v>56</v>
      </c>
      <c r="H59" s="82">
        <v>5</v>
      </c>
      <c r="I59" s="27">
        <f t="shared" si="0"/>
        <v>200</v>
      </c>
      <c r="J59" s="28"/>
      <c r="K59" s="29">
        <v>457</v>
      </c>
      <c r="L59" s="30">
        <v>0.18</v>
      </c>
      <c r="M59" s="31">
        <f t="shared" si="1"/>
        <v>82.259999999999991</v>
      </c>
      <c r="N59" s="31">
        <f t="shared" si="2"/>
        <v>539.26</v>
      </c>
      <c r="O59" s="25"/>
      <c r="P59" s="22">
        <v>45082</v>
      </c>
      <c r="Q59" s="25"/>
      <c r="R59" s="26" t="s">
        <v>391</v>
      </c>
      <c r="S59" s="21"/>
      <c r="T59" s="32" t="s">
        <v>315</v>
      </c>
      <c r="U59" s="21"/>
    </row>
    <row r="60" spans="1:21" ht="20.100000000000001" customHeight="1" x14ac:dyDescent="0.3">
      <c r="A60" s="44">
        <v>52</v>
      </c>
      <c r="B60" s="22">
        <v>45080</v>
      </c>
      <c r="C60" s="79"/>
      <c r="D60" s="24" t="s">
        <v>574</v>
      </c>
      <c r="E60" s="81"/>
      <c r="F60" s="82">
        <v>20</v>
      </c>
      <c r="G60" s="83" t="s">
        <v>56</v>
      </c>
      <c r="H60" s="82">
        <v>5</v>
      </c>
      <c r="I60" s="27">
        <f t="shared" si="0"/>
        <v>100</v>
      </c>
      <c r="J60" s="28"/>
      <c r="K60" s="29">
        <v>3273</v>
      </c>
      <c r="L60" s="30">
        <v>0.18</v>
      </c>
      <c r="M60" s="31">
        <f t="shared" si="1"/>
        <v>589.14</v>
      </c>
      <c r="N60" s="31">
        <f t="shared" si="2"/>
        <v>3862.14</v>
      </c>
      <c r="O60" s="25"/>
      <c r="P60" s="22">
        <v>45082</v>
      </c>
      <c r="Q60" s="25"/>
      <c r="R60" s="26" t="s">
        <v>391</v>
      </c>
      <c r="S60" s="21"/>
      <c r="T60" s="32" t="s">
        <v>315</v>
      </c>
      <c r="U60" s="21"/>
    </row>
    <row r="61" spans="1:21" ht="20.100000000000001" customHeight="1" x14ac:dyDescent="0.3">
      <c r="A61" s="44">
        <v>53</v>
      </c>
      <c r="B61" s="22">
        <v>45080</v>
      </c>
      <c r="C61" s="79"/>
      <c r="D61" s="80" t="s">
        <v>390</v>
      </c>
      <c r="E61" s="81"/>
      <c r="F61" s="82">
        <v>20</v>
      </c>
      <c r="G61" s="83" t="s">
        <v>56</v>
      </c>
      <c r="H61" s="82">
        <v>5</v>
      </c>
      <c r="I61" s="27">
        <f t="shared" si="0"/>
        <v>100</v>
      </c>
      <c r="J61" s="28"/>
      <c r="K61" s="29">
        <v>1138</v>
      </c>
      <c r="L61" s="30">
        <v>0.18</v>
      </c>
      <c r="M61" s="31">
        <f t="shared" si="1"/>
        <v>204.84</v>
      </c>
      <c r="N61" s="31">
        <f t="shared" si="2"/>
        <v>1342.84</v>
      </c>
      <c r="O61" s="25"/>
      <c r="P61" s="22">
        <v>45082</v>
      </c>
      <c r="Q61" s="25"/>
      <c r="R61" s="26" t="s">
        <v>391</v>
      </c>
      <c r="S61" s="21"/>
      <c r="T61" s="32" t="s">
        <v>315</v>
      </c>
      <c r="U61" s="21"/>
    </row>
    <row r="62" spans="1:21" ht="20.100000000000001" customHeight="1" x14ac:dyDescent="0.3">
      <c r="A62" s="44">
        <v>54</v>
      </c>
      <c r="B62" s="22">
        <v>45080</v>
      </c>
      <c r="C62" s="79"/>
      <c r="D62" s="80" t="s">
        <v>392</v>
      </c>
      <c r="E62" s="81"/>
      <c r="F62" s="82">
        <v>20</v>
      </c>
      <c r="G62" s="83" t="s">
        <v>56</v>
      </c>
      <c r="H62" s="82">
        <v>5</v>
      </c>
      <c r="I62" s="27">
        <f t="shared" si="0"/>
        <v>100</v>
      </c>
      <c r="J62" s="28"/>
      <c r="K62" s="29">
        <v>2550</v>
      </c>
      <c r="L62" s="30">
        <v>0.12</v>
      </c>
      <c r="M62" s="31">
        <f t="shared" si="1"/>
        <v>306</v>
      </c>
      <c r="N62" s="31">
        <f t="shared" si="2"/>
        <v>2856</v>
      </c>
      <c r="O62" s="25"/>
      <c r="P62" s="22">
        <v>45082</v>
      </c>
      <c r="Q62" s="25"/>
      <c r="R62" s="26" t="s">
        <v>397</v>
      </c>
      <c r="S62" s="21"/>
      <c r="T62" s="32" t="s">
        <v>28</v>
      </c>
      <c r="U62" s="21"/>
    </row>
    <row r="63" spans="1:21" ht="20.100000000000001" customHeight="1" x14ac:dyDescent="0.3">
      <c r="A63" s="44">
        <v>55</v>
      </c>
      <c r="B63" s="22">
        <v>45080</v>
      </c>
      <c r="C63" s="79"/>
      <c r="D63" s="80" t="s">
        <v>317</v>
      </c>
      <c r="E63" s="81"/>
      <c r="F63" s="82">
        <v>100</v>
      </c>
      <c r="G63" s="83" t="s">
        <v>56</v>
      </c>
      <c r="H63" s="82">
        <v>1</v>
      </c>
      <c r="I63" s="27">
        <f t="shared" si="0"/>
        <v>100</v>
      </c>
      <c r="J63" s="28"/>
      <c r="K63" s="29">
        <v>644</v>
      </c>
      <c r="L63" s="30">
        <v>0.12</v>
      </c>
      <c r="M63" s="31">
        <f t="shared" si="1"/>
        <v>77.28</v>
      </c>
      <c r="N63" s="31">
        <f t="shared" si="2"/>
        <v>721.28</v>
      </c>
      <c r="O63" s="25"/>
      <c r="P63" s="22">
        <v>45082</v>
      </c>
      <c r="Q63" s="25"/>
      <c r="R63" s="26" t="s">
        <v>397</v>
      </c>
      <c r="S63" s="21"/>
      <c r="T63" s="32" t="s">
        <v>28</v>
      </c>
      <c r="U63" s="21"/>
    </row>
    <row r="64" spans="1:21" ht="20.100000000000001" customHeight="1" x14ac:dyDescent="0.3">
      <c r="A64" s="44">
        <v>56</v>
      </c>
      <c r="B64" s="22">
        <v>45080</v>
      </c>
      <c r="C64" s="79"/>
      <c r="D64" s="80" t="s">
        <v>318</v>
      </c>
      <c r="E64" s="81"/>
      <c r="F64" s="82">
        <v>96</v>
      </c>
      <c r="G64" s="83" t="s">
        <v>56</v>
      </c>
      <c r="H64" s="82">
        <v>1</v>
      </c>
      <c r="I64" s="27">
        <f t="shared" si="0"/>
        <v>96</v>
      </c>
      <c r="J64" s="28"/>
      <c r="K64" s="29">
        <v>580</v>
      </c>
      <c r="L64" s="30"/>
      <c r="M64" s="31">
        <f t="shared" si="1"/>
        <v>0</v>
      </c>
      <c r="N64" s="31">
        <f t="shared" si="2"/>
        <v>580</v>
      </c>
      <c r="O64" s="25"/>
      <c r="P64" s="22">
        <v>45082</v>
      </c>
      <c r="Q64" s="25"/>
      <c r="R64" s="26" t="s">
        <v>397</v>
      </c>
      <c r="S64" s="21"/>
      <c r="T64" s="32" t="s">
        <v>28</v>
      </c>
      <c r="U64" s="21"/>
    </row>
    <row r="65" spans="1:21" ht="20.100000000000001" customHeight="1" x14ac:dyDescent="0.3">
      <c r="A65" s="44">
        <v>57</v>
      </c>
      <c r="B65" s="22">
        <v>45080</v>
      </c>
      <c r="C65" s="79"/>
      <c r="D65" s="80" t="s">
        <v>435</v>
      </c>
      <c r="E65" s="81"/>
      <c r="F65" s="82">
        <v>240</v>
      </c>
      <c r="G65" s="83" t="s">
        <v>66</v>
      </c>
      <c r="H65" s="82">
        <v>100</v>
      </c>
      <c r="I65" s="27">
        <f t="shared" si="0"/>
        <v>24000</v>
      </c>
      <c r="J65" s="28"/>
      <c r="K65" s="29">
        <v>218.8</v>
      </c>
      <c r="L65" s="30"/>
      <c r="M65" s="31">
        <f t="shared" si="1"/>
        <v>0</v>
      </c>
      <c r="N65" s="31">
        <f t="shared" si="2"/>
        <v>218.8</v>
      </c>
      <c r="O65" s="25"/>
      <c r="P65" s="22">
        <v>45082</v>
      </c>
      <c r="Q65" s="25"/>
      <c r="R65" s="26" t="s">
        <v>397</v>
      </c>
      <c r="S65" s="21"/>
      <c r="T65" s="32" t="s">
        <v>28</v>
      </c>
      <c r="U65" s="21"/>
    </row>
    <row r="66" spans="1:21" ht="20.100000000000001" customHeight="1" x14ac:dyDescent="0.3">
      <c r="A66" s="44">
        <v>58</v>
      </c>
      <c r="B66" s="22">
        <v>45080</v>
      </c>
      <c r="C66" s="79"/>
      <c r="D66" s="80" t="s">
        <v>393</v>
      </c>
      <c r="E66" s="81"/>
      <c r="F66" s="82">
        <v>100</v>
      </c>
      <c r="G66" s="83" t="s">
        <v>56</v>
      </c>
      <c r="H66" s="82">
        <v>1</v>
      </c>
      <c r="I66" s="27">
        <f t="shared" si="0"/>
        <v>100</v>
      </c>
      <c r="J66" s="28"/>
      <c r="K66" s="29">
        <v>850</v>
      </c>
      <c r="L66" s="30">
        <v>0.12</v>
      </c>
      <c r="M66" s="31">
        <f t="shared" si="1"/>
        <v>102</v>
      </c>
      <c r="N66" s="31">
        <f t="shared" si="2"/>
        <v>952</v>
      </c>
      <c r="O66" s="25"/>
      <c r="P66" s="22">
        <v>45082</v>
      </c>
      <c r="Q66" s="25"/>
      <c r="R66" s="26" t="s">
        <v>397</v>
      </c>
      <c r="S66" s="21"/>
      <c r="T66" s="32" t="s">
        <v>28</v>
      </c>
      <c r="U66" s="21"/>
    </row>
    <row r="67" spans="1:21" ht="20.100000000000001" customHeight="1" x14ac:dyDescent="0.3">
      <c r="A67" s="44">
        <v>59</v>
      </c>
      <c r="B67" s="22">
        <v>45080</v>
      </c>
      <c r="C67" s="79"/>
      <c r="D67" s="80" t="s">
        <v>394</v>
      </c>
      <c r="E67" s="81"/>
      <c r="F67" s="82">
        <v>50</v>
      </c>
      <c r="G67" s="83" t="s">
        <v>230</v>
      </c>
      <c r="H67" s="82">
        <v>100</v>
      </c>
      <c r="I67" s="27">
        <f t="shared" si="0"/>
        <v>5000</v>
      </c>
      <c r="J67" s="28"/>
      <c r="K67" s="29">
        <v>225</v>
      </c>
      <c r="L67" s="30">
        <v>0.12</v>
      </c>
      <c r="M67" s="31">
        <f t="shared" si="1"/>
        <v>27</v>
      </c>
      <c r="N67" s="31">
        <f t="shared" si="2"/>
        <v>252</v>
      </c>
      <c r="O67" s="25"/>
      <c r="P67" s="22">
        <v>45082</v>
      </c>
      <c r="Q67" s="25"/>
      <c r="R67" s="26" t="s">
        <v>397</v>
      </c>
      <c r="S67" s="21"/>
      <c r="T67" s="32" t="s">
        <v>28</v>
      </c>
      <c r="U67" s="21"/>
    </row>
    <row r="68" spans="1:21" ht="20.100000000000001" customHeight="1" x14ac:dyDescent="0.3">
      <c r="A68" s="44">
        <v>60</v>
      </c>
      <c r="B68" s="22">
        <v>45080</v>
      </c>
      <c r="C68" s="79"/>
      <c r="D68" s="80" t="s">
        <v>395</v>
      </c>
      <c r="E68" s="81"/>
      <c r="F68" s="82">
        <v>50</v>
      </c>
      <c r="G68" s="83" t="s">
        <v>230</v>
      </c>
      <c r="H68" s="82">
        <v>100</v>
      </c>
      <c r="I68" s="27">
        <f t="shared" si="0"/>
        <v>5000</v>
      </c>
      <c r="J68" s="28"/>
      <c r="K68" s="29">
        <v>733</v>
      </c>
      <c r="L68" s="30">
        <v>0.05</v>
      </c>
      <c r="M68" s="31">
        <f t="shared" si="1"/>
        <v>36.65</v>
      </c>
      <c r="N68" s="31">
        <f t="shared" si="2"/>
        <v>769.65</v>
      </c>
      <c r="O68" s="25"/>
      <c r="P68" s="22">
        <v>45082</v>
      </c>
      <c r="Q68" s="25"/>
      <c r="R68" s="26" t="s">
        <v>397</v>
      </c>
      <c r="S68" s="21"/>
      <c r="T68" s="32" t="s">
        <v>28</v>
      </c>
      <c r="U68" s="21"/>
    </row>
    <row r="69" spans="1:21" ht="20.100000000000001" customHeight="1" x14ac:dyDescent="0.3">
      <c r="A69" s="44">
        <v>61</v>
      </c>
      <c r="B69" s="22">
        <v>45080</v>
      </c>
      <c r="C69" s="79"/>
      <c r="D69" s="80" t="s">
        <v>396</v>
      </c>
      <c r="E69" s="81"/>
      <c r="F69" s="82">
        <v>60</v>
      </c>
      <c r="G69" s="83" t="s">
        <v>230</v>
      </c>
      <c r="H69" s="82">
        <v>100</v>
      </c>
      <c r="I69" s="27">
        <f t="shared" si="0"/>
        <v>6000</v>
      </c>
      <c r="J69" s="28"/>
      <c r="K69" s="29">
        <v>319.24</v>
      </c>
      <c r="L69" s="30">
        <v>0.12</v>
      </c>
      <c r="M69" s="31">
        <f t="shared" si="1"/>
        <v>38.308799999999998</v>
      </c>
      <c r="N69" s="31">
        <f t="shared" si="2"/>
        <v>357.54880000000003</v>
      </c>
      <c r="O69" s="25"/>
      <c r="P69" s="22">
        <v>45082</v>
      </c>
      <c r="Q69" s="25"/>
      <c r="R69" s="26" t="s">
        <v>397</v>
      </c>
      <c r="S69" s="21"/>
      <c r="T69" s="32" t="s">
        <v>28</v>
      </c>
      <c r="U69" s="21"/>
    </row>
    <row r="70" spans="1:21" ht="20.100000000000001" customHeight="1" x14ac:dyDescent="0.3">
      <c r="A70" s="44">
        <v>62</v>
      </c>
      <c r="B70" s="22">
        <v>45080</v>
      </c>
      <c r="C70" s="79"/>
      <c r="D70" s="80" t="s">
        <v>398</v>
      </c>
      <c r="E70" s="81"/>
      <c r="F70" s="82">
        <v>10</v>
      </c>
      <c r="G70" s="83" t="s">
        <v>18</v>
      </c>
      <c r="H70" s="82">
        <v>1</v>
      </c>
      <c r="I70" s="27">
        <f t="shared" si="0"/>
        <v>10</v>
      </c>
      <c r="J70" s="28"/>
      <c r="K70" s="29">
        <v>2600</v>
      </c>
      <c r="L70" s="30">
        <v>0.18</v>
      </c>
      <c r="M70" s="31">
        <f t="shared" si="1"/>
        <v>468</v>
      </c>
      <c r="N70" s="31">
        <f t="shared" si="2"/>
        <v>3068</v>
      </c>
      <c r="O70" s="25"/>
      <c r="P70" s="22">
        <v>45082</v>
      </c>
      <c r="Q70" s="25"/>
      <c r="R70" s="26" t="s">
        <v>399</v>
      </c>
      <c r="S70" s="21"/>
      <c r="T70" s="32" t="s">
        <v>323</v>
      </c>
      <c r="U70" s="21"/>
    </row>
    <row r="71" spans="1:21" ht="20.100000000000001" customHeight="1" x14ac:dyDescent="0.3">
      <c r="A71" s="44">
        <v>63</v>
      </c>
      <c r="B71" s="22">
        <v>45080</v>
      </c>
      <c r="C71" s="79"/>
      <c r="D71" s="80" t="s">
        <v>400</v>
      </c>
      <c r="E71" s="81"/>
      <c r="F71" s="82">
        <v>500</v>
      </c>
      <c r="G71" s="83" t="s">
        <v>230</v>
      </c>
      <c r="H71" s="82">
        <v>1</v>
      </c>
      <c r="I71" s="27">
        <f t="shared" si="0"/>
        <v>500</v>
      </c>
      <c r="J71" s="28"/>
      <c r="K71" s="29">
        <v>75</v>
      </c>
      <c r="L71" s="30">
        <v>0.12</v>
      </c>
      <c r="M71" s="31">
        <f t="shared" si="1"/>
        <v>9</v>
      </c>
      <c r="N71" s="31">
        <f t="shared" si="2"/>
        <v>84</v>
      </c>
      <c r="O71" s="25"/>
      <c r="P71" s="22">
        <v>45082</v>
      </c>
      <c r="Q71" s="25"/>
      <c r="R71" s="26" t="s">
        <v>401</v>
      </c>
      <c r="S71" s="21"/>
      <c r="T71" s="32" t="s">
        <v>329</v>
      </c>
      <c r="U71" s="21"/>
    </row>
    <row r="72" spans="1:21" ht="20.100000000000001" customHeight="1" x14ac:dyDescent="0.3">
      <c r="A72" s="44">
        <v>64</v>
      </c>
      <c r="B72" s="22">
        <v>45080</v>
      </c>
      <c r="C72" s="79"/>
      <c r="D72" s="80" t="s">
        <v>402</v>
      </c>
      <c r="E72" s="81"/>
      <c r="F72" s="82">
        <v>100</v>
      </c>
      <c r="G72" s="83" t="s">
        <v>18</v>
      </c>
      <c r="H72" s="82">
        <v>1</v>
      </c>
      <c r="I72" s="27">
        <f t="shared" si="0"/>
        <v>100</v>
      </c>
      <c r="J72" s="28"/>
      <c r="K72" s="29">
        <v>720</v>
      </c>
      <c r="L72" s="30"/>
      <c r="M72" s="31">
        <f t="shared" si="1"/>
        <v>0</v>
      </c>
      <c r="N72" s="31">
        <f t="shared" si="2"/>
        <v>720</v>
      </c>
      <c r="O72" s="25"/>
      <c r="P72" s="22">
        <v>45082</v>
      </c>
      <c r="Q72" s="25"/>
      <c r="R72" s="26" t="s">
        <v>403</v>
      </c>
      <c r="S72" s="21"/>
      <c r="T72" s="32" t="s">
        <v>404</v>
      </c>
      <c r="U72" s="21"/>
    </row>
    <row r="73" spans="1:21" ht="20.100000000000001" customHeight="1" x14ac:dyDescent="0.3">
      <c r="A73" s="44">
        <v>65</v>
      </c>
      <c r="B73" s="78">
        <v>45083</v>
      </c>
      <c r="C73" s="79"/>
      <c r="D73" s="80" t="s">
        <v>405</v>
      </c>
      <c r="E73" s="81"/>
      <c r="F73" s="82">
        <v>42</v>
      </c>
      <c r="G73" s="83" t="s">
        <v>51</v>
      </c>
      <c r="H73" s="82">
        <v>1000</v>
      </c>
      <c r="I73" s="27">
        <f t="shared" ref="I73:I136" si="3">F73*H73</f>
        <v>42000</v>
      </c>
      <c r="J73" s="28"/>
      <c r="K73" s="29">
        <v>1150</v>
      </c>
      <c r="L73" s="30">
        <v>0.05</v>
      </c>
      <c r="M73" s="31">
        <f t="shared" ref="M73:M136" si="4">K73*L73</f>
        <v>57.5</v>
      </c>
      <c r="N73" s="31">
        <f t="shared" ref="N73:N136" si="5">K73+M73</f>
        <v>1207.5</v>
      </c>
      <c r="O73" s="25"/>
      <c r="P73" s="22">
        <v>45084</v>
      </c>
      <c r="Q73" s="25"/>
      <c r="R73" s="26" t="s">
        <v>406</v>
      </c>
      <c r="S73" s="21"/>
      <c r="T73" s="32" t="s">
        <v>124</v>
      </c>
      <c r="U73" s="21"/>
    </row>
    <row r="74" spans="1:21" ht="20.100000000000001" customHeight="1" x14ac:dyDescent="0.3">
      <c r="A74" s="44">
        <v>66</v>
      </c>
      <c r="B74" s="78">
        <v>45083</v>
      </c>
      <c r="C74" s="79"/>
      <c r="D74" s="80" t="s">
        <v>243</v>
      </c>
      <c r="E74" s="81"/>
      <c r="F74" s="82">
        <v>39</v>
      </c>
      <c r="G74" s="83" t="s">
        <v>51</v>
      </c>
      <c r="H74" s="82">
        <v>1000</v>
      </c>
      <c r="I74" s="27">
        <f t="shared" si="3"/>
        <v>39000</v>
      </c>
      <c r="J74" s="28"/>
      <c r="K74" s="29">
        <v>2435.25</v>
      </c>
      <c r="L74" s="30">
        <v>0.05</v>
      </c>
      <c r="M74" s="31">
        <f t="shared" si="4"/>
        <v>121.7625</v>
      </c>
      <c r="N74" s="31">
        <f t="shared" si="5"/>
        <v>2557.0124999999998</v>
      </c>
      <c r="O74" s="25"/>
      <c r="P74" s="22">
        <v>45084</v>
      </c>
      <c r="Q74" s="25"/>
      <c r="R74" s="26" t="s">
        <v>406</v>
      </c>
      <c r="S74" s="21"/>
      <c r="T74" s="32" t="s">
        <v>124</v>
      </c>
      <c r="U74" s="21"/>
    </row>
    <row r="75" spans="1:21" ht="20.100000000000001" customHeight="1" x14ac:dyDescent="0.3">
      <c r="A75" s="44">
        <v>67</v>
      </c>
      <c r="B75" s="78">
        <v>45083</v>
      </c>
      <c r="C75" s="79"/>
      <c r="D75" s="80" t="s">
        <v>360</v>
      </c>
      <c r="E75" s="81"/>
      <c r="F75" s="82">
        <v>70</v>
      </c>
      <c r="G75" s="83" t="s">
        <v>51</v>
      </c>
      <c r="H75" s="82">
        <v>1000</v>
      </c>
      <c r="I75" s="27">
        <f t="shared" si="3"/>
        <v>70000</v>
      </c>
      <c r="J75" s="28"/>
      <c r="K75" s="29">
        <v>896</v>
      </c>
      <c r="L75" s="30">
        <v>0.05</v>
      </c>
      <c r="M75" s="31">
        <f t="shared" si="4"/>
        <v>44.800000000000004</v>
      </c>
      <c r="N75" s="31">
        <f t="shared" si="5"/>
        <v>940.8</v>
      </c>
      <c r="O75" s="25"/>
      <c r="P75" s="22">
        <v>45084</v>
      </c>
      <c r="Q75" s="25"/>
      <c r="R75" s="26" t="s">
        <v>408</v>
      </c>
      <c r="S75" s="21"/>
      <c r="T75" s="32" t="s">
        <v>309</v>
      </c>
      <c r="U75" s="21"/>
    </row>
    <row r="76" spans="1:21" ht="20.100000000000001" customHeight="1" x14ac:dyDescent="0.3">
      <c r="A76" s="44">
        <v>68</v>
      </c>
      <c r="B76" s="78">
        <v>45083</v>
      </c>
      <c r="C76" s="79"/>
      <c r="D76" s="80" t="s">
        <v>407</v>
      </c>
      <c r="E76" s="81"/>
      <c r="F76" s="82">
        <v>42</v>
      </c>
      <c r="G76" s="83" t="s">
        <v>51</v>
      </c>
      <c r="H76" s="82">
        <v>1000</v>
      </c>
      <c r="I76" s="27">
        <f t="shared" si="3"/>
        <v>42000</v>
      </c>
      <c r="J76" s="28"/>
      <c r="K76" s="29">
        <v>3255</v>
      </c>
      <c r="L76" s="30">
        <v>0.05</v>
      </c>
      <c r="M76" s="31">
        <f t="shared" si="4"/>
        <v>162.75</v>
      </c>
      <c r="N76" s="31">
        <f t="shared" si="5"/>
        <v>3417.75</v>
      </c>
      <c r="O76" s="25"/>
      <c r="P76" s="22">
        <v>45084</v>
      </c>
      <c r="Q76" s="25"/>
      <c r="R76" s="26" t="s">
        <v>408</v>
      </c>
      <c r="S76" s="21"/>
      <c r="T76" s="32" t="s">
        <v>309</v>
      </c>
      <c r="U76" s="21"/>
    </row>
    <row r="77" spans="1:21" ht="20.100000000000001" customHeight="1" x14ac:dyDescent="0.3">
      <c r="A77" s="44">
        <v>69</v>
      </c>
      <c r="B77" s="78">
        <v>45083</v>
      </c>
      <c r="C77" s="79"/>
      <c r="D77" s="80" t="s">
        <v>450</v>
      </c>
      <c r="E77" s="81"/>
      <c r="F77" s="82">
        <v>37</v>
      </c>
      <c r="G77" s="83" t="s">
        <v>51</v>
      </c>
      <c r="H77" s="82">
        <v>1000</v>
      </c>
      <c r="I77" s="27">
        <f t="shared" si="3"/>
        <v>37000</v>
      </c>
      <c r="J77" s="28"/>
      <c r="K77" s="29">
        <v>5250</v>
      </c>
      <c r="L77" s="30">
        <v>0.05</v>
      </c>
      <c r="M77" s="31">
        <f t="shared" si="4"/>
        <v>262.5</v>
      </c>
      <c r="N77" s="31">
        <f t="shared" si="5"/>
        <v>5512.5</v>
      </c>
      <c r="O77" s="25"/>
      <c r="P77" s="22">
        <v>45084</v>
      </c>
      <c r="Q77" s="25"/>
      <c r="R77" s="26" t="s">
        <v>408</v>
      </c>
      <c r="S77" s="21"/>
      <c r="T77" s="32" t="s">
        <v>309</v>
      </c>
      <c r="U77" s="21"/>
    </row>
    <row r="78" spans="1:21" ht="20.100000000000001" customHeight="1" x14ac:dyDescent="0.3">
      <c r="A78" s="44">
        <v>70</v>
      </c>
      <c r="B78" s="78">
        <v>45096</v>
      </c>
      <c r="C78" s="79"/>
      <c r="D78" s="80" t="s">
        <v>409</v>
      </c>
      <c r="E78" s="81"/>
      <c r="F78" s="82">
        <v>8</v>
      </c>
      <c r="G78" s="83" t="s">
        <v>18</v>
      </c>
      <c r="H78" s="82">
        <v>25</v>
      </c>
      <c r="I78" s="27">
        <f t="shared" si="3"/>
        <v>200</v>
      </c>
      <c r="J78" s="28"/>
      <c r="K78" s="29">
        <v>6500</v>
      </c>
      <c r="L78" s="30"/>
      <c r="M78" s="31">
        <f t="shared" si="4"/>
        <v>0</v>
      </c>
      <c r="N78" s="31">
        <f t="shared" si="5"/>
        <v>6500</v>
      </c>
      <c r="O78" s="25"/>
      <c r="P78" s="22">
        <v>45158</v>
      </c>
      <c r="Q78" s="25"/>
      <c r="R78" s="26" t="s">
        <v>410</v>
      </c>
      <c r="S78" s="21"/>
      <c r="T78" s="32" t="s">
        <v>349</v>
      </c>
      <c r="U78" s="21"/>
    </row>
    <row r="79" spans="1:21" ht="20.100000000000001" customHeight="1" x14ac:dyDescent="0.3">
      <c r="A79" s="44">
        <v>71</v>
      </c>
      <c r="B79" s="78">
        <v>45096</v>
      </c>
      <c r="C79" s="79"/>
      <c r="D79" s="80" t="s">
        <v>284</v>
      </c>
      <c r="E79" s="81"/>
      <c r="F79" s="82">
        <v>20</v>
      </c>
      <c r="G79" s="83" t="s">
        <v>18</v>
      </c>
      <c r="H79" s="82">
        <v>25</v>
      </c>
      <c r="I79" s="27">
        <f t="shared" si="3"/>
        <v>500</v>
      </c>
      <c r="J79" s="28"/>
      <c r="K79" s="29">
        <v>3072.03</v>
      </c>
      <c r="L79" s="30">
        <v>0.18</v>
      </c>
      <c r="M79" s="31">
        <f t="shared" si="4"/>
        <v>552.96540000000005</v>
      </c>
      <c r="N79" s="31">
        <f t="shared" si="5"/>
        <v>3624.9954000000002</v>
      </c>
      <c r="O79" s="25"/>
      <c r="P79" s="22">
        <v>45158</v>
      </c>
      <c r="Q79" s="25"/>
      <c r="R79" s="26" t="s">
        <v>411</v>
      </c>
      <c r="S79" s="21"/>
      <c r="T79" s="32" t="s">
        <v>375</v>
      </c>
      <c r="U79" s="21"/>
    </row>
    <row r="80" spans="1:21" ht="20.100000000000001" customHeight="1" x14ac:dyDescent="0.3">
      <c r="A80" s="44">
        <v>72</v>
      </c>
      <c r="B80" s="78">
        <v>45096</v>
      </c>
      <c r="C80" s="79"/>
      <c r="D80" s="80" t="s">
        <v>337</v>
      </c>
      <c r="E80" s="81"/>
      <c r="F80" s="82">
        <v>20</v>
      </c>
      <c r="G80" s="83" t="s">
        <v>18</v>
      </c>
      <c r="H80" s="82">
        <v>25</v>
      </c>
      <c r="I80" s="27">
        <f t="shared" si="3"/>
        <v>500</v>
      </c>
      <c r="J80" s="28"/>
      <c r="K80" s="29">
        <v>1250</v>
      </c>
      <c r="L80" s="30"/>
      <c r="M80" s="31">
        <f t="shared" si="4"/>
        <v>0</v>
      </c>
      <c r="N80" s="31">
        <f t="shared" si="5"/>
        <v>1250</v>
      </c>
      <c r="O80" s="25"/>
      <c r="P80" s="22">
        <v>45158</v>
      </c>
      <c r="Q80" s="25"/>
      <c r="R80" s="26" t="s">
        <v>412</v>
      </c>
      <c r="S80" s="21"/>
      <c r="T80" s="32" t="s">
        <v>338</v>
      </c>
      <c r="U80" s="21"/>
    </row>
    <row r="81" spans="1:21" ht="20.100000000000001" customHeight="1" x14ac:dyDescent="0.3">
      <c r="A81" s="44">
        <v>73</v>
      </c>
      <c r="B81" s="78">
        <v>45099</v>
      </c>
      <c r="C81" s="79"/>
      <c r="D81" s="80" t="s">
        <v>330</v>
      </c>
      <c r="E81" s="81"/>
      <c r="F81" s="82">
        <v>20</v>
      </c>
      <c r="G81" s="83" t="s">
        <v>18</v>
      </c>
      <c r="H81" s="82">
        <v>10</v>
      </c>
      <c r="I81" s="27">
        <f t="shared" si="3"/>
        <v>200</v>
      </c>
      <c r="J81" s="28"/>
      <c r="K81" s="29">
        <v>4000</v>
      </c>
      <c r="L81" s="30"/>
      <c r="M81" s="31">
        <f t="shared" si="4"/>
        <v>0</v>
      </c>
      <c r="N81" s="31">
        <f t="shared" si="5"/>
        <v>4000</v>
      </c>
      <c r="O81" s="25"/>
      <c r="P81" s="22">
        <v>45099</v>
      </c>
      <c r="Q81" s="25"/>
      <c r="R81" s="26" t="s">
        <v>413</v>
      </c>
      <c r="S81" s="21"/>
      <c r="T81" s="32" t="s">
        <v>332</v>
      </c>
      <c r="U81" s="21"/>
    </row>
    <row r="82" spans="1:21" ht="20.100000000000001" customHeight="1" x14ac:dyDescent="0.3">
      <c r="A82" s="44">
        <v>74</v>
      </c>
      <c r="B82" s="78">
        <v>45100</v>
      </c>
      <c r="C82" s="79"/>
      <c r="D82" s="80" t="s">
        <v>342</v>
      </c>
      <c r="E82" s="81"/>
      <c r="F82" s="82">
        <v>40</v>
      </c>
      <c r="G82" s="83" t="s">
        <v>18</v>
      </c>
      <c r="H82" s="82">
        <v>25</v>
      </c>
      <c r="I82" s="27">
        <f t="shared" si="3"/>
        <v>1000</v>
      </c>
      <c r="J82" s="28"/>
      <c r="K82" s="29">
        <v>13625</v>
      </c>
      <c r="L82" s="30"/>
      <c r="M82" s="31">
        <f t="shared" si="4"/>
        <v>0</v>
      </c>
      <c r="N82" s="31">
        <f t="shared" si="5"/>
        <v>13625</v>
      </c>
      <c r="O82" s="25"/>
      <c r="P82" s="22">
        <v>45100</v>
      </c>
      <c r="Q82" s="25"/>
      <c r="R82" s="26" t="s">
        <v>414</v>
      </c>
      <c r="S82" s="21"/>
      <c r="T82" s="32" t="s">
        <v>98</v>
      </c>
      <c r="U82" s="21"/>
    </row>
    <row r="83" spans="1:21" ht="20.100000000000001" customHeight="1" x14ac:dyDescent="0.3">
      <c r="A83" s="44">
        <v>75</v>
      </c>
      <c r="B83" s="78">
        <v>45104</v>
      </c>
      <c r="C83" s="79"/>
      <c r="D83" s="80" t="s">
        <v>552</v>
      </c>
      <c r="E83" s="81"/>
      <c r="F83" s="82">
        <v>8</v>
      </c>
      <c r="G83" s="83" t="s">
        <v>18</v>
      </c>
      <c r="H83" s="82">
        <v>25</v>
      </c>
      <c r="I83" s="27">
        <f t="shared" si="3"/>
        <v>200</v>
      </c>
      <c r="J83" s="28"/>
      <c r="K83" s="29">
        <v>16875</v>
      </c>
      <c r="L83" s="30"/>
      <c r="M83" s="31">
        <f t="shared" si="4"/>
        <v>0</v>
      </c>
      <c r="N83" s="31">
        <f t="shared" si="5"/>
        <v>16875</v>
      </c>
      <c r="O83" s="25"/>
      <c r="P83" s="78">
        <v>45104</v>
      </c>
      <c r="Q83" s="25"/>
      <c r="R83" s="26" t="s">
        <v>415</v>
      </c>
      <c r="S83" s="21"/>
      <c r="T83" s="32" t="s">
        <v>323</v>
      </c>
      <c r="U83" s="21"/>
    </row>
    <row r="84" spans="1:21" ht="20.100000000000001" customHeight="1" x14ac:dyDescent="0.3">
      <c r="A84" s="44">
        <v>76</v>
      </c>
      <c r="B84" s="78">
        <v>45113</v>
      </c>
      <c r="C84" s="79"/>
      <c r="D84" s="80" t="s">
        <v>291</v>
      </c>
      <c r="E84" s="81"/>
      <c r="F84" s="82">
        <v>25</v>
      </c>
      <c r="G84" s="83" t="s">
        <v>18</v>
      </c>
      <c r="H84" s="82">
        <v>20</v>
      </c>
      <c r="I84" s="27">
        <f t="shared" si="3"/>
        <v>500</v>
      </c>
      <c r="J84" s="28"/>
      <c r="K84" s="29">
        <v>3000</v>
      </c>
      <c r="L84" s="30"/>
      <c r="M84" s="31">
        <f t="shared" si="4"/>
        <v>0</v>
      </c>
      <c r="N84" s="31">
        <f t="shared" si="5"/>
        <v>3000</v>
      </c>
      <c r="O84" s="25"/>
      <c r="P84" s="22">
        <v>45113</v>
      </c>
      <c r="Q84" s="25"/>
      <c r="R84" s="26" t="s">
        <v>416</v>
      </c>
      <c r="S84" s="21"/>
      <c r="T84" s="32" t="s">
        <v>312</v>
      </c>
      <c r="U84" s="21"/>
    </row>
    <row r="85" spans="1:21" ht="20.100000000000001" customHeight="1" x14ac:dyDescent="0.3">
      <c r="A85" s="44">
        <v>77</v>
      </c>
      <c r="B85" s="78">
        <v>45113</v>
      </c>
      <c r="C85" s="79"/>
      <c r="D85" s="80" t="s">
        <v>417</v>
      </c>
      <c r="E85" s="81"/>
      <c r="F85" s="82">
        <v>12</v>
      </c>
      <c r="G85" s="83" t="s">
        <v>18</v>
      </c>
      <c r="H85" s="82">
        <v>25</v>
      </c>
      <c r="I85" s="27">
        <f t="shared" si="3"/>
        <v>300</v>
      </c>
      <c r="J85" s="28"/>
      <c r="K85" s="29">
        <v>1775</v>
      </c>
      <c r="L85" s="30"/>
      <c r="M85" s="31">
        <f t="shared" si="4"/>
        <v>0</v>
      </c>
      <c r="N85" s="31">
        <f t="shared" si="5"/>
        <v>1775</v>
      </c>
      <c r="O85" s="25"/>
      <c r="P85" s="78">
        <v>45113</v>
      </c>
      <c r="Q85" s="25"/>
      <c r="R85" s="26" t="s">
        <v>418</v>
      </c>
      <c r="S85" s="21"/>
      <c r="T85" s="32" t="s">
        <v>28</v>
      </c>
      <c r="U85" s="21"/>
    </row>
    <row r="86" spans="1:21" ht="20.100000000000001" customHeight="1" x14ac:dyDescent="0.3">
      <c r="A86" s="44">
        <v>78</v>
      </c>
      <c r="B86" s="78">
        <v>45113</v>
      </c>
      <c r="C86" s="79"/>
      <c r="D86" s="80" t="s">
        <v>340</v>
      </c>
      <c r="E86" s="81"/>
      <c r="F86" s="82">
        <v>12</v>
      </c>
      <c r="G86" s="83" t="s">
        <v>18</v>
      </c>
      <c r="H86" s="82">
        <v>25</v>
      </c>
      <c r="I86" s="27">
        <f t="shared" si="3"/>
        <v>300</v>
      </c>
      <c r="J86" s="28"/>
      <c r="K86" s="29">
        <v>3200</v>
      </c>
      <c r="L86" s="30">
        <v>0.12</v>
      </c>
      <c r="M86" s="31">
        <f t="shared" si="4"/>
        <v>384</v>
      </c>
      <c r="N86" s="31">
        <f t="shared" si="5"/>
        <v>3584</v>
      </c>
      <c r="O86" s="25"/>
      <c r="P86" s="78">
        <v>45113</v>
      </c>
      <c r="Q86" s="25"/>
      <c r="R86" s="26" t="s">
        <v>419</v>
      </c>
      <c r="S86" s="21"/>
      <c r="T86" s="32" t="s">
        <v>166</v>
      </c>
      <c r="U86" s="21"/>
    </row>
    <row r="87" spans="1:21" ht="20.100000000000001" customHeight="1" x14ac:dyDescent="0.3">
      <c r="A87" s="44">
        <v>79</v>
      </c>
      <c r="B87" s="78">
        <v>45113</v>
      </c>
      <c r="C87" s="79"/>
      <c r="D87" s="80" t="s">
        <v>481</v>
      </c>
      <c r="E87" s="81"/>
      <c r="F87" s="82">
        <v>50</v>
      </c>
      <c r="G87" s="83" t="s">
        <v>18</v>
      </c>
      <c r="H87" s="82">
        <v>20</v>
      </c>
      <c r="I87" s="27">
        <f t="shared" si="3"/>
        <v>1000</v>
      </c>
      <c r="J87" s="28"/>
      <c r="K87" s="29">
        <v>1800</v>
      </c>
      <c r="L87" s="30"/>
      <c r="M87" s="31">
        <f t="shared" si="4"/>
        <v>0</v>
      </c>
      <c r="N87" s="31">
        <f t="shared" si="5"/>
        <v>1800</v>
      </c>
      <c r="O87" s="25"/>
      <c r="P87" s="78">
        <v>45113</v>
      </c>
      <c r="Q87" s="25"/>
      <c r="R87" s="26" t="s">
        <v>420</v>
      </c>
      <c r="S87" s="21"/>
      <c r="T87" s="32" t="s">
        <v>421</v>
      </c>
      <c r="U87" s="21"/>
    </row>
    <row r="88" spans="1:21" ht="20.100000000000001" customHeight="1" x14ac:dyDescent="0.3">
      <c r="A88" s="44">
        <v>80</v>
      </c>
      <c r="B88" s="78">
        <v>45118</v>
      </c>
      <c r="C88" s="79"/>
      <c r="D88" s="80" t="s">
        <v>422</v>
      </c>
      <c r="E88" s="81"/>
      <c r="F88" s="82">
        <v>4</v>
      </c>
      <c r="G88" s="83" t="s">
        <v>18</v>
      </c>
      <c r="H88" s="82">
        <v>25</v>
      </c>
      <c r="I88" s="27">
        <f t="shared" si="3"/>
        <v>100</v>
      </c>
      <c r="J88" s="28"/>
      <c r="K88" s="29">
        <v>19750</v>
      </c>
      <c r="L88" s="30"/>
      <c r="M88" s="31">
        <f t="shared" si="4"/>
        <v>0</v>
      </c>
      <c r="N88" s="31">
        <f t="shared" si="5"/>
        <v>19750</v>
      </c>
      <c r="O88" s="25"/>
      <c r="P88" s="22">
        <v>45118</v>
      </c>
      <c r="Q88" s="25"/>
      <c r="R88" s="26" t="s">
        <v>423</v>
      </c>
      <c r="S88" s="21"/>
      <c r="T88" s="32" t="s">
        <v>424</v>
      </c>
      <c r="U88" s="21"/>
    </row>
    <row r="89" spans="1:21" ht="20.100000000000001" customHeight="1" x14ac:dyDescent="0.3">
      <c r="A89" s="44">
        <v>81</v>
      </c>
      <c r="B89" s="78">
        <v>45124</v>
      </c>
      <c r="C89" s="79"/>
      <c r="D89" s="80" t="s">
        <v>327</v>
      </c>
      <c r="E89" s="81"/>
      <c r="F89" s="82">
        <v>500</v>
      </c>
      <c r="G89" s="83" t="s">
        <v>230</v>
      </c>
      <c r="H89" s="82">
        <v>1</v>
      </c>
      <c r="I89" s="27">
        <f t="shared" si="3"/>
        <v>500</v>
      </c>
      <c r="J89" s="28"/>
      <c r="K89" s="29">
        <v>400</v>
      </c>
      <c r="L89" s="30"/>
      <c r="M89" s="31">
        <f t="shared" si="4"/>
        <v>0</v>
      </c>
      <c r="N89" s="31">
        <f t="shared" si="5"/>
        <v>400</v>
      </c>
      <c r="O89" s="25"/>
      <c r="P89" s="78">
        <v>45124</v>
      </c>
      <c r="Q89" s="25"/>
      <c r="R89" s="26" t="s">
        <v>425</v>
      </c>
      <c r="S89" s="21"/>
      <c r="T89" s="32" t="s">
        <v>329</v>
      </c>
      <c r="U89" s="21"/>
    </row>
    <row r="90" spans="1:21" ht="20.100000000000001" customHeight="1" x14ac:dyDescent="0.3">
      <c r="A90" s="44">
        <v>82</v>
      </c>
      <c r="B90" s="78">
        <v>45124</v>
      </c>
      <c r="C90" s="79"/>
      <c r="D90" s="80" t="s">
        <v>427</v>
      </c>
      <c r="E90" s="81"/>
      <c r="F90" s="82">
        <v>8</v>
      </c>
      <c r="G90" s="83" t="s">
        <v>18</v>
      </c>
      <c r="H90" s="82">
        <v>25</v>
      </c>
      <c r="I90" s="27">
        <f t="shared" si="3"/>
        <v>200</v>
      </c>
      <c r="J90" s="28"/>
      <c r="K90" s="29">
        <v>16842.5</v>
      </c>
      <c r="L90" s="30"/>
      <c r="M90" s="31">
        <f t="shared" si="4"/>
        <v>0</v>
      </c>
      <c r="N90" s="31">
        <f t="shared" si="5"/>
        <v>16842.5</v>
      </c>
      <c r="O90" s="25"/>
      <c r="P90" s="78">
        <v>45124</v>
      </c>
      <c r="Q90" s="25"/>
      <c r="R90" s="26" t="s">
        <v>426</v>
      </c>
      <c r="S90" s="21"/>
      <c r="T90" s="32" t="s">
        <v>101</v>
      </c>
      <c r="U90" s="21"/>
    </row>
    <row r="91" spans="1:21" ht="20.100000000000001" customHeight="1" x14ac:dyDescent="0.3">
      <c r="A91" s="44">
        <v>83</v>
      </c>
      <c r="B91" s="78">
        <v>45136</v>
      </c>
      <c r="C91" s="79"/>
      <c r="D91" s="80" t="s">
        <v>235</v>
      </c>
      <c r="E91" s="81"/>
      <c r="F91" s="82">
        <v>20</v>
      </c>
      <c r="G91" s="83" t="s">
        <v>18</v>
      </c>
      <c r="H91" s="82">
        <v>25</v>
      </c>
      <c r="I91" s="27">
        <f t="shared" si="3"/>
        <v>500</v>
      </c>
      <c r="J91" s="28"/>
      <c r="K91" s="29">
        <v>3200</v>
      </c>
      <c r="L91" s="30"/>
      <c r="M91" s="31">
        <f t="shared" si="4"/>
        <v>0</v>
      </c>
      <c r="N91" s="31">
        <f t="shared" si="5"/>
        <v>3200</v>
      </c>
      <c r="O91" s="25"/>
      <c r="P91" s="22">
        <v>45136</v>
      </c>
      <c r="Q91" s="25"/>
      <c r="R91" s="26" t="s">
        <v>428</v>
      </c>
      <c r="S91" s="21"/>
      <c r="T91" s="32" t="s">
        <v>234</v>
      </c>
      <c r="U91" s="21"/>
    </row>
    <row r="92" spans="1:21" ht="20.100000000000001" customHeight="1" x14ac:dyDescent="0.3">
      <c r="A92" s="44">
        <v>84</v>
      </c>
      <c r="B92" s="78">
        <v>45140</v>
      </c>
      <c r="C92" s="79"/>
      <c r="D92" s="80" t="s">
        <v>429</v>
      </c>
      <c r="E92" s="81"/>
      <c r="F92" s="82">
        <v>20</v>
      </c>
      <c r="G92" s="83" t="s">
        <v>18</v>
      </c>
      <c r="H92" s="82">
        <v>25</v>
      </c>
      <c r="I92" s="27">
        <f t="shared" si="3"/>
        <v>500</v>
      </c>
      <c r="J92" s="28"/>
      <c r="K92" s="29">
        <v>14250</v>
      </c>
      <c r="L92" s="30"/>
      <c r="M92" s="31">
        <f t="shared" si="4"/>
        <v>0</v>
      </c>
      <c r="N92" s="31">
        <f t="shared" si="5"/>
        <v>14250</v>
      </c>
      <c r="O92" s="25"/>
      <c r="P92" s="78">
        <v>45140</v>
      </c>
      <c r="Q92" s="25"/>
      <c r="R92" s="26" t="s">
        <v>430</v>
      </c>
      <c r="S92" s="21"/>
      <c r="T92" s="32" t="s">
        <v>45</v>
      </c>
      <c r="U92" s="21"/>
    </row>
    <row r="93" spans="1:21" ht="20.100000000000001" customHeight="1" x14ac:dyDescent="0.3">
      <c r="A93" s="44">
        <v>85</v>
      </c>
      <c r="B93" s="78">
        <v>45139</v>
      </c>
      <c r="C93" s="79"/>
      <c r="D93" s="80" t="s">
        <v>400</v>
      </c>
      <c r="E93" s="81"/>
      <c r="F93" s="82">
        <v>500</v>
      </c>
      <c r="G93" s="83" t="s">
        <v>230</v>
      </c>
      <c r="H93" s="82">
        <v>1</v>
      </c>
      <c r="I93" s="27">
        <f t="shared" si="3"/>
        <v>500</v>
      </c>
      <c r="J93" s="28"/>
      <c r="K93" s="29">
        <v>75</v>
      </c>
      <c r="L93" s="30">
        <v>0.12</v>
      </c>
      <c r="M93" s="31">
        <f t="shared" si="4"/>
        <v>9</v>
      </c>
      <c r="N93" s="31">
        <f t="shared" si="5"/>
        <v>84</v>
      </c>
      <c r="O93" s="25"/>
      <c r="P93" s="78">
        <v>45140</v>
      </c>
      <c r="Q93" s="25"/>
      <c r="R93" s="26" t="s">
        <v>431</v>
      </c>
      <c r="S93" s="21"/>
      <c r="T93" s="32" t="s">
        <v>329</v>
      </c>
      <c r="U93" s="21"/>
    </row>
    <row r="94" spans="1:21" ht="20.100000000000001" customHeight="1" x14ac:dyDescent="0.3">
      <c r="A94" s="44">
        <v>86</v>
      </c>
      <c r="B94" s="78">
        <v>45139</v>
      </c>
      <c r="C94" s="79"/>
      <c r="D94" s="80" t="s">
        <v>402</v>
      </c>
      <c r="E94" s="81"/>
      <c r="F94" s="82">
        <v>100</v>
      </c>
      <c r="G94" s="83" t="s">
        <v>18</v>
      </c>
      <c r="H94" s="82">
        <v>1</v>
      </c>
      <c r="I94" s="27">
        <f t="shared" si="3"/>
        <v>100</v>
      </c>
      <c r="J94" s="28"/>
      <c r="K94" s="29">
        <v>720</v>
      </c>
      <c r="L94" s="30"/>
      <c r="M94" s="31">
        <f t="shared" si="4"/>
        <v>0</v>
      </c>
      <c r="N94" s="31">
        <f t="shared" si="5"/>
        <v>720</v>
      </c>
      <c r="O94" s="25"/>
      <c r="P94" s="78">
        <v>45140</v>
      </c>
      <c r="Q94" s="25"/>
      <c r="R94" s="26" t="s">
        <v>432</v>
      </c>
      <c r="S94" s="21"/>
      <c r="T94" s="32" t="s">
        <v>404</v>
      </c>
      <c r="U94" s="21"/>
    </row>
    <row r="95" spans="1:21" ht="20.100000000000001" customHeight="1" x14ac:dyDescent="0.3">
      <c r="A95" s="44">
        <v>87</v>
      </c>
      <c r="B95" s="78">
        <v>45146</v>
      </c>
      <c r="C95" s="79"/>
      <c r="D95" s="80" t="s">
        <v>285</v>
      </c>
      <c r="E95" s="81"/>
      <c r="F95" s="82">
        <v>20</v>
      </c>
      <c r="G95" s="83" t="s">
        <v>18</v>
      </c>
      <c r="H95" s="82">
        <v>25</v>
      </c>
      <c r="I95" s="27">
        <f t="shared" si="3"/>
        <v>500</v>
      </c>
      <c r="J95" s="28"/>
      <c r="K95" s="29">
        <v>4533.8999999999996</v>
      </c>
      <c r="L95" s="30">
        <v>0.18</v>
      </c>
      <c r="M95" s="31">
        <f t="shared" si="4"/>
        <v>816.10199999999986</v>
      </c>
      <c r="N95" s="31">
        <f t="shared" si="5"/>
        <v>5350.0019999999995</v>
      </c>
      <c r="O95" s="25"/>
      <c r="P95" s="22">
        <v>45148</v>
      </c>
      <c r="Q95" s="25"/>
      <c r="R95" s="26" t="s">
        <v>433</v>
      </c>
      <c r="S95" s="21"/>
      <c r="T95" s="32" t="s">
        <v>375</v>
      </c>
      <c r="U95" s="21"/>
    </row>
    <row r="96" spans="1:21" ht="20.100000000000001" customHeight="1" x14ac:dyDescent="0.3">
      <c r="A96" s="44">
        <v>88</v>
      </c>
      <c r="B96" s="78">
        <v>45146</v>
      </c>
      <c r="C96" s="79"/>
      <c r="D96" s="80" t="s">
        <v>337</v>
      </c>
      <c r="E96" s="81"/>
      <c r="F96" s="82">
        <v>20</v>
      </c>
      <c r="G96" s="83" t="s">
        <v>18</v>
      </c>
      <c r="H96" s="82">
        <v>25</v>
      </c>
      <c r="I96" s="27">
        <f t="shared" si="3"/>
        <v>500</v>
      </c>
      <c r="J96" s="28"/>
      <c r="K96" s="29">
        <v>1250</v>
      </c>
      <c r="L96" s="30"/>
      <c r="M96" s="31">
        <f t="shared" si="4"/>
        <v>0</v>
      </c>
      <c r="N96" s="31">
        <f t="shared" si="5"/>
        <v>1250</v>
      </c>
      <c r="O96" s="25"/>
      <c r="P96" s="22">
        <v>45148</v>
      </c>
      <c r="Q96" s="25"/>
      <c r="R96" s="26" t="s">
        <v>434</v>
      </c>
      <c r="S96" s="21"/>
      <c r="T96" s="32" t="s">
        <v>338</v>
      </c>
      <c r="U96" s="21"/>
    </row>
    <row r="97" spans="1:21" ht="20.100000000000001" customHeight="1" x14ac:dyDescent="0.3">
      <c r="A97" s="44">
        <v>89</v>
      </c>
      <c r="B97" s="78" t="s">
        <v>189</v>
      </c>
      <c r="C97" s="79"/>
      <c r="D97" s="80" t="s">
        <v>435</v>
      </c>
      <c r="E97" s="81"/>
      <c r="F97" s="82">
        <v>120</v>
      </c>
      <c r="G97" s="83" t="s">
        <v>66</v>
      </c>
      <c r="H97" s="82">
        <v>100</v>
      </c>
      <c r="I97" s="27">
        <f t="shared" si="3"/>
        <v>12000</v>
      </c>
      <c r="J97" s="28"/>
      <c r="K97" s="29">
        <v>225</v>
      </c>
      <c r="L97" s="30"/>
      <c r="M97" s="31">
        <f t="shared" si="4"/>
        <v>0</v>
      </c>
      <c r="N97" s="31">
        <f t="shared" si="5"/>
        <v>225</v>
      </c>
      <c r="O97" s="25"/>
      <c r="P97" s="22">
        <v>45149</v>
      </c>
      <c r="Q97" s="25"/>
      <c r="R97" s="26" t="s">
        <v>436</v>
      </c>
      <c r="S97" s="21"/>
      <c r="T97" s="32" t="s">
        <v>437</v>
      </c>
      <c r="U97" s="21"/>
    </row>
    <row r="98" spans="1:21" ht="20.100000000000001" customHeight="1" x14ac:dyDescent="0.3">
      <c r="A98" s="44">
        <v>90</v>
      </c>
      <c r="B98" s="65">
        <v>45139</v>
      </c>
      <c r="C98" s="79"/>
      <c r="D98" s="80" t="s">
        <v>435</v>
      </c>
      <c r="E98" s="81"/>
      <c r="F98" s="82">
        <v>360</v>
      </c>
      <c r="G98" s="83" t="s">
        <v>66</v>
      </c>
      <c r="H98" s="82">
        <v>100</v>
      </c>
      <c r="I98" s="27">
        <f t="shared" si="3"/>
        <v>36000</v>
      </c>
      <c r="J98" s="28"/>
      <c r="K98" s="29">
        <v>225</v>
      </c>
      <c r="L98" s="30"/>
      <c r="M98" s="31">
        <f t="shared" si="4"/>
        <v>0</v>
      </c>
      <c r="N98" s="31">
        <f t="shared" si="5"/>
        <v>225</v>
      </c>
      <c r="O98" s="25"/>
      <c r="P98" s="22">
        <v>45152</v>
      </c>
      <c r="Q98" s="25"/>
      <c r="R98" s="26" t="s">
        <v>438</v>
      </c>
      <c r="S98" s="21"/>
      <c r="T98" s="32" t="s">
        <v>437</v>
      </c>
      <c r="U98" s="21"/>
    </row>
    <row r="99" spans="1:21" ht="20.100000000000001" customHeight="1" x14ac:dyDescent="0.3">
      <c r="A99" s="44">
        <v>91</v>
      </c>
      <c r="B99" s="22">
        <v>45152</v>
      </c>
      <c r="C99" s="79"/>
      <c r="D99" s="80" t="s">
        <v>378</v>
      </c>
      <c r="E99" s="81"/>
      <c r="F99" s="82">
        <v>20</v>
      </c>
      <c r="G99" s="83" t="s">
        <v>18</v>
      </c>
      <c r="H99" s="82">
        <v>25</v>
      </c>
      <c r="I99" s="27">
        <f t="shared" si="3"/>
        <v>500</v>
      </c>
      <c r="J99" s="28"/>
      <c r="K99" s="29">
        <v>5500</v>
      </c>
      <c r="L99" s="30"/>
      <c r="M99" s="31">
        <f t="shared" si="4"/>
        <v>0</v>
      </c>
      <c r="N99" s="31">
        <f t="shared" si="5"/>
        <v>5500</v>
      </c>
      <c r="O99" s="25"/>
      <c r="P99" s="22">
        <v>45152</v>
      </c>
      <c r="Q99" s="25"/>
      <c r="R99" s="26" t="s">
        <v>439</v>
      </c>
      <c r="S99" s="21"/>
      <c r="T99" s="32" t="s">
        <v>74</v>
      </c>
      <c r="U99" s="21"/>
    </row>
    <row r="100" spans="1:21" ht="20.100000000000001" customHeight="1" x14ac:dyDescent="0.3">
      <c r="A100" s="44">
        <v>92</v>
      </c>
      <c r="B100" s="22">
        <v>45152</v>
      </c>
      <c r="C100" s="79"/>
      <c r="D100" s="80" t="s">
        <v>485</v>
      </c>
      <c r="E100" s="81"/>
      <c r="F100" s="82">
        <v>17</v>
      </c>
      <c r="G100" s="83" t="s">
        <v>18</v>
      </c>
      <c r="H100" s="82">
        <v>30</v>
      </c>
      <c r="I100" s="27">
        <f t="shared" si="3"/>
        <v>510</v>
      </c>
      <c r="J100" s="28"/>
      <c r="K100" s="29">
        <v>1957</v>
      </c>
      <c r="L100" s="30"/>
      <c r="M100" s="31">
        <f t="shared" si="4"/>
        <v>0</v>
      </c>
      <c r="N100" s="31">
        <f t="shared" si="5"/>
        <v>1957</v>
      </c>
      <c r="O100" s="25"/>
      <c r="P100" s="22">
        <v>45152</v>
      </c>
      <c r="Q100" s="25"/>
      <c r="R100" s="26" t="s">
        <v>440</v>
      </c>
      <c r="S100" s="21"/>
      <c r="T100" s="32" t="s">
        <v>315</v>
      </c>
      <c r="U100" s="21"/>
    </row>
    <row r="101" spans="1:21" ht="20.100000000000001" customHeight="1" x14ac:dyDescent="0.3">
      <c r="A101" s="44">
        <v>93</v>
      </c>
      <c r="B101" s="22">
        <v>45152</v>
      </c>
      <c r="C101" s="79"/>
      <c r="D101" s="80" t="s">
        <v>380</v>
      </c>
      <c r="E101" s="81"/>
      <c r="F101" s="82">
        <v>500</v>
      </c>
      <c r="G101" s="83" t="s">
        <v>18</v>
      </c>
      <c r="H101" s="82">
        <v>1</v>
      </c>
      <c r="I101" s="27">
        <f t="shared" si="3"/>
        <v>500</v>
      </c>
      <c r="J101" s="28"/>
      <c r="K101" s="29">
        <v>135</v>
      </c>
      <c r="L101" s="30"/>
      <c r="M101" s="31">
        <f t="shared" si="4"/>
        <v>0</v>
      </c>
      <c r="N101" s="31">
        <f t="shared" si="5"/>
        <v>135</v>
      </c>
      <c r="O101" s="25"/>
      <c r="P101" s="22">
        <v>45152</v>
      </c>
      <c r="Q101" s="25"/>
      <c r="R101" s="26" t="s">
        <v>441</v>
      </c>
      <c r="S101" s="21"/>
      <c r="T101" s="32" t="s">
        <v>28</v>
      </c>
      <c r="U101" s="21"/>
    </row>
    <row r="102" spans="1:21" ht="20.100000000000001" customHeight="1" x14ac:dyDescent="0.3">
      <c r="A102" s="44">
        <v>94</v>
      </c>
      <c r="B102" s="22">
        <v>45152</v>
      </c>
      <c r="C102" s="79"/>
      <c r="D102" s="80" t="s">
        <v>435</v>
      </c>
      <c r="E102" s="81"/>
      <c r="F102" s="82">
        <v>120</v>
      </c>
      <c r="G102" s="83" t="s">
        <v>66</v>
      </c>
      <c r="H102" s="82">
        <v>100</v>
      </c>
      <c r="I102" s="27">
        <f t="shared" si="3"/>
        <v>12000</v>
      </c>
      <c r="J102" s="28"/>
      <c r="K102" s="29">
        <v>218.8</v>
      </c>
      <c r="L102" s="30"/>
      <c r="M102" s="31">
        <f t="shared" si="4"/>
        <v>0</v>
      </c>
      <c r="N102" s="31">
        <f t="shared" si="5"/>
        <v>218.8</v>
      </c>
      <c r="O102" s="25"/>
      <c r="P102" s="22">
        <v>45152</v>
      </c>
      <c r="Q102" s="25"/>
      <c r="R102" s="26" t="s">
        <v>441</v>
      </c>
      <c r="S102" s="21"/>
      <c r="T102" s="32" t="s">
        <v>28</v>
      </c>
      <c r="U102" s="21"/>
    </row>
    <row r="103" spans="1:21" ht="20.100000000000001" customHeight="1" x14ac:dyDescent="0.3">
      <c r="A103" s="44">
        <v>95</v>
      </c>
      <c r="B103" s="22">
        <v>45152</v>
      </c>
      <c r="C103" s="79"/>
      <c r="D103" s="80" t="s">
        <v>347</v>
      </c>
      <c r="E103" s="81"/>
      <c r="F103" s="82">
        <v>8</v>
      </c>
      <c r="G103" s="83" t="s">
        <v>18</v>
      </c>
      <c r="H103" s="82">
        <v>25</v>
      </c>
      <c r="I103" s="27">
        <f t="shared" si="3"/>
        <v>200</v>
      </c>
      <c r="J103" s="28"/>
      <c r="K103" s="29">
        <v>12500</v>
      </c>
      <c r="L103" s="30"/>
      <c r="M103" s="31">
        <f t="shared" si="4"/>
        <v>0</v>
      </c>
      <c r="N103" s="31">
        <f t="shared" si="5"/>
        <v>12500</v>
      </c>
      <c r="O103" s="25"/>
      <c r="P103" s="22">
        <v>45152</v>
      </c>
      <c r="Q103" s="25"/>
      <c r="R103" s="26" t="s">
        <v>442</v>
      </c>
      <c r="S103" s="21"/>
      <c r="T103" s="32" t="s">
        <v>349</v>
      </c>
      <c r="U103" s="21"/>
    </row>
    <row r="104" spans="1:21" ht="20.100000000000001" customHeight="1" x14ac:dyDescent="0.3">
      <c r="A104" s="44">
        <v>96</v>
      </c>
      <c r="B104" s="78">
        <v>45161</v>
      </c>
      <c r="C104" s="79"/>
      <c r="D104" s="80" t="s">
        <v>443</v>
      </c>
      <c r="E104" s="81"/>
      <c r="F104" s="82">
        <v>12</v>
      </c>
      <c r="G104" s="83" t="s">
        <v>56</v>
      </c>
      <c r="H104" s="82">
        <v>5</v>
      </c>
      <c r="I104" s="27">
        <f t="shared" si="3"/>
        <v>60</v>
      </c>
      <c r="J104" s="28"/>
      <c r="K104" s="29">
        <v>1138</v>
      </c>
      <c r="L104" s="30">
        <v>0.18</v>
      </c>
      <c r="M104" s="31">
        <f t="shared" si="4"/>
        <v>204.84</v>
      </c>
      <c r="N104" s="31">
        <f t="shared" si="5"/>
        <v>1342.84</v>
      </c>
      <c r="O104" s="25"/>
      <c r="P104" s="22">
        <v>45162</v>
      </c>
      <c r="Q104" s="25"/>
      <c r="R104" s="61" t="s">
        <v>445</v>
      </c>
      <c r="S104" s="21"/>
      <c r="T104" s="32" t="s">
        <v>315</v>
      </c>
      <c r="U104" s="21"/>
    </row>
    <row r="105" spans="1:21" ht="20.100000000000001" customHeight="1" x14ac:dyDescent="0.3">
      <c r="A105" s="44">
        <v>97</v>
      </c>
      <c r="B105" s="78">
        <v>45161</v>
      </c>
      <c r="C105" s="79"/>
      <c r="D105" s="80" t="s">
        <v>444</v>
      </c>
      <c r="E105" s="81"/>
      <c r="F105" s="82">
        <v>4</v>
      </c>
      <c r="G105" s="83" t="s">
        <v>109</v>
      </c>
      <c r="H105" s="82">
        <v>50</v>
      </c>
      <c r="I105" s="27">
        <f t="shared" si="3"/>
        <v>200</v>
      </c>
      <c r="J105" s="28"/>
      <c r="K105" s="29">
        <v>3188</v>
      </c>
      <c r="L105" s="30"/>
      <c r="M105" s="31">
        <f t="shared" si="4"/>
        <v>0</v>
      </c>
      <c r="N105" s="31">
        <f t="shared" si="5"/>
        <v>3188</v>
      </c>
      <c r="O105" s="25"/>
      <c r="P105" s="22">
        <v>45162</v>
      </c>
      <c r="Q105" s="25"/>
      <c r="R105" s="61" t="s">
        <v>445</v>
      </c>
      <c r="S105" s="21"/>
      <c r="T105" s="32" t="s">
        <v>315</v>
      </c>
      <c r="U105" s="21"/>
    </row>
    <row r="106" spans="1:21" ht="20.100000000000001" customHeight="1" x14ac:dyDescent="0.3">
      <c r="A106" s="44">
        <v>98</v>
      </c>
      <c r="B106" s="78">
        <v>45161</v>
      </c>
      <c r="C106" s="79"/>
      <c r="D106" s="80" t="s">
        <v>446</v>
      </c>
      <c r="E106" s="81"/>
      <c r="F106" s="82">
        <v>12</v>
      </c>
      <c r="G106" s="83" t="s">
        <v>56</v>
      </c>
      <c r="H106" s="82">
        <v>5</v>
      </c>
      <c r="I106" s="27">
        <f t="shared" si="3"/>
        <v>60</v>
      </c>
      <c r="J106" s="28"/>
      <c r="K106" s="29">
        <v>1095</v>
      </c>
      <c r="L106" s="30"/>
      <c r="M106" s="31">
        <f t="shared" si="4"/>
        <v>0</v>
      </c>
      <c r="N106" s="31">
        <f t="shared" si="5"/>
        <v>1095</v>
      </c>
      <c r="O106" s="25"/>
      <c r="P106" s="22">
        <v>45162</v>
      </c>
      <c r="Q106" s="25"/>
      <c r="R106" s="61" t="s">
        <v>448</v>
      </c>
      <c r="S106" s="21"/>
      <c r="T106" s="32" t="s">
        <v>372</v>
      </c>
      <c r="U106" s="21"/>
    </row>
    <row r="107" spans="1:21" ht="20.100000000000001" customHeight="1" x14ac:dyDescent="0.3">
      <c r="A107" s="44">
        <v>99</v>
      </c>
      <c r="B107" s="78">
        <v>45161</v>
      </c>
      <c r="C107" s="79"/>
      <c r="D107" s="80" t="s">
        <v>447</v>
      </c>
      <c r="E107" s="81"/>
      <c r="F107" s="82">
        <v>20</v>
      </c>
      <c r="G107" s="83" t="s">
        <v>56</v>
      </c>
      <c r="H107" s="82">
        <v>5</v>
      </c>
      <c r="I107" s="27">
        <f t="shared" si="3"/>
        <v>100</v>
      </c>
      <c r="J107" s="28"/>
      <c r="K107" s="29">
        <v>692</v>
      </c>
      <c r="L107" s="30"/>
      <c r="M107" s="31">
        <f t="shared" si="4"/>
        <v>0</v>
      </c>
      <c r="N107" s="31">
        <f t="shared" si="5"/>
        <v>692</v>
      </c>
      <c r="O107" s="25"/>
      <c r="P107" s="22">
        <v>45162</v>
      </c>
      <c r="Q107" s="25"/>
      <c r="R107" s="61" t="s">
        <v>448</v>
      </c>
      <c r="S107" s="21"/>
      <c r="T107" s="32" t="s">
        <v>372</v>
      </c>
      <c r="U107" s="21"/>
    </row>
    <row r="108" spans="1:21" ht="20.100000000000001" customHeight="1" x14ac:dyDescent="0.3">
      <c r="A108" s="44">
        <v>100</v>
      </c>
      <c r="B108" s="78">
        <v>45161</v>
      </c>
      <c r="C108" s="79"/>
      <c r="D108" s="80" t="s">
        <v>407</v>
      </c>
      <c r="E108" s="81"/>
      <c r="F108" s="82">
        <v>22</v>
      </c>
      <c r="G108" s="83" t="s">
        <v>51</v>
      </c>
      <c r="H108" s="82">
        <v>1000</v>
      </c>
      <c r="I108" s="27">
        <f t="shared" si="3"/>
        <v>22000</v>
      </c>
      <c r="J108" s="28"/>
      <c r="K108" s="29">
        <v>3255</v>
      </c>
      <c r="L108" s="30">
        <v>0.05</v>
      </c>
      <c r="M108" s="31">
        <f t="shared" si="4"/>
        <v>162.75</v>
      </c>
      <c r="N108" s="31">
        <f t="shared" si="5"/>
        <v>3417.75</v>
      </c>
      <c r="O108" s="25"/>
      <c r="P108" s="22">
        <v>45162</v>
      </c>
      <c r="Q108" s="25"/>
      <c r="R108" s="61" t="s">
        <v>451</v>
      </c>
      <c r="S108" s="21"/>
      <c r="T108" s="32" t="s">
        <v>309</v>
      </c>
      <c r="U108" s="21"/>
    </row>
    <row r="109" spans="1:21" ht="20.100000000000001" customHeight="1" x14ac:dyDescent="0.3">
      <c r="A109" s="44">
        <v>101</v>
      </c>
      <c r="B109" s="78">
        <v>45161</v>
      </c>
      <c r="C109" s="79"/>
      <c r="D109" s="80" t="s">
        <v>449</v>
      </c>
      <c r="E109" s="81"/>
      <c r="F109" s="82">
        <v>8</v>
      </c>
      <c r="G109" s="83" t="s">
        <v>51</v>
      </c>
      <c r="H109" s="82">
        <v>1000</v>
      </c>
      <c r="I109" s="27">
        <f t="shared" si="3"/>
        <v>8000</v>
      </c>
      <c r="J109" s="28"/>
      <c r="K109" s="29">
        <v>2237</v>
      </c>
      <c r="L109" s="30">
        <v>0.05</v>
      </c>
      <c r="M109" s="31">
        <f t="shared" si="4"/>
        <v>111.85000000000001</v>
      </c>
      <c r="N109" s="31">
        <f t="shared" si="5"/>
        <v>2348.85</v>
      </c>
      <c r="O109" s="25"/>
      <c r="P109" s="22">
        <v>45162</v>
      </c>
      <c r="Q109" s="25"/>
      <c r="R109" s="61" t="s">
        <v>451</v>
      </c>
      <c r="S109" s="21"/>
      <c r="T109" s="32" t="s">
        <v>309</v>
      </c>
      <c r="U109" s="21"/>
    </row>
    <row r="110" spans="1:21" ht="20.100000000000001" customHeight="1" x14ac:dyDescent="0.3">
      <c r="A110" s="44">
        <v>102</v>
      </c>
      <c r="B110" s="78">
        <v>45161</v>
      </c>
      <c r="C110" s="79"/>
      <c r="D110" s="80" t="s">
        <v>277</v>
      </c>
      <c r="E110" s="81"/>
      <c r="F110" s="82">
        <v>28</v>
      </c>
      <c r="G110" s="83" t="s">
        <v>51</v>
      </c>
      <c r="H110" s="82">
        <v>1000</v>
      </c>
      <c r="I110" s="27">
        <f t="shared" si="3"/>
        <v>28000</v>
      </c>
      <c r="J110" s="28"/>
      <c r="K110" s="29">
        <v>1575</v>
      </c>
      <c r="L110" s="30">
        <v>0.05</v>
      </c>
      <c r="M110" s="31">
        <f t="shared" si="4"/>
        <v>78.75</v>
      </c>
      <c r="N110" s="31">
        <f t="shared" si="5"/>
        <v>1653.75</v>
      </c>
      <c r="O110" s="25"/>
      <c r="P110" s="22">
        <v>45162</v>
      </c>
      <c r="Q110" s="25"/>
      <c r="R110" s="61" t="s">
        <v>451</v>
      </c>
      <c r="S110" s="21"/>
      <c r="T110" s="32" t="s">
        <v>309</v>
      </c>
      <c r="U110" s="21"/>
    </row>
    <row r="111" spans="1:21" ht="20.100000000000001" customHeight="1" x14ac:dyDescent="0.3">
      <c r="A111" s="44">
        <v>103</v>
      </c>
      <c r="B111" s="78">
        <v>45161</v>
      </c>
      <c r="C111" s="79"/>
      <c r="D111" s="80" t="s">
        <v>450</v>
      </c>
      <c r="E111" s="81"/>
      <c r="F111" s="82">
        <v>22</v>
      </c>
      <c r="G111" s="83" t="s">
        <v>51</v>
      </c>
      <c r="H111" s="82">
        <v>1000</v>
      </c>
      <c r="I111" s="27">
        <f t="shared" si="3"/>
        <v>22000</v>
      </c>
      <c r="J111" s="28"/>
      <c r="K111" s="29">
        <v>5250</v>
      </c>
      <c r="L111" s="30">
        <v>0.05</v>
      </c>
      <c r="M111" s="31">
        <f t="shared" si="4"/>
        <v>262.5</v>
      </c>
      <c r="N111" s="31">
        <f t="shared" si="5"/>
        <v>5512.5</v>
      </c>
      <c r="O111" s="25"/>
      <c r="P111" s="22">
        <v>45162</v>
      </c>
      <c r="Q111" s="25"/>
      <c r="R111" s="61" t="s">
        <v>451</v>
      </c>
      <c r="S111" s="21"/>
      <c r="T111" s="32" t="s">
        <v>309</v>
      </c>
      <c r="U111" s="21"/>
    </row>
    <row r="112" spans="1:21" ht="20.100000000000001" customHeight="1" x14ac:dyDescent="0.3">
      <c r="A112" s="44">
        <v>104</v>
      </c>
      <c r="B112" s="78">
        <v>45161</v>
      </c>
      <c r="C112" s="79"/>
      <c r="D112" s="80" t="s">
        <v>452</v>
      </c>
      <c r="E112" s="81"/>
      <c r="F112" s="82">
        <v>60</v>
      </c>
      <c r="G112" s="83" t="s">
        <v>230</v>
      </c>
      <c r="H112" s="82">
        <v>10</v>
      </c>
      <c r="I112" s="27">
        <f t="shared" si="3"/>
        <v>600</v>
      </c>
      <c r="J112" s="28"/>
      <c r="K112" s="29">
        <v>700</v>
      </c>
      <c r="L112" s="30"/>
      <c r="M112" s="31">
        <f t="shared" si="4"/>
        <v>0</v>
      </c>
      <c r="N112" s="31">
        <f t="shared" si="5"/>
        <v>700</v>
      </c>
      <c r="O112" s="25"/>
      <c r="P112" s="22">
        <v>45162</v>
      </c>
      <c r="Q112" s="25"/>
      <c r="R112" s="26" t="s">
        <v>453</v>
      </c>
      <c r="S112" s="21"/>
      <c r="T112" s="32" t="s">
        <v>454</v>
      </c>
      <c r="U112" s="21"/>
    </row>
    <row r="113" spans="1:21" ht="20.100000000000001" customHeight="1" x14ac:dyDescent="0.3">
      <c r="A113" s="44">
        <v>105</v>
      </c>
      <c r="B113" s="78">
        <v>45161</v>
      </c>
      <c r="C113" s="79"/>
      <c r="D113" s="80" t="s">
        <v>393</v>
      </c>
      <c r="E113" s="81"/>
      <c r="F113" s="82">
        <v>100</v>
      </c>
      <c r="G113" s="83" t="s">
        <v>56</v>
      </c>
      <c r="H113" s="82">
        <v>1</v>
      </c>
      <c r="I113" s="27">
        <f t="shared" si="3"/>
        <v>100</v>
      </c>
      <c r="J113" s="28"/>
      <c r="K113" s="29">
        <v>924</v>
      </c>
      <c r="L113" s="30">
        <v>0.12</v>
      </c>
      <c r="M113" s="31">
        <f t="shared" si="4"/>
        <v>110.88</v>
      </c>
      <c r="N113" s="31">
        <f t="shared" si="5"/>
        <v>1034.8800000000001</v>
      </c>
      <c r="O113" s="25"/>
      <c r="P113" s="22">
        <v>45162</v>
      </c>
      <c r="Q113" s="25"/>
      <c r="R113" s="61" t="s">
        <v>455</v>
      </c>
      <c r="S113" s="21"/>
      <c r="T113" s="32" t="s">
        <v>28</v>
      </c>
      <c r="U113" s="21"/>
    </row>
    <row r="114" spans="1:21" ht="20.100000000000001" customHeight="1" x14ac:dyDescent="0.3">
      <c r="A114" s="44">
        <v>106</v>
      </c>
      <c r="B114" s="78">
        <v>45161</v>
      </c>
      <c r="C114" s="79"/>
      <c r="D114" s="80" t="s">
        <v>243</v>
      </c>
      <c r="E114" s="81"/>
      <c r="F114" s="82">
        <v>22</v>
      </c>
      <c r="G114" s="83" t="s">
        <v>51</v>
      </c>
      <c r="H114" s="82">
        <v>1000</v>
      </c>
      <c r="I114" s="27">
        <f t="shared" si="3"/>
        <v>22000</v>
      </c>
      <c r="J114" s="28"/>
      <c r="K114" s="29">
        <v>2435.25</v>
      </c>
      <c r="L114" s="30">
        <v>0.05</v>
      </c>
      <c r="M114" s="31">
        <f t="shared" si="4"/>
        <v>121.7625</v>
      </c>
      <c r="N114" s="31">
        <f t="shared" si="5"/>
        <v>2557.0124999999998</v>
      </c>
      <c r="O114" s="25"/>
      <c r="P114" s="22">
        <v>45162</v>
      </c>
      <c r="Q114" s="25"/>
      <c r="R114" s="61" t="s">
        <v>456</v>
      </c>
      <c r="S114" s="21"/>
      <c r="T114" s="32" t="s">
        <v>124</v>
      </c>
      <c r="U114" s="21"/>
    </row>
    <row r="115" spans="1:21" ht="20.100000000000001" customHeight="1" x14ac:dyDescent="0.3">
      <c r="A115" s="44">
        <v>107</v>
      </c>
      <c r="B115" s="78">
        <v>45161</v>
      </c>
      <c r="C115" s="79"/>
      <c r="D115" s="80" t="s">
        <v>345</v>
      </c>
      <c r="E115" s="81"/>
      <c r="F115" s="82">
        <v>60</v>
      </c>
      <c r="G115" s="83" t="s">
        <v>51</v>
      </c>
      <c r="H115" s="82">
        <v>2500</v>
      </c>
      <c r="I115" s="27">
        <f t="shared" si="3"/>
        <v>150000</v>
      </c>
      <c r="J115" s="28"/>
      <c r="K115" s="29">
        <v>550</v>
      </c>
      <c r="L115" s="30">
        <v>0.05</v>
      </c>
      <c r="M115" s="31">
        <f t="shared" si="4"/>
        <v>27.5</v>
      </c>
      <c r="N115" s="31">
        <f t="shared" si="5"/>
        <v>577.5</v>
      </c>
      <c r="O115" s="25"/>
      <c r="P115" s="22">
        <v>45162</v>
      </c>
      <c r="Q115" s="25"/>
      <c r="R115" s="26" t="s">
        <v>457</v>
      </c>
      <c r="S115" s="21"/>
      <c r="T115" s="32" t="s">
        <v>49</v>
      </c>
      <c r="U115" s="21"/>
    </row>
    <row r="116" spans="1:21" ht="20.100000000000001" customHeight="1" x14ac:dyDescent="0.3">
      <c r="A116" s="44">
        <v>108</v>
      </c>
      <c r="B116" s="78">
        <v>45162</v>
      </c>
      <c r="C116" s="79"/>
      <c r="D116" s="80" t="s">
        <v>417</v>
      </c>
      <c r="E116" s="81"/>
      <c r="F116" s="82">
        <v>20</v>
      </c>
      <c r="G116" s="83" t="s">
        <v>18</v>
      </c>
      <c r="H116" s="82">
        <v>25</v>
      </c>
      <c r="I116" s="27">
        <f t="shared" si="3"/>
        <v>500</v>
      </c>
      <c r="J116" s="28"/>
      <c r="K116" s="29">
        <v>1775</v>
      </c>
      <c r="L116" s="30"/>
      <c r="M116" s="31">
        <f t="shared" si="4"/>
        <v>0</v>
      </c>
      <c r="N116" s="31">
        <f t="shared" si="5"/>
        <v>1775</v>
      </c>
      <c r="O116" s="25"/>
      <c r="P116" s="22">
        <v>45163</v>
      </c>
      <c r="Q116" s="25"/>
      <c r="R116" s="26" t="s">
        <v>458</v>
      </c>
      <c r="S116" s="21"/>
      <c r="T116" s="32" t="s">
        <v>28</v>
      </c>
      <c r="U116" s="21"/>
    </row>
    <row r="117" spans="1:21" ht="20.100000000000001" customHeight="1" x14ac:dyDescent="0.3">
      <c r="A117" s="44">
        <v>109</v>
      </c>
      <c r="B117" s="78">
        <v>45162</v>
      </c>
      <c r="C117" s="79"/>
      <c r="D117" s="80" t="s">
        <v>340</v>
      </c>
      <c r="E117" s="81"/>
      <c r="F117" s="82">
        <v>12</v>
      </c>
      <c r="G117" s="83" t="s">
        <v>18</v>
      </c>
      <c r="H117" s="82">
        <v>25</v>
      </c>
      <c r="I117" s="27">
        <f t="shared" si="3"/>
        <v>300</v>
      </c>
      <c r="J117" s="28"/>
      <c r="K117" s="29">
        <v>3200</v>
      </c>
      <c r="L117" s="30">
        <v>0.12</v>
      </c>
      <c r="M117" s="31">
        <f t="shared" si="4"/>
        <v>384</v>
      </c>
      <c r="N117" s="31">
        <f t="shared" si="5"/>
        <v>3584</v>
      </c>
      <c r="O117" s="25"/>
      <c r="P117" s="22">
        <v>45163</v>
      </c>
      <c r="Q117" s="25"/>
      <c r="R117" s="26" t="s">
        <v>459</v>
      </c>
      <c r="S117" s="21"/>
      <c r="T117" s="32" t="s">
        <v>166</v>
      </c>
      <c r="U117" s="21"/>
    </row>
    <row r="118" spans="1:21" ht="20.100000000000001" customHeight="1" x14ac:dyDescent="0.3">
      <c r="A118" s="44">
        <v>110</v>
      </c>
      <c r="B118" s="78">
        <v>45162</v>
      </c>
      <c r="C118" s="79"/>
      <c r="D118" s="80" t="s">
        <v>334</v>
      </c>
      <c r="E118" s="81"/>
      <c r="F118" s="82">
        <v>20</v>
      </c>
      <c r="G118" s="83" t="s">
        <v>18</v>
      </c>
      <c r="H118" s="82">
        <v>10</v>
      </c>
      <c r="I118" s="27">
        <f t="shared" si="3"/>
        <v>200</v>
      </c>
      <c r="J118" s="28"/>
      <c r="K118" s="29">
        <v>7050</v>
      </c>
      <c r="L118" s="30"/>
      <c r="M118" s="31">
        <f t="shared" si="4"/>
        <v>0</v>
      </c>
      <c r="N118" s="31">
        <f t="shared" si="5"/>
        <v>7050</v>
      </c>
      <c r="O118" s="25"/>
      <c r="P118" s="22">
        <v>45163</v>
      </c>
      <c r="Q118" s="25"/>
      <c r="R118" s="26" t="s">
        <v>460</v>
      </c>
      <c r="S118" s="21"/>
      <c r="T118" s="32" t="s">
        <v>101</v>
      </c>
      <c r="U118" s="21"/>
    </row>
    <row r="119" spans="1:21" ht="20.100000000000001" customHeight="1" x14ac:dyDescent="0.3">
      <c r="A119" s="44">
        <v>111</v>
      </c>
      <c r="B119" s="78">
        <v>45167</v>
      </c>
      <c r="C119" s="79"/>
      <c r="D119" s="80" t="s">
        <v>461</v>
      </c>
      <c r="E119" s="81"/>
      <c r="F119" s="82">
        <v>20</v>
      </c>
      <c r="G119" s="83" t="s">
        <v>56</v>
      </c>
      <c r="H119" s="82">
        <v>5</v>
      </c>
      <c r="I119" s="27">
        <f t="shared" si="3"/>
        <v>100</v>
      </c>
      <c r="J119" s="28"/>
      <c r="K119" s="91">
        <v>2350</v>
      </c>
      <c r="L119" s="92">
        <v>0.18</v>
      </c>
      <c r="M119" s="31">
        <f t="shared" si="4"/>
        <v>423</v>
      </c>
      <c r="N119" s="31">
        <f t="shared" si="5"/>
        <v>2773</v>
      </c>
      <c r="O119" s="25"/>
      <c r="P119" s="22">
        <v>45168</v>
      </c>
      <c r="Q119" s="25"/>
      <c r="R119" s="26" t="s">
        <v>462</v>
      </c>
      <c r="S119" s="21"/>
      <c r="T119" s="32" t="s">
        <v>28</v>
      </c>
      <c r="U119" s="21"/>
    </row>
    <row r="120" spans="1:21" ht="20.100000000000001" customHeight="1" x14ac:dyDescent="0.3">
      <c r="A120" s="44">
        <v>112</v>
      </c>
      <c r="B120" s="78">
        <v>45167</v>
      </c>
      <c r="C120" s="79"/>
      <c r="D120" s="80" t="s">
        <v>393</v>
      </c>
      <c r="E120" s="81"/>
      <c r="F120" s="82">
        <v>100</v>
      </c>
      <c r="G120" s="83" t="s">
        <v>56</v>
      </c>
      <c r="H120" s="82">
        <v>1</v>
      </c>
      <c r="I120" s="27">
        <f t="shared" si="3"/>
        <v>100</v>
      </c>
      <c r="J120" s="28"/>
      <c r="K120" s="91">
        <v>924</v>
      </c>
      <c r="L120" s="92">
        <v>0.12</v>
      </c>
      <c r="M120" s="31">
        <f t="shared" si="4"/>
        <v>110.88</v>
      </c>
      <c r="N120" s="31">
        <f t="shared" si="5"/>
        <v>1034.8800000000001</v>
      </c>
      <c r="O120" s="25"/>
      <c r="P120" s="22">
        <v>45168</v>
      </c>
      <c r="Q120" s="25"/>
      <c r="R120" s="26" t="s">
        <v>462</v>
      </c>
      <c r="S120" s="21"/>
      <c r="T120" s="32" t="s">
        <v>28</v>
      </c>
      <c r="U120" s="21"/>
    </row>
    <row r="121" spans="1:21" ht="20.100000000000001" customHeight="1" x14ac:dyDescent="0.3">
      <c r="A121" s="44">
        <v>113</v>
      </c>
      <c r="B121" s="78" t="s">
        <v>189</v>
      </c>
      <c r="C121" s="79"/>
      <c r="D121" s="80" t="s">
        <v>342</v>
      </c>
      <c r="E121" s="81"/>
      <c r="F121" s="63">
        <v>30</v>
      </c>
      <c r="G121" s="83" t="s">
        <v>18</v>
      </c>
      <c r="H121" s="82">
        <v>25</v>
      </c>
      <c r="I121" s="27">
        <f t="shared" si="3"/>
        <v>750</v>
      </c>
      <c r="J121" s="28"/>
      <c r="K121" s="29">
        <v>13250</v>
      </c>
      <c r="L121" s="30"/>
      <c r="M121" s="31">
        <f t="shared" si="4"/>
        <v>0</v>
      </c>
      <c r="N121" s="31">
        <f t="shared" si="5"/>
        <v>13250</v>
      </c>
      <c r="O121" s="25"/>
      <c r="P121" s="22">
        <v>45168</v>
      </c>
      <c r="Q121" s="25"/>
      <c r="R121" s="26" t="s">
        <v>463</v>
      </c>
      <c r="S121" s="21"/>
      <c r="T121" s="32" t="s">
        <v>464</v>
      </c>
      <c r="U121" s="21"/>
    </row>
    <row r="122" spans="1:21" ht="20.100000000000001" customHeight="1" x14ac:dyDescent="0.3">
      <c r="A122" s="44">
        <v>114</v>
      </c>
      <c r="B122" s="22">
        <v>45176</v>
      </c>
      <c r="C122" s="79"/>
      <c r="D122" s="80" t="s">
        <v>422</v>
      </c>
      <c r="E122" s="81"/>
      <c r="F122" s="82">
        <v>4</v>
      </c>
      <c r="G122" s="83" t="s">
        <v>18</v>
      </c>
      <c r="H122" s="82">
        <v>25</v>
      </c>
      <c r="I122" s="27">
        <f t="shared" si="3"/>
        <v>100</v>
      </c>
      <c r="J122" s="28"/>
      <c r="K122" s="29">
        <v>19750</v>
      </c>
      <c r="L122" s="30"/>
      <c r="M122" s="31">
        <f t="shared" si="4"/>
        <v>0</v>
      </c>
      <c r="N122" s="31">
        <f t="shared" si="5"/>
        <v>19750</v>
      </c>
      <c r="O122" s="25"/>
      <c r="P122" s="22">
        <v>45176</v>
      </c>
      <c r="Q122" s="25"/>
      <c r="R122" s="26" t="s">
        <v>465</v>
      </c>
      <c r="S122" s="21"/>
      <c r="T122" s="32" t="s">
        <v>424</v>
      </c>
      <c r="U122" s="21"/>
    </row>
    <row r="123" spans="1:21" ht="20.100000000000001" customHeight="1" x14ac:dyDescent="0.3">
      <c r="A123" s="44">
        <v>115</v>
      </c>
      <c r="B123" s="22">
        <v>45176</v>
      </c>
      <c r="C123" s="79"/>
      <c r="D123" s="80" t="s">
        <v>296</v>
      </c>
      <c r="E123" s="81"/>
      <c r="F123" s="82">
        <v>20</v>
      </c>
      <c r="G123" s="83" t="s">
        <v>18</v>
      </c>
      <c r="H123" s="82">
        <v>25</v>
      </c>
      <c r="I123" s="27">
        <f t="shared" si="3"/>
        <v>500</v>
      </c>
      <c r="J123" s="28"/>
      <c r="K123" s="29">
        <v>1750</v>
      </c>
      <c r="L123" s="30"/>
      <c r="M123" s="31">
        <f t="shared" si="4"/>
        <v>0</v>
      </c>
      <c r="N123" s="31">
        <f t="shared" si="5"/>
        <v>1750</v>
      </c>
      <c r="O123" s="25"/>
      <c r="P123" s="22">
        <v>45176</v>
      </c>
      <c r="Q123" s="25"/>
      <c r="R123" s="26" t="s">
        <v>466</v>
      </c>
      <c r="S123" s="21"/>
      <c r="T123" s="32" t="s">
        <v>28</v>
      </c>
      <c r="U123" s="21"/>
    </row>
    <row r="124" spans="1:21" ht="20.100000000000001" customHeight="1" x14ac:dyDescent="0.3">
      <c r="A124" s="44">
        <v>116</v>
      </c>
      <c r="B124" s="22">
        <v>45176</v>
      </c>
      <c r="C124" s="79"/>
      <c r="D124" s="80" t="s">
        <v>409</v>
      </c>
      <c r="E124" s="81"/>
      <c r="F124" s="82">
        <v>10</v>
      </c>
      <c r="G124" s="83" t="s">
        <v>18</v>
      </c>
      <c r="H124" s="82">
        <v>25</v>
      </c>
      <c r="I124" s="93">
        <v>250</v>
      </c>
      <c r="J124" s="28"/>
      <c r="K124" s="29">
        <v>6050</v>
      </c>
      <c r="L124" s="30"/>
      <c r="M124" s="31">
        <f t="shared" si="4"/>
        <v>0</v>
      </c>
      <c r="N124" s="31">
        <f t="shared" si="5"/>
        <v>6050</v>
      </c>
      <c r="O124" s="25"/>
      <c r="P124" s="22">
        <v>45176</v>
      </c>
      <c r="Q124" s="25"/>
      <c r="R124" s="26" t="s">
        <v>467</v>
      </c>
      <c r="S124" s="21"/>
      <c r="T124" s="32" t="s">
        <v>349</v>
      </c>
      <c r="U124" s="21"/>
    </row>
    <row r="125" spans="1:21" ht="20.100000000000001" customHeight="1" x14ac:dyDescent="0.3">
      <c r="A125" s="44">
        <v>117</v>
      </c>
      <c r="B125" s="22">
        <v>45176</v>
      </c>
      <c r="C125" s="79"/>
      <c r="D125" s="80" t="s">
        <v>373</v>
      </c>
      <c r="E125" s="81"/>
      <c r="F125" s="82">
        <v>8</v>
      </c>
      <c r="G125" s="83" t="s">
        <v>18</v>
      </c>
      <c r="H125" s="82">
        <v>25</v>
      </c>
      <c r="I125" s="27">
        <f t="shared" si="3"/>
        <v>200</v>
      </c>
      <c r="J125" s="28"/>
      <c r="K125" s="29">
        <v>25000</v>
      </c>
      <c r="L125" s="30"/>
      <c r="M125" s="31">
        <f t="shared" si="4"/>
        <v>0</v>
      </c>
      <c r="N125" s="31">
        <f t="shared" si="5"/>
        <v>25000</v>
      </c>
      <c r="O125" s="25"/>
      <c r="P125" s="22">
        <v>45177</v>
      </c>
      <c r="Q125" s="25"/>
      <c r="R125" s="26" t="s">
        <v>468</v>
      </c>
      <c r="S125" s="21"/>
      <c r="T125" s="32" t="s">
        <v>375</v>
      </c>
      <c r="U125" s="21"/>
    </row>
    <row r="126" spans="1:21" ht="20.100000000000001" customHeight="1" x14ac:dyDescent="0.3">
      <c r="A126" s="44">
        <v>118</v>
      </c>
      <c r="B126" s="78" t="s">
        <v>189</v>
      </c>
      <c r="C126" s="79"/>
      <c r="D126" s="80" t="s">
        <v>469</v>
      </c>
      <c r="E126" s="81"/>
      <c r="F126" s="82">
        <v>10</v>
      </c>
      <c r="G126" s="83" t="s">
        <v>18</v>
      </c>
      <c r="H126" s="82">
        <v>25</v>
      </c>
      <c r="I126" s="27">
        <f t="shared" si="3"/>
        <v>250</v>
      </c>
      <c r="J126" s="28"/>
      <c r="K126" s="29">
        <v>4661</v>
      </c>
      <c r="L126" s="30">
        <v>0.18</v>
      </c>
      <c r="M126" s="31">
        <f t="shared" si="4"/>
        <v>838.98</v>
      </c>
      <c r="N126" s="31">
        <f t="shared" si="5"/>
        <v>5499.98</v>
      </c>
      <c r="O126" s="25"/>
      <c r="P126" s="22">
        <v>45181</v>
      </c>
      <c r="Q126" s="25"/>
      <c r="R126" s="26" t="s">
        <v>470</v>
      </c>
      <c r="S126" s="21"/>
      <c r="T126" s="32" t="s">
        <v>375</v>
      </c>
      <c r="U126" s="21"/>
    </row>
    <row r="127" spans="1:21" ht="20.100000000000001" customHeight="1" x14ac:dyDescent="0.3">
      <c r="A127" s="44">
        <v>119</v>
      </c>
      <c r="B127" s="78" t="s">
        <v>189</v>
      </c>
      <c r="C127" s="79"/>
      <c r="D127" s="80" t="s">
        <v>284</v>
      </c>
      <c r="E127" s="81"/>
      <c r="F127" s="82">
        <v>10</v>
      </c>
      <c r="G127" s="83" t="s">
        <v>18</v>
      </c>
      <c r="H127" s="82">
        <v>25</v>
      </c>
      <c r="I127" s="27">
        <f t="shared" si="3"/>
        <v>250</v>
      </c>
      <c r="J127" s="28"/>
      <c r="K127" s="29">
        <v>3347.5</v>
      </c>
      <c r="L127" s="30">
        <v>0.18</v>
      </c>
      <c r="M127" s="31">
        <f t="shared" si="4"/>
        <v>602.54999999999995</v>
      </c>
      <c r="N127" s="31">
        <f t="shared" si="5"/>
        <v>3950.05</v>
      </c>
      <c r="O127" s="25"/>
      <c r="P127" s="22">
        <v>45181</v>
      </c>
      <c r="Q127" s="25"/>
      <c r="R127" s="26" t="s">
        <v>470</v>
      </c>
      <c r="S127" s="21"/>
      <c r="T127" s="32" t="s">
        <v>375</v>
      </c>
      <c r="U127" s="21"/>
    </row>
    <row r="128" spans="1:21" ht="20.100000000000001" customHeight="1" x14ac:dyDescent="0.3">
      <c r="A128" s="44">
        <v>120</v>
      </c>
      <c r="B128" s="78">
        <v>45182</v>
      </c>
      <c r="C128" s="79"/>
      <c r="D128" s="80" t="s">
        <v>321</v>
      </c>
      <c r="E128" s="81"/>
      <c r="F128" s="82">
        <v>40</v>
      </c>
      <c r="G128" s="83" t="s">
        <v>18</v>
      </c>
      <c r="H128" s="82">
        <v>1</v>
      </c>
      <c r="I128" s="27">
        <f t="shared" si="3"/>
        <v>40</v>
      </c>
      <c r="J128" s="28"/>
      <c r="K128" s="29">
        <v>3500</v>
      </c>
      <c r="L128" s="30"/>
      <c r="M128" s="31">
        <f t="shared" si="4"/>
        <v>0</v>
      </c>
      <c r="N128" s="31">
        <f t="shared" si="5"/>
        <v>3500</v>
      </c>
      <c r="O128" s="25"/>
      <c r="P128" s="22">
        <v>45183</v>
      </c>
      <c r="Q128" s="25"/>
      <c r="R128" s="26" t="s">
        <v>471</v>
      </c>
      <c r="S128" s="21"/>
      <c r="T128" s="32" t="s">
        <v>323</v>
      </c>
      <c r="U128" s="21"/>
    </row>
    <row r="129" spans="1:21" ht="20.100000000000001" customHeight="1" x14ac:dyDescent="0.3">
      <c r="A129" s="44">
        <v>121</v>
      </c>
      <c r="B129" s="78">
        <v>45184</v>
      </c>
      <c r="C129" s="79"/>
      <c r="D129" s="80" t="s">
        <v>291</v>
      </c>
      <c r="E129" s="81"/>
      <c r="F129" s="82">
        <v>25</v>
      </c>
      <c r="G129" s="83" t="s">
        <v>18</v>
      </c>
      <c r="H129" s="82">
        <v>20</v>
      </c>
      <c r="I129" s="27">
        <f t="shared" si="3"/>
        <v>500</v>
      </c>
      <c r="J129" s="28"/>
      <c r="K129" s="29">
        <v>3000</v>
      </c>
      <c r="L129" s="30"/>
      <c r="M129" s="31">
        <f t="shared" si="4"/>
        <v>0</v>
      </c>
      <c r="N129" s="31">
        <f t="shared" si="5"/>
        <v>3000</v>
      </c>
      <c r="O129" s="25"/>
      <c r="P129" s="22">
        <v>45184</v>
      </c>
      <c r="Q129" s="25"/>
      <c r="R129" s="26" t="s">
        <v>472</v>
      </c>
      <c r="S129" s="21"/>
      <c r="T129" s="32" t="s">
        <v>312</v>
      </c>
      <c r="U129" s="21"/>
    </row>
    <row r="130" spans="1:21" ht="20.100000000000001" customHeight="1" x14ac:dyDescent="0.3">
      <c r="A130" s="44">
        <v>122</v>
      </c>
      <c r="B130" s="78">
        <v>45188</v>
      </c>
      <c r="C130" s="79"/>
      <c r="D130" s="80" t="s">
        <v>380</v>
      </c>
      <c r="E130" s="81"/>
      <c r="F130" s="82">
        <v>504</v>
      </c>
      <c r="G130" s="83" t="s">
        <v>18</v>
      </c>
      <c r="H130" s="82">
        <v>1</v>
      </c>
      <c r="I130" s="27">
        <f t="shared" si="3"/>
        <v>504</v>
      </c>
      <c r="J130" s="28"/>
      <c r="K130" s="29">
        <v>600</v>
      </c>
      <c r="L130" s="30"/>
      <c r="M130" s="31">
        <f t="shared" si="4"/>
        <v>0</v>
      </c>
      <c r="N130" s="31">
        <f t="shared" si="5"/>
        <v>600</v>
      </c>
      <c r="O130" s="25"/>
      <c r="P130" s="78">
        <v>45188</v>
      </c>
      <c r="Q130" s="81"/>
      <c r="R130" s="26" t="s">
        <v>474</v>
      </c>
      <c r="S130" s="94"/>
      <c r="T130" s="95" t="s">
        <v>28</v>
      </c>
      <c r="U130" s="21"/>
    </row>
    <row r="131" spans="1:21" ht="20.100000000000001" customHeight="1" x14ac:dyDescent="0.3">
      <c r="A131" s="44">
        <v>123</v>
      </c>
      <c r="B131" s="78">
        <v>45188</v>
      </c>
      <c r="C131" s="79"/>
      <c r="D131" s="80" t="s">
        <v>475</v>
      </c>
      <c r="E131" s="81"/>
      <c r="F131" s="82">
        <v>20</v>
      </c>
      <c r="G131" s="83" t="s">
        <v>18</v>
      </c>
      <c r="H131" s="82">
        <v>25</v>
      </c>
      <c r="I131" s="27">
        <f t="shared" si="3"/>
        <v>500</v>
      </c>
      <c r="J131" s="28"/>
      <c r="K131" s="29">
        <v>3200</v>
      </c>
      <c r="L131" s="30"/>
      <c r="M131" s="31">
        <f t="shared" si="4"/>
        <v>0</v>
      </c>
      <c r="N131" s="31">
        <f t="shared" si="5"/>
        <v>3200</v>
      </c>
      <c r="O131" s="25"/>
      <c r="P131" s="78">
        <v>45188</v>
      </c>
      <c r="Q131" s="25"/>
      <c r="R131" s="26" t="s">
        <v>476</v>
      </c>
      <c r="S131" s="21"/>
      <c r="T131" s="32" t="s">
        <v>234</v>
      </c>
      <c r="U131" s="21"/>
    </row>
    <row r="132" spans="1:21" ht="20.100000000000001" customHeight="1" x14ac:dyDescent="0.3">
      <c r="A132" s="44">
        <v>124</v>
      </c>
      <c r="B132" s="78">
        <v>45194</v>
      </c>
      <c r="C132" s="79"/>
      <c r="D132" s="80" t="s">
        <v>340</v>
      </c>
      <c r="E132" s="81"/>
      <c r="F132" s="82">
        <v>12</v>
      </c>
      <c r="G132" s="83" t="s">
        <v>18</v>
      </c>
      <c r="H132" s="82">
        <v>25</v>
      </c>
      <c r="I132" s="27">
        <f t="shared" si="3"/>
        <v>300</v>
      </c>
      <c r="J132" s="28"/>
      <c r="K132" s="29">
        <v>3200</v>
      </c>
      <c r="L132" s="30">
        <v>0.12</v>
      </c>
      <c r="M132" s="31">
        <f t="shared" si="4"/>
        <v>384</v>
      </c>
      <c r="N132" s="31">
        <f t="shared" si="5"/>
        <v>3584</v>
      </c>
      <c r="O132" s="25"/>
      <c r="P132" s="22">
        <v>45194</v>
      </c>
      <c r="Q132" s="25"/>
      <c r="R132" s="26" t="s">
        <v>477</v>
      </c>
      <c r="S132" s="21"/>
      <c r="T132" s="32" t="s">
        <v>166</v>
      </c>
      <c r="U132" s="21"/>
    </row>
    <row r="133" spans="1:21" ht="20.100000000000001" customHeight="1" x14ac:dyDescent="0.3">
      <c r="A133" s="44">
        <v>125</v>
      </c>
      <c r="B133" s="78">
        <v>45194</v>
      </c>
      <c r="C133" s="79"/>
      <c r="D133" s="80" t="s">
        <v>380</v>
      </c>
      <c r="E133" s="81"/>
      <c r="F133" s="82">
        <v>500</v>
      </c>
      <c r="G133" s="83" t="s">
        <v>18</v>
      </c>
      <c r="H133" s="82">
        <v>1</v>
      </c>
      <c r="I133" s="27">
        <f t="shared" si="3"/>
        <v>500</v>
      </c>
      <c r="J133" s="28"/>
      <c r="K133" s="29">
        <v>135</v>
      </c>
      <c r="L133" s="30"/>
      <c r="M133" s="31">
        <f t="shared" si="4"/>
        <v>0</v>
      </c>
      <c r="N133" s="31">
        <f t="shared" si="5"/>
        <v>135</v>
      </c>
      <c r="O133" s="25"/>
      <c r="P133" s="22">
        <v>45194</v>
      </c>
      <c r="Q133" s="25"/>
      <c r="R133" s="26" t="s">
        <v>478</v>
      </c>
      <c r="S133" s="21"/>
      <c r="T133" s="32" t="s">
        <v>28</v>
      </c>
      <c r="U133" s="21"/>
    </row>
    <row r="134" spans="1:21" ht="20.100000000000001" customHeight="1" x14ac:dyDescent="0.3">
      <c r="A134" s="44">
        <v>126</v>
      </c>
      <c r="B134" s="78">
        <v>45196</v>
      </c>
      <c r="C134" s="79"/>
      <c r="D134" s="80" t="s">
        <v>473</v>
      </c>
      <c r="E134" s="81"/>
      <c r="F134" s="82">
        <v>30</v>
      </c>
      <c r="G134" s="83" t="s">
        <v>18</v>
      </c>
      <c r="H134" s="82">
        <v>10</v>
      </c>
      <c r="I134" s="27">
        <f t="shared" si="3"/>
        <v>300</v>
      </c>
      <c r="J134" s="28"/>
      <c r="K134" s="29">
        <v>7050</v>
      </c>
      <c r="L134" s="30"/>
      <c r="M134" s="31">
        <f t="shared" si="4"/>
        <v>0</v>
      </c>
      <c r="N134" s="31">
        <f t="shared" si="5"/>
        <v>7050</v>
      </c>
      <c r="O134" s="25"/>
      <c r="P134" s="22">
        <v>45198</v>
      </c>
      <c r="Q134" s="25"/>
      <c r="R134" s="63" t="s">
        <v>479</v>
      </c>
      <c r="S134" s="21"/>
      <c r="T134" s="32" t="s">
        <v>101</v>
      </c>
      <c r="U134" s="21"/>
    </row>
    <row r="135" spans="1:21" ht="20.100000000000001" customHeight="1" x14ac:dyDescent="0.3">
      <c r="A135" s="44">
        <v>127</v>
      </c>
      <c r="B135" s="78">
        <v>45196</v>
      </c>
      <c r="C135" s="79"/>
      <c r="D135" s="80" t="s">
        <v>337</v>
      </c>
      <c r="E135" s="81"/>
      <c r="F135" s="82">
        <v>20</v>
      </c>
      <c r="G135" s="83" t="s">
        <v>18</v>
      </c>
      <c r="H135" s="82">
        <v>25</v>
      </c>
      <c r="I135" s="27">
        <f t="shared" si="3"/>
        <v>500</v>
      </c>
      <c r="J135" s="28"/>
      <c r="K135" s="29">
        <v>1250</v>
      </c>
      <c r="L135" s="30"/>
      <c r="M135" s="31">
        <f t="shared" si="4"/>
        <v>0</v>
      </c>
      <c r="N135" s="31">
        <f t="shared" si="5"/>
        <v>1250</v>
      </c>
      <c r="O135" s="25"/>
      <c r="P135" s="22">
        <v>45198</v>
      </c>
      <c r="Q135" s="25"/>
      <c r="R135" s="82" t="s">
        <v>480</v>
      </c>
      <c r="S135" s="21"/>
      <c r="T135" s="32" t="s">
        <v>338</v>
      </c>
      <c r="U135" s="21"/>
    </row>
    <row r="136" spans="1:21" ht="20.100000000000001" customHeight="1" x14ac:dyDescent="0.3">
      <c r="A136" s="44">
        <v>128</v>
      </c>
      <c r="B136" s="78">
        <v>45196</v>
      </c>
      <c r="C136" s="79"/>
      <c r="D136" s="80" t="s">
        <v>481</v>
      </c>
      <c r="E136" s="81"/>
      <c r="F136" s="82">
        <v>50</v>
      </c>
      <c r="G136" s="83" t="s">
        <v>18</v>
      </c>
      <c r="H136" s="82">
        <v>20</v>
      </c>
      <c r="I136" s="27">
        <f t="shared" si="3"/>
        <v>1000</v>
      </c>
      <c r="J136" s="28"/>
      <c r="K136" s="29">
        <v>1800</v>
      </c>
      <c r="L136" s="30"/>
      <c r="M136" s="31">
        <f t="shared" si="4"/>
        <v>0</v>
      </c>
      <c r="N136" s="31">
        <f t="shared" si="5"/>
        <v>1800</v>
      </c>
      <c r="O136" s="25"/>
      <c r="P136" s="22">
        <v>45198</v>
      </c>
      <c r="Q136" s="25"/>
      <c r="R136" s="82" t="s">
        <v>482</v>
      </c>
      <c r="S136" s="21"/>
      <c r="T136" s="32" t="s">
        <v>421</v>
      </c>
      <c r="U136" s="21"/>
    </row>
    <row r="137" spans="1:21" ht="20.100000000000001" customHeight="1" x14ac:dyDescent="0.3">
      <c r="A137" s="44">
        <v>129</v>
      </c>
      <c r="B137" s="78">
        <v>45196</v>
      </c>
      <c r="C137" s="79"/>
      <c r="D137" s="80" t="s">
        <v>330</v>
      </c>
      <c r="E137" s="81"/>
      <c r="F137" s="82">
        <v>15</v>
      </c>
      <c r="G137" s="83" t="s">
        <v>18</v>
      </c>
      <c r="H137" s="82">
        <v>10</v>
      </c>
      <c r="I137" s="27">
        <f t="shared" ref="I137:I200" si="6">F137*H137</f>
        <v>150</v>
      </c>
      <c r="J137" s="28"/>
      <c r="K137" s="29">
        <v>4000</v>
      </c>
      <c r="L137" s="30"/>
      <c r="M137" s="31">
        <f t="shared" ref="M137:M200" si="7">K137*L137</f>
        <v>0</v>
      </c>
      <c r="N137" s="31">
        <f t="shared" ref="N137:N200" si="8">K137+M137</f>
        <v>4000</v>
      </c>
      <c r="O137" s="25"/>
      <c r="P137" s="22">
        <v>45198</v>
      </c>
      <c r="Q137" s="25"/>
      <c r="R137" s="82" t="s">
        <v>483</v>
      </c>
      <c r="S137" s="21"/>
      <c r="T137" s="32" t="s">
        <v>332</v>
      </c>
      <c r="U137" s="21"/>
    </row>
    <row r="138" spans="1:21" ht="20.100000000000001" customHeight="1" x14ac:dyDescent="0.3">
      <c r="A138" s="44">
        <v>130</v>
      </c>
      <c r="B138" s="78">
        <v>45196</v>
      </c>
      <c r="C138" s="79"/>
      <c r="D138" s="80" t="s">
        <v>552</v>
      </c>
      <c r="E138" s="81"/>
      <c r="F138" s="82">
        <v>12</v>
      </c>
      <c r="G138" s="83" t="s">
        <v>18</v>
      </c>
      <c r="H138" s="82">
        <v>25</v>
      </c>
      <c r="I138" s="27">
        <f t="shared" si="6"/>
        <v>300</v>
      </c>
      <c r="J138" s="28"/>
      <c r="K138" s="29">
        <v>16875</v>
      </c>
      <c r="L138" s="30"/>
      <c r="M138" s="31">
        <f t="shared" si="7"/>
        <v>0</v>
      </c>
      <c r="N138" s="31">
        <f t="shared" si="8"/>
        <v>16875</v>
      </c>
      <c r="O138" s="25"/>
      <c r="P138" s="22">
        <v>45198</v>
      </c>
      <c r="Q138" s="25"/>
      <c r="R138" s="82" t="s">
        <v>484</v>
      </c>
      <c r="S138" s="21"/>
      <c r="T138" s="32" t="s">
        <v>323</v>
      </c>
      <c r="U138" s="21"/>
    </row>
    <row r="139" spans="1:21" ht="20.100000000000001" customHeight="1" x14ac:dyDescent="0.3">
      <c r="A139" s="44">
        <v>131</v>
      </c>
      <c r="B139" s="78">
        <v>45203</v>
      </c>
      <c r="C139" s="79"/>
      <c r="D139" s="80" t="s">
        <v>485</v>
      </c>
      <c r="E139" s="81"/>
      <c r="F139" s="82">
        <v>34</v>
      </c>
      <c r="G139" s="83" t="s">
        <v>18</v>
      </c>
      <c r="H139" s="82">
        <v>30</v>
      </c>
      <c r="I139" s="27">
        <f t="shared" si="6"/>
        <v>1020</v>
      </c>
      <c r="J139" s="28"/>
      <c r="K139" s="29">
        <v>1957</v>
      </c>
      <c r="L139" s="30"/>
      <c r="M139" s="31">
        <f t="shared" si="7"/>
        <v>0</v>
      </c>
      <c r="N139" s="31">
        <f t="shared" si="8"/>
        <v>1957</v>
      </c>
      <c r="O139" s="25"/>
      <c r="P139" s="22">
        <v>45204</v>
      </c>
      <c r="Q139" s="25"/>
      <c r="R139" s="82" t="s">
        <v>486</v>
      </c>
      <c r="S139" s="21"/>
      <c r="T139" s="32" t="s">
        <v>372</v>
      </c>
      <c r="U139" s="21"/>
    </row>
    <row r="140" spans="1:21" ht="20.100000000000001" customHeight="1" x14ac:dyDescent="0.3">
      <c r="A140" s="44">
        <v>132</v>
      </c>
      <c r="B140" s="78">
        <v>45203</v>
      </c>
      <c r="C140" s="79"/>
      <c r="D140" s="80" t="s">
        <v>487</v>
      </c>
      <c r="E140" s="81"/>
      <c r="F140" s="82">
        <v>20</v>
      </c>
      <c r="G140" s="83" t="s">
        <v>56</v>
      </c>
      <c r="H140" s="82">
        <v>5</v>
      </c>
      <c r="I140" s="27">
        <f t="shared" si="6"/>
        <v>100</v>
      </c>
      <c r="J140" s="28"/>
      <c r="K140" s="29">
        <v>495</v>
      </c>
      <c r="L140" s="30"/>
      <c r="M140" s="31">
        <f t="shared" si="7"/>
        <v>0</v>
      </c>
      <c r="N140" s="31">
        <f t="shared" si="8"/>
        <v>495</v>
      </c>
      <c r="O140" s="25"/>
      <c r="P140" s="22">
        <v>45204</v>
      </c>
      <c r="Q140" s="25"/>
      <c r="R140" s="82" t="s">
        <v>489</v>
      </c>
      <c r="S140" s="21"/>
      <c r="T140" s="32" t="s">
        <v>28</v>
      </c>
      <c r="U140" s="21"/>
    </row>
    <row r="141" spans="1:21" ht="20.100000000000001" customHeight="1" x14ac:dyDescent="0.3">
      <c r="A141" s="44">
        <v>133</v>
      </c>
      <c r="B141" s="78">
        <v>45203</v>
      </c>
      <c r="C141" s="79"/>
      <c r="D141" s="80" t="s">
        <v>394</v>
      </c>
      <c r="E141" s="81"/>
      <c r="F141" s="82">
        <v>100</v>
      </c>
      <c r="G141" s="83" t="s">
        <v>230</v>
      </c>
      <c r="H141" s="82">
        <v>100</v>
      </c>
      <c r="I141" s="27">
        <f t="shared" si="6"/>
        <v>10000</v>
      </c>
      <c r="J141" s="28"/>
      <c r="K141" s="29">
        <v>225</v>
      </c>
      <c r="L141" s="30">
        <v>0.12</v>
      </c>
      <c r="M141" s="31">
        <f t="shared" si="7"/>
        <v>27</v>
      </c>
      <c r="N141" s="31">
        <f t="shared" si="8"/>
        <v>252</v>
      </c>
      <c r="O141" s="25"/>
      <c r="P141" s="22">
        <v>45204</v>
      </c>
      <c r="Q141" s="25"/>
      <c r="R141" s="82" t="s">
        <v>489</v>
      </c>
      <c r="S141" s="21"/>
      <c r="T141" s="32" t="s">
        <v>28</v>
      </c>
      <c r="U141" s="21"/>
    </row>
    <row r="142" spans="1:21" ht="20.100000000000001" customHeight="1" x14ac:dyDescent="0.3">
      <c r="A142" s="44">
        <v>134</v>
      </c>
      <c r="B142" s="78">
        <v>45203</v>
      </c>
      <c r="C142" s="79"/>
      <c r="D142" s="80" t="s">
        <v>488</v>
      </c>
      <c r="E142" s="81"/>
      <c r="F142" s="82">
        <v>100</v>
      </c>
      <c r="G142" s="83" t="s">
        <v>230</v>
      </c>
      <c r="H142" s="82">
        <v>100</v>
      </c>
      <c r="I142" s="27">
        <f t="shared" si="6"/>
        <v>10000</v>
      </c>
      <c r="J142" s="28"/>
      <c r="K142" s="29">
        <v>319.24</v>
      </c>
      <c r="L142" s="30">
        <v>0.12</v>
      </c>
      <c r="M142" s="31">
        <f t="shared" si="7"/>
        <v>38.308799999999998</v>
      </c>
      <c r="N142" s="31">
        <f t="shared" si="8"/>
        <v>357.54880000000003</v>
      </c>
      <c r="O142" s="25"/>
      <c r="P142" s="22">
        <v>45204</v>
      </c>
      <c r="Q142" s="25"/>
      <c r="R142" s="82" t="s">
        <v>489</v>
      </c>
      <c r="S142" s="21"/>
      <c r="T142" s="32" t="s">
        <v>28</v>
      </c>
      <c r="U142" s="21"/>
    </row>
    <row r="143" spans="1:21" ht="20.100000000000001" customHeight="1" x14ac:dyDescent="0.3">
      <c r="A143" s="44">
        <v>135</v>
      </c>
      <c r="B143" s="78">
        <v>45203</v>
      </c>
      <c r="C143" s="79"/>
      <c r="D143" s="80" t="s">
        <v>400</v>
      </c>
      <c r="E143" s="81"/>
      <c r="F143" s="82">
        <v>500</v>
      </c>
      <c r="G143" s="83" t="s">
        <v>230</v>
      </c>
      <c r="H143" s="82">
        <v>1</v>
      </c>
      <c r="I143" s="27">
        <f t="shared" si="6"/>
        <v>500</v>
      </c>
      <c r="J143" s="28"/>
      <c r="K143" s="29">
        <v>75</v>
      </c>
      <c r="L143" s="30">
        <v>0.12</v>
      </c>
      <c r="M143" s="31">
        <f t="shared" si="7"/>
        <v>9</v>
      </c>
      <c r="N143" s="31">
        <f t="shared" si="8"/>
        <v>84</v>
      </c>
      <c r="O143" s="25"/>
      <c r="P143" s="22">
        <v>45204</v>
      </c>
      <c r="Q143" s="25"/>
      <c r="R143" s="82" t="s">
        <v>490</v>
      </c>
      <c r="S143" s="21"/>
      <c r="T143" s="32" t="s">
        <v>329</v>
      </c>
      <c r="U143" s="21"/>
    </row>
    <row r="144" spans="1:21" ht="20.100000000000001" customHeight="1" x14ac:dyDescent="0.3">
      <c r="A144" s="44">
        <v>136</v>
      </c>
      <c r="B144" s="78">
        <v>45203</v>
      </c>
      <c r="C144" s="79"/>
      <c r="D144" s="80" t="s">
        <v>345</v>
      </c>
      <c r="E144" s="81"/>
      <c r="F144" s="82">
        <v>60</v>
      </c>
      <c r="G144" s="83" t="s">
        <v>51</v>
      </c>
      <c r="H144" s="82">
        <v>2500</v>
      </c>
      <c r="I144" s="27">
        <f t="shared" si="6"/>
        <v>150000</v>
      </c>
      <c r="J144" s="28"/>
      <c r="K144" s="29">
        <v>550</v>
      </c>
      <c r="L144" s="30">
        <v>0.05</v>
      </c>
      <c r="M144" s="31">
        <f t="shared" si="7"/>
        <v>27.5</v>
      </c>
      <c r="N144" s="31">
        <f t="shared" si="8"/>
        <v>577.5</v>
      </c>
      <c r="O144" s="25"/>
      <c r="P144" s="22">
        <v>45204</v>
      </c>
      <c r="Q144" s="25"/>
      <c r="R144" s="82" t="s">
        <v>491</v>
      </c>
      <c r="S144" s="21"/>
      <c r="T144" s="32" t="s">
        <v>49</v>
      </c>
      <c r="U144" s="21"/>
    </row>
    <row r="145" spans="1:21" ht="20.100000000000001" customHeight="1" x14ac:dyDescent="0.3">
      <c r="A145" s="44">
        <v>137</v>
      </c>
      <c r="B145" s="78">
        <v>45203</v>
      </c>
      <c r="C145" s="79"/>
      <c r="D145" s="80" t="s">
        <v>402</v>
      </c>
      <c r="E145" s="81"/>
      <c r="F145" s="82">
        <v>100</v>
      </c>
      <c r="G145" s="83" t="s">
        <v>18</v>
      </c>
      <c r="H145" s="82">
        <v>1</v>
      </c>
      <c r="I145" s="27">
        <f t="shared" si="6"/>
        <v>100</v>
      </c>
      <c r="J145" s="28"/>
      <c r="K145" s="29">
        <v>720</v>
      </c>
      <c r="L145" s="30"/>
      <c r="M145" s="31">
        <f t="shared" si="7"/>
        <v>0</v>
      </c>
      <c r="N145" s="31">
        <f t="shared" si="8"/>
        <v>720</v>
      </c>
      <c r="O145" s="25"/>
      <c r="P145" s="22">
        <v>45204</v>
      </c>
      <c r="Q145" s="25"/>
      <c r="R145" s="82" t="s">
        <v>492</v>
      </c>
      <c r="S145" s="21"/>
      <c r="T145" s="32" t="s">
        <v>404</v>
      </c>
      <c r="U145" s="21"/>
    </row>
    <row r="146" spans="1:21" ht="20.100000000000001" customHeight="1" x14ac:dyDescent="0.3">
      <c r="A146" s="44">
        <v>138</v>
      </c>
      <c r="B146" s="78">
        <v>45210</v>
      </c>
      <c r="C146" s="79"/>
      <c r="D146" s="80" t="s">
        <v>493</v>
      </c>
      <c r="E146" s="81"/>
      <c r="F146" s="82">
        <v>20</v>
      </c>
      <c r="G146" s="83" t="s">
        <v>18</v>
      </c>
      <c r="H146" s="82">
        <v>25</v>
      </c>
      <c r="I146" s="27">
        <f t="shared" si="6"/>
        <v>500</v>
      </c>
      <c r="J146" s="28"/>
      <c r="K146" s="29">
        <v>8000</v>
      </c>
      <c r="L146" s="30"/>
      <c r="M146" s="31">
        <f t="shared" si="7"/>
        <v>0</v>
      </c>
      <c r="N146" s="31">
        <f t="shared" si="8"/>
        <v>8000</v>
      </c>
      <c r="O146" s="25"/>
      <c r="P146" s="22">
        <v>45211</v>
      </c>
      <c r="Q146" s="25"/>
      <c r="R146" s="82" t="s">
        <v>494</v>
      </c>
      <c r="S146" s="21"/>
      <c r="T146" s="32" t="s">
        <v>495</v>
      </c>
      <c r="U146" s="21"/>
    </row>
    <row r="147" spans="1:21" ht="20.100000000000001" customHeight="1" x14ac:dyDescent="0.3">
      <c r="A147" s="44">
        <v>139</v>
      </c>
      <c r="B147" s="78">
        <v>45214</v>
      </c>
      <c r="C147" s="79"/>
      <c r="D147" s="80" t="s">
        <v>368</v>
      </c>
      <c r="E147" s="81"/>
      <c r="F147" s="82">
        <v>200</v>
      </c>
      <c r="G147" s="83" t="s">
        <v>230</v>
      </c>
      <c r="H147" s="82">
        <v>50</v>
      </c>
      <c r="I147" s="27">
        <f t="shared" si="6"/>
        <v>10000</v>
      </c>
      <c r="J147" s="28"/>
      <c r="K147" s="29">
        <v>116</v>
      </c>
      <c r="L147" s="30">
        <v>0.05</v>
      </c>
      <c r="M147" s="31">
        <f t="shared" si="7"/>
        <v>5.8000000000000007</v>
      </c>
      <c r="N147" s="31">
        <f t="shared" si="8"/>
        <v>121.8</v>
      </c>
      <c r="O147" s="25"/>
      <c r="P147" s="22">
        <v>45216</v>
      </c>
      <c r="Q147" s="25"/>
      <c r="R147" s="82" t="s">
        <v>496</v>
      </c>
      <c r="S147" s="21"/>
      <c r="T147" s="32" t="s">
        <v>117</v>
      </c>
      <c r="U147" s="21"/>
    </row>
    <row r="148" spans="1:21" ht="20.100000000000001" customHeight="1" x14ac:dyDescent="0.3">
      <c r="A148" s="44">
        <v>140</v>
      </c>
      <c r="B148" s="78" t="s">
        <v>189</v>
      </c>
      <c r="C148" s="79"/>
      <c r="D148" s="80" t="s">
        <v>497</v>
      </c>
      <c r="E148" s="81"/>
      <c r="F148" s="82">
        <v>40</v>
      </c>
      <c r="G148" s="83" t="s">
        <v>18</v>
      </c>
      <c r="H148" s="82">
        <v>50</v>
      </c>
      <c r="I148" s="27">
        <f t="shared" si="6"/>
        <v>2000</v>
      </c>
      <c r="J148" s="28"/>
      <c r="K148" s="29">
        <v>2203.4</v>
      </c>
      <c r="L148" s="30">
        <v>0.18</v>
      </c>
      <c r="M148" s="31">
        <f t="shared" si="7"/>
        <v>396.61200000000002</v>
      </c>
      <c r="N148" s="31">
        <f t="shared" si="8"/>
        <v>2600.0120000000002</v>
      </c>
      <c r="O148" s="25"/>
      <c r="P148" s="22">
        <v>45218</v>
      </c>
      <c r="Q148" s="25"/>
      <c r="R148" s="82" t="s">
        <v>498</v>
      </c>
      <c r="S148" s="21"/>
      <c r="T148" s="32" t="s">
        <v>375</v>
      </c>
      <c r="U148" s="21"/>
    </row>
    <row r="149" spans="1:21" ht="20.100000000000001" customHeight="1" x14ac:dyDescent="0.3">
      <c r="A149" s="44">
        <v>141</v>
      </c>
      <c r="B149" s="78">
        <v>45220</v>
      </c>
      <c r="C149" s="79"/>
      <c r="D149" s="80" t="s">
        <v>291</v>
      </c>
      <c r="E149" s="81"/>
      <c r="F149" s="82">
        <v>25</v>
      </c>
      <c r="G149" s="83" t="s">
        <v>18</v>
      </c>
      <c r="H149" s="82">
        <v>20</v>
      </c>
      <c r="I149" s="27">
        <f t="shared" si="6"/>
        <v>500</v>
      </c>
      <c r="J149" s="28"/>
      <c r="K149" s="29">
        <v>3000</v>
      </c>
      <c r="L149" s="30"/>
      <c r="M149" s="31">
        <f t="shared" si="7"/>
        <v>0</v>
      </c>
      <c r="N149" s="31">
        <f t="shared" si="8"/>
        <v>3000</v>
      </c>
      <c r="O149" s="25"/>
      <c r="P149" s="22">
        <v>45224</v>
      </c>
      <c r="Q149" s="25"/>
      <c r="R149" s="82" t="s">
        <v>499</v>
      </c>
      <c r="S149" s="21"/>
      <c r="T149" s="32" t="s">
        <v>312</v>
      </c>
      <c r="U149" s="21"/>
    </row>
    <row r="150" spans="1:21" ht="20.100000000000001" customHeight="1" x14ac:dyDescent="0.3">
      <c r="A150" s="44">
        <v>142</v>
      </c>
      <c r="B150" s="78">
        <v>45220</v>
      </c>
      <c r="C150" s="79"/>
      <c r="D150" s="80" t="s">
        <v>500</v>
      </c>
      <c r="E150" s="81"/>
      <c r="F150" s="82">
        <v>8</v>
      </c>
      <c r="G150" s="83" t="s">
        <v>18</v>
      </c>
      <c r="H150" s="82">
        <v>25</v>
      </c>
      <c r="I150" s="27">
        <f t="shared" si="6"/>
        <v>200</v>
      </c>
      <c r="J150" s="28"/>
      <c r="K150" s="29">
        <v>6000</v>
      </c>
      <c r="L150" s="30"/>
      <c r="M150" s="31">
        <f t="shared" si="7"/>
        <v>0</v>
      </c>
      <c r="N150" s="31">
        <f t="shared" si="8"/>
        <v>6000</v>
      </c>
      <c r="O150" s="25"/>
      <c r="P150" s="22">
        <v>45224</v>
      </c>
      <c r="Q150" s="25"/>
      <c r="R150" s="82" t="s">
        <v>502</v>
      </c>
      <c r="S150" s="21"/>
      <c r="T150" s="32" t="s">
        <v>28</v>
      </c>
      <c r="U150" s="21"/>
    </row>
    <row r="151" spans="1:21" ht="20.100000000000001" customHeight="1" x14ac:dyDescent="0.3">
      <c r="A151" s="44">
        <v>143</v>
      </c>
      <c r="B151" s="78">
        <v>45220</v>
      </c>
      <c r="C151" s="79"/>
      <c r="D151" s="80" t="s">
        <v>501</v>
      </c>
      <c r="E151" s="81"/>
      <c r="F151" s="82">
        <v>300</v>
      </c>
      <c r="G151" s="83" t="s">
        <v>18</v>
      </c>
      <c r="H151" s="82">
        <v>1</v>
      </c>
      <c r="I151" s="27">
        <f t="shared" si="6"/>
        <v>300</v>
      </c>
      <c r="J151" s="28"/>
      <c r="K151" s="29">
        <v>600</v>
      </c>
      <c r="L151" s="30"/>
      <c r="M151" s="31">
        <f t="shared" si="7"/>
        <v>0</v>
      </c>
      <c r="N151" s="31">
        <f t="shared" si="8"/>
        <v>600</v>
      </c>
      <c r="O151" s="25"/>
      <c r="P151" s="22">
        <v>45224</v>
      </c>
      <c r="Q151" s="25"/>
      <c r="R151" s="82" t="s">
        <v>502</v>
      </c>
      <c r="S151" s="21"/>
      <c r="T151" s="32" t="s">
        <v>28</v>
      </c>
      <c r="U151" s="21"/>
    </row>
    <row r="152" spans="1:21" ht="20.100000000000001" customHeight="1" x14ac:dyDescent="0.3">
      <c r="A152" s="44">
        <v>144</v>
      </c>
      <c r="B152" s="78">
        <v>45231</v>
      </c>
      <c r="C152" s="79"/>
      <c r="D152" s="80" t="s">
        <v>303</v>
      </c>
      <c r="E152" s="81"/>
      <c r="F152" s="82">
        <v>20</v>
      </c>
      <c r="G152" s="83" t="s">
        <v>18</v>
      </c>
      <c r="H152" s="82">
        <v>25</v>
      </c>
      <c r="I152" s="27">
        <f t="shared" si="6"/>
        <v>500</v>
      </c>
      <c r="J152" s="28"/>
      <c r="K152" s="29">
        <v>14250</v>
      </c>
      <c r="L152" s="30"/>
      <c r="M152" s="31">
        <f t="shared" si="7"/>
        <v>0</v>
      </c>
      <c r="N152" s="31">
        <f t="shared" si="8"/>
        <v>14250</v>
      </c>
      <c r="O152" s="25"/>
      <c r="P152" s="78">
        <v>45231</v>
      </c>
      <c r="Q152" s="25"/>
      <c r="R152" s="82" t="s">
        <v>503</v>
      </c>
      <c r="S152" s="21"/>
      <c r="T152" s="32" t="s">
        <v>45</v>
      </c>
      <c r="U152" s="21"/>
    </row>
    <row r="153" spans="1:21" ht="20.100000000000001" customHeight="1" x14ac:dyDescent="0.3">
      <c r="A153" s="44">
        <v>145</v>
      </c>
      <c r="B153" s="78">
        <v>45231</v>
      </c>
      <c r="C153" s="79"/>
      <c r="D153" s="80" t="s">
        <v>235</v>
      </c>
      <c r="E153" s="81"/>
      <c r="F153" s="82">
        <v>20</v>
      </c>
      <c r="G153" s="83" t="s">
        <v>18</v>
      </c>
      <c r="H153" s="82">
        <v>25</v>
      </c>
      <c r="I153" s="27">
        <f t="shared" si="6"/>
        <v>500</v>
      </c>
      <c r="J153" s="28"/>
      <c r="K153" s="29">
        <v>3200</v>
      </c>
      <c r="L153" s="30"/>
      <c r="M153" s="31">
        <f t="shared" si="7"/>
        <v>0</v>
      </c>
      <c r="N153" s="31">
        <f t="shared" si="8"/>
        <v>3200</v>
      </c>
      <c r="O153" s="25"/>
      <c r="P153" s="78">
        <v>45231</v>
      </c>
      <c r="Q153" s="25"/>
      <c r="R153" s="82" t="s">
        <v>504</v>
      </c>
      <c r="S153" s="21"/>
      <c r="T153" s="32" t="s">
        <v>234</v>
      </c>
      <c r="U153" s="21"/>
    </row>
    <row r="154" spans="1:21" ht="20.100000000000001" customHeight="1" x14ac:dyDescent="0.3">
      <c r="A154" s="44">
        <v>146</v>
      </c>
      <c r="B154" s="78">
        <v>45224</v>
      </c>
      <c r="C154" s="79"/>
      <c r="D154" s="80" t="s">
        <v>505</v>
      </c>
      <c r="E154" s="81"/>
      <c r="F154" s="82">
        <v>50</v>
      </c>
      <c r="G154" s="83" t="s">
        <v>18</v>
      </c>
      <c r="H154" s="82">
        <v>10</v>
      </c>
      <c r="I154" s="27">
        <f t="shared" si="6"/>
        <v>500</v>
      </c>
      <c r="J154" s="28"/>
      <c r="K154" s="29">
        <v>5300</v>
      </c>
      <c r="L154" s="30"/>
      <c r="M154" s="31">
        <f t="shared" si="7"/>
        <v>0</v>
      </c>
      <c r="N154" s="31">
        <f t="shared" si="8"/>
        <v>5300</v>
      </c>
      <c r="O154" s="25"/>
      <c r="P154" s="22">
        <v>45239</v>
      </c>
      <c r="Q154" s="25"/>
      <c r="R154" s="82" t="s">
        <v>506</v>
      </c>
      <c r="S154" s="21"/>
      <c r="T154" s="32" t="s">
        <v>312</v>
      </c>
      <c r="U154" s="21"/>
    </row>
    <row r="155" spans="1:21" ht="20.100000000000001" customHeight="1" x14ac:dyDescent="0.3">
      <c r="A155" s="44">
        <v>147</v>
      </c>
      <c r="B155" s="84">
        <v>45244</v>
      </c>
      <c r="C155" s="79"/>
      <c r="D155" s="80" t="s">
        <v>507</v>
      </c>
      <c r="E155" s="81"/>
      <c r="F155" s="82">
        <v>20</v>
      </c>
      <c r="G155" s="83" t="s">
        <v>56</v>
      </c>
      <c r="H155" s="82">
        <v>5</v>
      </c>
      <c r="I155" s="27">
        <f t="shared" si="6"/>
        <v>100</v>
      </c>
      <c r="J155" s="28"/>
      <c r="K155" s="29">
        <v>1138</v>
      </c>
      <c r="L155" s="30">
        <v>0.18</v>
      </c>
      <c r="M155" s="31">
        <f t="shared" si="7"/>
        <v>204.84</v>
      </c>
      <c r="N155" s="31">
        <f t="shared" si="8"/>
        <v>1342.84</v>
      </c>
      <c r="O155" s="25"/>
      <c r="P155" s="22">
        <v>45244</v>
      </c>
      <c r="Q155" s="25"/>
      <c r="R155" s="82" t="s">
        <v>508</v>
      </c>
      <c r="S155" s="21"/>
      <c r="T155" s="32" t="s">
        <v>315</v>
      </c>
      <c r="U155" s="21"/>
    </row>
    <row r="156" spans="1:21" ht="20.100000000000001" customHeight="1" x14ac:dyDescent="0.3">
      <c r="A156" s="44">
        <v>148</v>
      </c>
      <c r="B156" s="84">
        <v>45244</v>
      </c>
      <c r="C156" s="79"/>
      <c r="D156" s="80" t="s">
        <v>509</v>
      </c>
      <c r="E156" s="81"/>
      <c r="F156" s="82">
        <v>96</v>
      </c>
      <c r="G156" s="83" t="s">
        <v>56</v>
      </c>
      <c r="H156" s="82">
        <v>1</v>
      </c>
      <c r="I156" s="27">
        <f t="shared" si="6"/>
        <v>96</v>
      </c>
      <c r="J156" s="28"/>
      <c r="K156" s="29">
        <v>580</v>
      </c>
      <c r="L156" s="30"/>
      <c r="M156" s="31">
        <f t="shared" si="7"/>
        <v>0</v>
      </c>
      <c r="N156" s="31">
        <f t="shared" si="8"/>
        <v>580</v>
      </c>
      <c r="O156" s="25"/>
      <c r="P156" s="22">
        <v>45244</v>
      </c>
      <c r="Q156" s="25"/>
      <c r="R156" s="82" t="s">
        <v>512</v>
      </c>
      <c r="S156" s="21"/>
      <c r="T156" s="32" t="s">
        <v>28</v>
      </c>
      <c r="U156" s="21"/>
    </row>
    <row r="157" spans="1:21" ht="20.100000000000001" customHeight="1" x14ac:dyDescent="0.3">
      <c r="A157" s="44">
        <v>149</v>
      </c>
      <c r="B157" s="84">
        <v>45244</v>
      </c>
      <c r="C157" s="79"/>
      <c r="D157" s="80" t="s">
        <v>510</v>
      </c>
      <c r="E157" s="81"/>
      <c r="F157" s="82">
        <v>100</v>
      </c>
      <c r="G157" s="83" t="s">
        <v>66</v>
      </c>
      <c r="H157" s="82">
        <v>50</v>
      </c>
      <c r="I157" s="27">
        <f t="shared" si="6"/>
        <v>5000</v>
      </c>
      <c r="J157" s="28"/>
      <c r="K157" s="29">
        <v>71.5</v>
      </c>
      <c r="L157" s="30"/>
      <c r="M157" s="31">
        <f t="shared" si="7"/>
        <v>0</v>
      </c>
      <c r="N157" s="31">
        <f t="shared" si="8"/>
        <v>71.5</v>
      </c>
      <c r="O157" s="25"/>
      <c r="P157" s="22">
        <v>45244</v>
      </c>
      <c r="Q157" s="25"/>
      <c r="R157" s="82" t="s">
        <v>512</v>
      </c>
      <c r="S157" s="21"/>
      <c r="T157" s="32" t="s">
        <v>28</v>
      </c>
      <c r="U157" s="21"/>
    </row>
    <row r="158" spans="1:21" ht="20.100000000000001" customHeight="1" x14ac:dyDescent="0.3">
      <c r="A158" s="44">
        <v>150</v>
      </c>
      <c r="B158" s="84">
        <v>45244</v>
      </c>
      <c r="C158" s="79"/>
      <c r="D158" s="80" t="s">
        <v>511</v>
      </c>
      <c r="E158" s="81"/>
      <c r="F158" s="82">
        <v>80</v>
      </c>
      <c r="G158" s="83" t="s">
        <v>66</v>
      </c>
      <c r="H158" s="82">
        <v>250</v>
      </c>
      <c r="I158" s="27">
        <f t="shared" si="6"/>
        <v>20000</v>
      </c>
      <c r="J158" s="28"/>
      <c r="K158" s="29">
        <v>400</v>
      </c>
      <c r="L158" s="30">
        <v>0.12</v>
      </c>
      <c r="M158" s="31">
        <f t="shared" si="7"/>
        <v>48</v>
      </c>
      <c r="N158" s="31">
        <f t="shared" si="8"/>
        <v>448</v>
      </c>
      <c r="O158" s="25"/>
      <c r="P158" s="22">
        <v>45244</v>
      </c>
      <c r="Q158" s="25"/>
      <c r="R158" s="82" t="s">
        <v>512</v>
      </c>
      <c r="S158" s="21"/>
      <c r="T158" s="32" t="s">
        <v>28</v>
      </c>
      <c r="U158" s="21"/>
    </row>
    <row r="159" spans="1:21" ht="20.100000000000001" customHeight="1" x14ac:dyDescent="0.3">
      <c r="A159" s="44">
        <v>151</v>
      </c>
      <c r="B159" s="84">
        <v>45244</v>
      </c>
      <c r="C159" s="79"/>
      <c r="D159" s="80" t="s">
        <v>513</v>
      </c>
      <c r="E159" s="81"/>
      <c r="F159" s="82">
        <v>30</v>
      </c>
      <c r="G159" s="83" t="s">
        <v>18</v>
      </c>
      <c r="H159" s="82">
        <v>1</v>
      </c>
      <c r="I159" s="27">
        <f t="shared" si="6"/>
        <v>30</v>
      </c>
      <c r="J159" s="28"/>
      <c r="K159" s="29">
        <v>925</v>
      </c>
      <c r="L159" s="30"/>
      <c r="M159" s="31">
        <f t="shared" si="7"/>
        <v>0</v>
      </c>
      <c r="N159" s="31">
        <f t="shared" si="8"/>
        <v>925</v>
      </c>
      <c r="O159" s="25"/>
      <c r="P159" s="22">
        <v>45244</v>
      </c>
      <c r="Q159" s="25"/>
      <c r="R159" s="82" t="s">
        <v>514</v>
      </c>
      <c r="S159" s="21"/>
      <c r="T159" s="32" t="s">
        <v>323</v>
      </c>
      <c r="U159" s="21"/>
    </row>
    <row r="160" spans="1:21" ht="20.100000000000001" customHeight="1" x14ac:dyDescent="0.3">
      <c r="A160" s="44">
        <v>152</v>
      </c>
      <c r="B160" s="84">
        <v>45244</v>
      </c>
      <c r="C160" s="79"/>
      <c r="D160" s="80" t="s">
        <v>515</v>
      </c>
      <c r="E160" s="81"/>
      <c r="F160" s="82">
        <v>46</v>
      </c>
      <c r="G160" s="83" t="s">
        <v>51</v>
      </c>
      <c r="H160" s="82">
        <v>1000</v>
      </c>
      <c r="I160" s="27">
        <f t="shared" si="6"/>
        <v>46000</v>
      </c>
      <c r="J160" s="28"/>
      <c r="K160" s="29">
        <v>1500</v>
      </c>
      <c r="L160" s="30">
        <v>0.05</v>
      </c>
      <c r="M160" s="31">
        <f t="shared" si="7"/>
        <v>75</v>
      </c>
      <c r="N160" s="31">
        <f t="shared" si="8"/>
        <v>1575</v>
      </c>
      <c r="O160" s="25"/>
      <c r="P160" s="22">
        <v>45244</v>
      </c>
      <c r="Q160" s="25"/>
      <c r="R160" s="82" t="s">
        <v>518</v>
      </c>
      <c r="S160" s="21"/>
      <c r="T160" s="32" t="s">
        <v>124</v>
      </c>
      <c r="U160" s="21"/>
    </row>
    <row r="161" spans="1:21" ht="20.100000000000001" customHeight="1" x14ac:dyDescent="0.3">
      <c r="A161" s="44">
        <v>153</v>
      </c>
      <c r="B161" s="84">
        <v>45244</v>
      </c>
      <c r="C161" s="79"/>
      <c r="D161" s="80" t="s">
        <v>516</v>
      </c>
      <c r="E161" s="81"/>
      <c r="F161" s="82">
        <v>14</v>
      </c>
      <c r="G161" s="83" t="s">
        <v>51</v>
      </c>
      <c r="H161" s="82">
        <v>1000</v>
      </c>
      <c r="I161" s="27">
        <f t="shared" si="6"/>
        <v>14000</v>
      </c>
      <c r="J161" s="28"/>
      <c r="K161" s="29">
        <v>926</v>
      </c>
      <c r="L161" s="30">
        <v>0.05</v>
      </c>
      <c r="M161" s="31">
        <f t="shared" si="7"/>
        <v>46.300000000000004</v>
      </c>
      <c r="N161" s="31">
        <f t="shared" si="8"/>
        <v>972.3</v>
      </c>
      <c r="O161" s="25"/>
      <c r="P161" s="22">
        <v>45244</v>
      </c>
      <c r="Q161" s="25"/>
      <c r="R161" s="82" t="s">
        <v>518</v>
      </c>
      <c r="S161" s="21"/>
      <c r="T161" s="32" t="s">
        <v>124</v>
      </c>
      <c r="U161" s="21"/>
    </row>
    <row r="162" spans="1:21" ht="20.100000000000001" customHeight="1" x14ac:dyDescent="0.3">
      <c r="A162" s="44">
        <v>154</v>
      </c>
      <c r="B162" s="84">
        <v>45244</v>
      </c>
      <c r="C162" s="79"/>
      <c r="D162" s="80" t="s">
        <v>517</v>
      </c>
      <c r="E162" s="81"/>
      <c r="F162" s="82">
        <v>77</v>
      </c>
      <c r="G162" s="83" t="s">
        <v>51</v>
      </c>
      <c r="H162" s="82">
        <v>1000</v>
      </c>
      <c r="I162" s="27">
        <f t="shared" si="6"/>
        <v>77000</v>
      </c>
      <c r="J162" s="28"/>
      <c r="K162" s="29">
        <v>2499</v>
      </c>
      <c r="L162" s="30">
        <v>0.05</v>
      </c>
      <c r="M162" s="31">
        <f t="shared" si="7"/>
        <v>124.95</v>
      </c>
      <c r="N162" s="31">
        <f t="shared" si="8"/>
        <v>2623.95</v>
      </c>
      <c r="O162" s="25"/>
      <c r="P162" s="22">
        <v>45244</v>
      </c>
      <c r="Q162" s="25"/>
      <c r="R162" s="82" t="s">
        <v>518</v>
      </c>
      <c r="S162" s="21"/>
      <c r="T162" s="32" t="s">
        <v>124</v>
      </c>
      <c r="U162" s="21"/>
    </row>
    <row r="163" spans="1:21" ht="20.100000000000001" customHeight="1" x14ac:dyDescent="0.3">
      <c r="A163" s="44">
        <v>155</v>
      </c>
      <c r="B163" s="84">
        <v>45244</v>
      </c>
      <c r="C163" s="85"/>
      <c r="D163" s="80" t="s">
        <v>519</v>
      </c>
      <c r="E163" s="81"/>
      <c r="F163" s="82">
        <v>24</v>
      </c>
      <c r="G163" s="83" t="s">
        <v>230</v>
      </c>
      <c r="H163" s="82">
        <v>960</v>
      </c>
      <c r="I163" s="27">
        <f t="shared" si="6"/>
        <v>23040</v>
      </c>
      <c r="J163" s="28"/>
      <c r="K163" s="29">
        <v>9300</v>
      </c>
      <c r="L163" s="30">
        <v>0.12</v>
      </c>
      <c r="M163" s="31">
        <f t="shared" si="7"/>
        <v>1116</v>
      </c>
      <c r="N163" s="31">
        <f t="shared" si="8"/>
        <v>10416</v>
      </c>
      <c r="O163" s="25"/>
      <c r="P163" s="22">
        <v>45244</v>
      </c>
      <c r="Q163" s="25"/>
      <c r="R163" s="82" t="s">
        <v>520</v>
      </c>
      <c r="S163" s="21"/>
      <c r="T163" s="32" t="s">
        <v>326</v>
      </c>
      <c r="U163" s="21"/>
    </row>
    <row r="164" spans="1:21" ht="20.100000000000001" customHeight="1" x14ac:dyDescent="0.3">
      <c r="A164" s="44">
        <v>156</v>
      </c>
      <c r="B164" s="84">
        <v>45244</v>
      </c>
      <c r="C164" s="85"/>
      <c r="D164" s="80" t="s">
        <v>345</v>
      </c>
      <c r="E164" s="81"/>
      <c r="F164" s="82">
        <v>100</v>
      </c>
      <c r="G164" s="83" t="s">
        <v>51</v>
      </c>
      <c r="H164" s="82">
        <v>2500</v>
      </c>
      <c r="I164" s="27">
        <f t="shared" si="6"/>
        <v>250000</v>
      </c>
      <c r="J164" s="28"/>
      <c r="K164" s="29">
        <v>550</v>
      </c>
      <c r="L164" s="30">
        <v>0.05</v>
      </c>
      <c r="M164" s="31">
        <f t="shared" si="7"/>
        <v>27.5</v>
      </c>
      <c r="N164" s="31">
        <f t="shared" si="8"/>
        <v>577.5</v>
      </c>
      <c r="O164" s="25"/>
      <c r="P164" s="22">
        <v>45244</v>
      </c>
      <c r="Q164" s="25"/>
      <c r="R164" s="82" t="s">
        <v>521</v>
      </c>
      <c r="S164" s="21"/>
      <c r="T164" s="32" t="s">
        <v>49</v>
      </c>
      <c r="U164" s="21"/>
    </row>
    <row r="165" spans="1:21" ht="20.100000000000001" customHeight="1" x14ac:dyDescent="0.3">
      <c r="A165" s="44">
        <v>157</v>
      </c>
      <c r="B165" s="84">
        <v>45244</v>
      </c>
      <c r="C165" s="85"/>
      <c r="D165" s="80" t="s">
        <v>522</v>
      </c>
      <c r="E165" s="81"/>
      <c r="F165" s="82">
        <v>51</v>
      </c>
      <c r="G165" s="83" t="s">
        <v>51</v>
      </c>
      <c r="H165" s="82">
        <v>1000</v>
      </c>
      <c r="I165" s="27">
        <f t="shared" si="6"/>
        <v>51000</v>
      </c>
      <c r="J165" s="28"/>
      <c r="K165" s="29">
        <v>6300</v>
      </c>
      <c r="L165" s="30">
        <v>0.05</v>
      </c>
      <c r="M165" s="31">
        <f t="shared" si="7"/>
        <v>315</v>
      </c>
      <c r="N165" s="31">
        <f t="shared" si="8"/>
        <v>6615</v>
      </c>
      <c r="O165" s="25"/>
      <c r="P165" s="22">
        <v>45244</v>
      </c>
      <c r="Q165" s="25"/>
      <c r="R165" s="82" t="s">
        <v>525</v>
      </c>
      <c r="S165" s="21"/>
      <c r="T165" s="32" t="s">
        <v>163</v>
      </c>
      <c r="U165" s="21"/>
    </row>
    <row r="166" spans="1:21" ht="20.100000000000001" customHeight="1" x14ac:dyDescent="0.3">
      <c r="A166" s="44">
        <v>158</v>
      </c>
      <c r="B166" s="84">
        <v>45244</v>
      </c>
      <c r="C166" s="85"/>
      <c r="D166" s="80" t="s">
        <v>523</v>
      </c>
      <c r="E166" s="81"/>
      <c r="F166" s="82">
        <v>51</v>
      </c>
      <c r="G166" s="83" t="s">
        <v>51</v>
      </c>
      <c r="H166" s="82">
        <v>1000</v>
      </c>
      <c r="I166" s="27">
        <f t="shared" si="6"/>
        <v>51000</v>
      </c>
      <c r="J166" s="28"/>
      <c r="K166" s="29">
        <v>480</v>
      </c>
      <c r="L166" s="30">
        <v>0.05</v>
      </c>
      <c r="M166" s="31">
        <f t="shared" si="7"/>
        <v>24</v>
      </c>
      <c r="N166" s="31">
        <f t="shared" si="8"/>
        <v>504</v>
      </c>
      <c r="O166" s="25"/>
      <c r="P166" s="22">
        <v>45244</v>
      </c>
      <c r="Q166" s="25"/>
      <c r="R166" s="82" t="s">
        <v>525</v>
      </c>
      <c r="S166" s="21"/>
      <c r="T166" s="32" t="s">
        <v>163</v>
      </c>
      <c r="U166" s="21"/>
    </row>
    <row r="167" spans="1:21" ht="20.100000000000001" customHeight="1" x14ac:dyDescent="0.3">
      <c r="A167" s="44">
        <v>159</v>
      </c>
      <c r="B167" s="84">
        <v>45244</v>
      </c>
      <c r="C167" s="85"/>
      <c r="D167" s="80" t="s">
        <v>524</v>
      </c>
      <c r="E167" s="81"/>
      <c r="F167" s="82">
        <v>51</v>
      </c>
      <c r="G167" s="83" t="s">
        <v>51</v>
      </c>
      <c r="H167" s="82">
        <v>1000</v>
      </c>
      <c r="I167" s="27">
        <f t="shared" si="6"/>
        <v>51000</v>
      </c>
      <c r="J167" s="28"/>
      <c r="K167" s="29">
        <v>2600</v>
      </c>
      <c r="L167" s="30">
        <v>0.05</v>
      </c>
      <c r="M167" s="31">
        <f t="shared" si="7"/>
        <v>130</v>
      </c>
      <c r="N167" s="31">
        <f t="shared" si="8"/>
        <v>2730</v>
      </c>
      <c r="O167" s="25"/>
      <c r="P167" s="22">
        <v>45244</v>
      </c>
      <c r="Q167" s="25"/>
      <c r="R167" s="82" t="s">
        <v>525</v>
      </c>
      <c r="S167" s="21"/>
      <c r="T167" s="32" t="s">
        <v>163</v>
      </c>
      <c r="U167" s="21"/>
    </row>
    <row r="168" spans="1:21" ht="20.100000000000001" customHeight="1" x14ac:dyDescent="0.3">
      <c r="A168" s="44">
        <v>160</v>
      </c>
      <c r="B168" s="84">
        <v>45244</v>
      </c>
      <c r="C168" s="85"/>
      <c r="D168" s="80" t="s">
        <v>535</v>
      </c>
      <c r="E168" s="81"/>
      <c r="F168" s="82">
        <v>45</v>
      </c>
      <c r="G168" s="83" t="s">
        <v>51</v>
      </c>
      <c r="H168" s="82">
        <v>1000</v>
      </c>
      <c r="I168" s="27">
        <f t="shared" si="6"/>
        <v>45000</v>
      </c>
      <c r="J168" s="28"/>
      <c r="K168" s="29">
        <v>170</v>
      </c>
      <c r="L168" s="30">
        <v>0.05</v>
      </c>
      <c r="M168" s="31">
        <f t="shared" si="7"/>
        <v>8.5</v>
      </c>
      <c r="N168" s="31">
        <f t="shared" si="8"/>
        <v>178.5</v>
      </c>
      <c r="O168" s="25"/>
      <c r="P168" s="22">
        <v>45244</v>
      </c>
      <c r="Q168" s="25"/>
      <c r="R168" s="82" t="s">
        <v>536</v>
      </c>
      <c r="S168" s="21"/>
      <c r="T168" s="32" t="s">
        <v>309</v>
      </c>
      <c r="U168" s="21"/>
    </row>
    <row r="169" spans="1:21" ht="20.100000000000001" customHeight="1" x14ac:dyDescent="0.3">
      <c r="A169" s="44">
        <v>161</v>
      </c>
      <c r="B169" s="84">
        <v>45244</v>
      </c>
      <c r="C169" s="85"/>
      <c r="D169" s="80" t="s">
        <v>530</v>
      </c>
      <c r="E169" s="81"/>
      <c r="F169" s="82">
        <v>96</v>
      </c>
      <c r="G169" s="83" t="s">
        <v>51</v>
      </c>
      <c r="H169" s="82">
        <v>1000</v>
      </c>
      <c r="I169" s="27">
        <f t="shared" si="6"/>
        <v>96000</v>
      </c>
      <c r="J169" s="28"/>
      <c r="K169" s="29">
        <v>230</v>
      </c>
      <c r="L169" s="30">
        <v>0.05</v>
      </c>
      <c r="M169" s="31">
        <f t="shared" si="7"/>
        <v>11.5</v>
      </c>
      <c r="N169" s="31">
        <f t="shared" si="8"/>
        <v>241.5</v>
      </c>
      <c r="O169" s="25"/>
      <c r="P169" s="22">
        <v>45244</v>
      </c>
      <c r="Q169" s="25"/>
      <c r="R169" s="82" t="s">
        <v>536</v>
      </c>
      <c r="S169" s="21"/>
      <c r="T169" s="32" t="s">
        <v>309</v>
      </c>
      <c r="U169" s="21"/>
    </row>
    <row r="170" spans="1:21" ht="20.100000000000001" customHeight="1" x14ac:dyDescent="0.3">
      <c r="A170" s="44">
        <v>162</v>
      </c>
      <c r="B170" s="84">
        <v>45244</v>
      </c>
      <c r="C170" s="85"/>
      <c r="D170" s="80" t="s">
        <v>531</v>
      </c>
      <c r="E170" s="81"/>
      <c r="F170" s="82">
        <v>45</v>
      </c>
      <c r="G170" s="83" t="s">
        <v>51</v>
      </c>
      <c r="H170" s="82">
        <v>1000</v>
      </c>
      <c r="I170" s="27">
        <f t="shared" si="6"/>
        <v>45000</v>
      </c>
      <c r="J170" s="28"/>
      <c r="K170" s="29">
        <v>106</v>
      </c>
      <c r="L170" s="30">
        <v>0.05</v>
      </c>
      <c r="M170" s="31">
        <f t="shared" si="7"/>
        <v>5.3000000000000007</v>
      </c>
      <c r="N170" s="31">
        <f t="shared" si="8"/>
        <v>111.3</v>
      </c>
      <c r="O170" s="25"/>
      <c r="P170" s="22">
        <v>45244</v>
      </c>
      <c r="Q170" s="25"/>
      <c r="R170" s="82" t="s">
        <v>536</v>
      </c>
      <c r="S170" s="21"/>
      <c r="T170" s="32" t="s">
        <v>309</v>
      </c>
      <c r="U170" s="21"/>
    </row>
    <row r="171" spans="1:21" ht="20.100000000000001" customHeight="1" x14ac:dyDescent="0.3">
      <c r="A171" s="44">
        <v>163</v>
      </c>
      <c r="B171" s="84">
        <v>45244</v>
      </c>
      <c r="C171" s="85"/>
      <c r="D171" s="80" t="s">
        <v>532</v>
      </c>
      <c r="E171" s="81"/>
      <c r="F171" s="82">
        <v>45</v>
      </c>
      <c r="G171" s="83" t="s">
        <v>51</v>
      </c>
      <c r="H171" s="82">
        <v>1000</v>
      </c>
      <c r="I171" s="27">
        <f t="shared" si="6"/>
        <v>45000</v>
      </c>
      <c r="J171" s="28"/>
      <c r="K171" s="29">
        <v>106</v>
      </c>
      <c r="L171" s="30">
        <v>0.05</v>
      </c>
      <c r="M171" s="31">
        <f t="shared" si="7"/>
        <v>5.3000000000000007</v>
      </c>
      <c r="N171" s="31">
        <f t="shared" si="8"/>
        <v>111.3</v>
      </c>
      <c r="O171" s="25"/>
      <c r="P171" s="22">
        <v>45244</v>
      </c>
      <c r="Q171" s="25"/>
      <c r="R171" s="82" t="s">
        <v>536</v>
      </c>
      <c r="S171" s="21"/>
      <c r="T171" s="32" t="s">
        <v>309</v>
      </c>
      <c r="U171" s="21"/>
    </row>
    <row r="172" spans="1:21" ht="20.100000000000001" customHeight="1" x14ac:dyDescent="0.3">
      <c r="A172" s="44">
        <v>164</v>
      </c>
      <c r="B172" s="84">
        <v>45244</v>
      </c>
      <c r="C172" s="85"/>
      <c r="D172" s="80" t="s">
        <v>256</v>
      </c>
      <c r="E172" s="81"/>
      <c r="F172" s="82">
        <v>47</v>
      </c>
      <c r="G172" s="83" t="s">
        <v>51</v>
      </c>
      <c r="H172" s="82">
        <v>1000</v>
      </c>
      <c r="I172" s="27">
        <f t="shared" si="6"/>
        <v>47000</v>
      </c>
      <c r="J172" s="28"/>
      <c r="K172" s="29">
        <v>56</v>
      </c>
      <c r="L172" s="30">
        <v>0.05</v>
      </c>
      <c r="M172" s="31">
        <f t="shared" si="7"/>
        <v>2.8000000000000003</v>
      </c>
      <c r="N172" s="31">
        <f t="shared" si="8"/>
        <v>58.8</v>
      </c>
      <c r="O172" s="25"/>
      <c r="P172" s="22">
        <v>45244</v>
      </c>
      <c r="Q172" s="25"/>
      <c r="R172" s="82" t="s">
        <v>536</v>
      </c>
      <c r="S172" s="21"/>
      <c r="T172" s="32" t="s">
        <v>309</v>
      </c>
      <c r="U172" s="21"/>
    </row>
    <row r="173" spans="1:21" ht="20.100000000000001" customHeight="1" x14ac:dyDescent="0.3">
      <c r="A173" s="44">
        <v>165</v>
      </c>
      <c r="B173" s="84">
        <v>45244</v>
      </c>
      <c r="C173" s="85"/>
      <c r="D173" s="80" t="s">
        <v>246</v>
      </c>
      <c r="E173" s="81"/>
      <c r="F173" s="82">
        <v>141</v>
      </c>
      <c r="G173" s="83" t="s">
        <v>51</v>
      </c>
      <c r="H173" s="82">
        <v>1000</v>
      </c>
      <c r="I173" s="27">
        <f t="shared" si="6"/>
        <v>141000</v>
      </c>
      <c r="J173" s="28"/>
      <c r="K173" s="29">
        <v>125</v>
      </c>
      <c r="L173" s="30">
        <v>0.05</v>
      </c>
      <c r="M173" s="31">
        <f t="shared" si="7"/>
        <v>6.25</v>
      </c>
      <c r="N173" s="31">
        <f t="shared" si="8"/>
        <v>131.25</v>
      </c>
      <c r="O173" s="25"/>
      <c r="P173" s="22">
        <v>45244</v>
      </c>
      <c r="Q173" s="25"/>
      <c r="R173" s="82" t="s">
        <v>536</v>
      </c>
      <c r="S173" s="21"/>
      <c r="T173" s="32" t="s">
        <v>309</v>
      </c>
      <c r="U173" s="21"/>
    </row>
    <row r="174" spans="1:21" ht="20.100000000000001" customHeight="1" x14ac:dyDescent="0.3">
      <c r="A174" s="44">
        <v>166</v>
      </c>
      <c r="B174" s="84">
        <v>45244</v>
      </c>
      <c r="C174" s="85"/>
      <c r="D174" s="80" t="s">
        <v>247</v>
      </c>
      <c r="E174" s="81"/>
      <c r="F174" s="82">
        <v>51</v>
      </c>
      <c r="G174" s="83" t="s">
        <v>51</v>
      </c>
      <c r="H174" s="82">
        <v>1000</v>
      </c>
      <c r="I174" s="27">
        <f t="shared" si="6"/>
        <v>51000</v>
      </c>
      <c r="J174" s="28"/>
      <c r="K174" s="29">
        <v>126</v>
      </c>
      <c r="L174" s="30">
        <v>0.05</v>
      </c>
      <c r="M174" s="31">
        <f t="shared" si="7"/>
        <v>6.3000000000000007</v>
      </c>
      <c r="N174" s="31">
        <f t="shared" si="8"/>
        <v>132.30000000000001</v>
      </c>
      <c r="O174" s="25"/>
      <c r="P174" s="22">
        <v>45244</v>
      </c>
      <c r="Q174" s="25"/>
      <c r="R174" s="82" t="s">
        <v>536</v>
      </c>
      <c r="S174" s="21"/>
      <c r="T174" s="32" t="s">
        <v>309</v>
      </c>
      <c r="U174" s="21"/>
    </row>
    <row r="175" spans="1:21" ht="20.100000000000001" customHeight="1" x14ac:dyDescent="0.3">
      <c r="A175" s="44">
        <v>167</v>
      </c>
      <c r="B175" s="84">
        <v>45244</v>
      </c>
      <c r="C175" s="85"/>
      <c r="D175" s="80" t="s">
        <v>534</v>
      </c>
      <c r="E175" s="81"/>
      <c r="F175" s="82">
        <v>102</v>
      </c>
      <c r="G175" s="83" t="s">
        <v>51</v>
      </c>
      <c r="H175" s="82">
        <v>1000</v>
      </c>
      <c r="I175" s="27">
        <f t="shared" si="6"/>
        <v>102000</v>
      </c>
      <c r="J175" s="28"/>
      <c r="K175" s="29">
        <v>1961</v>
      </c>
      <c r="L175" s="30">
        <v>0.05</v>
      </c>
      <c r="M175" s="31">
        <f t="shared" si="7"/>
        <v>98.050000000000011</v>
      </c>
      <c r="N175" s="31">
        <f t="shared" si="8"/>
        <v>2059.0500000000002</v>
      </c>
      <c r="O175" s="25"/>
      <c r="P175" s="22">
        <v>45244</v>
      </c>
      <c r="Q175" s="25"/>
      <c r="R175" s="82" t="s">
        <v>536</v>
      </c>
      <c r="S175" s="21"/>
      <c r="T175" s="32" t="s">
        <v>309</v>
      </c>
      <c r="U175" s="21"/>
    </row>
    <row r="176" spans="1:21" ht="20.100000000000001" customHeight="1" x14ac:dyDescent="0.3">
      <c r="A176" s="44">
        <v>168</v>
      </c>
      <c r="B176" s="84">
        <v>45244</v>
      </c>
      <c r="C176" s="85"/>
      <c r="D176" s="80" t="s">
        <v>277</v>
      </c>
      <c r="E176" s="81"/>
      <c r="F176" s="82">
        <v>45</v>
      </c>
      <c r="G176" s="83" t="s">
        <v>51</v>
      </c>
      <c r="H176" s="82">
        <v>1000</v>
      </c>
      <c r="I176" s="27">
        <f t="shared" si="6"/>
        <v>45000</v>
      </c>
      <c r="J176" s="28"/>
      <c r="K176" s="29">
        <v>1575</v>
      </c>
      <c r="L176" s="30">
        <v>0.05</v>
      </c>
      <c r="M176" s="31">
        <f t="shared" si="7"/>
        <v>78.75</v>
      </c>
      <c r="N176" s="31">
        <f t="shared" si="8"/>
        <v>1653.75</v>
      </c>
      <c r="O176" s="25"/>
      <c r="P176" s="22">
        <v>45244</v>
      </c>
      <c r="Q176" s="25"/>
      <c r="R176" s="82" t="s">
        <v>536</v>
      </c>
      <c r="S176" s="21"/>
      <c r="T176" s="32" t="s">
        <v>309</v>
      </c>
      <c r="U176" s="21"/>
    </row>
    <row r="177" spans="1:21" ht="20.100000000000001" customHeight="1" x14ac:dyDescent="0.3">
      <c r="A177" s="44">
        <v>169</v>
      </c>
      <c r="B177" s="84">
        <v>45244</v>
      </c>
      <c r="C177" s="85"/>
      <c r="D177" s="80" t="s">
        <v>248</v>
      </c>
      <c r="E177" s="81"/>
      <c r="F177" s="82">
        <v>7</v>
      </c>
      <c r="G177" s="83" t="s">
        <v>51</v>
      </c>
      <c r="H177" s="82">
        <v>1000</v>
      </c>
      <c r="I177" s="27">
        <f t="shared" si="6"/>
        <v>7000</v>
      </c>
      <c r="J177" s="28"/>
      <c r="K177" s="29">
        <v>2021</v>
      </c>
      <c r="L177" s="30">
        <v>0.05</v>
      </c>
      <c r="M177" s="31">
        <f t="shared" si="7"/>
        <v>101.05000000000001</v>
      </c>
      <c r="N177" s="31">
        <f t="shared" si="8"/>
        <v>2122.0500000000002</v>
      </c>
      <c r="O177" s="25"/>
      <c r="P177" s="22">
        <v>45244</v>
      </c>
      <c r="Q177" s="25"/>
      <c r="R177" s="82" t="s">
        <v>536</v>
      </c>
      <c r="S177" s="21"/>
      <c r="T177" s="32" t="s">
        <v>309</v>
      </c>
      <c r="U177" s="21"/>
    </row>
    <row r="178" spans="1:21" ht="20.100000000000001" customHeight="1" x14ac:dyDescent="0.3">
      <c r="A178" s="44">
        <v>170</v>
      </c>
      <c r="B178" s="84">
        <v>45244</v>
      </c>
      <c r="C178" s="85"/>
      <c r="D178" s="80" t="s">
        <v>249</v>
      </c>
      <c r="E178" s="81"/>
      <c r="F178" s="82">
        <v>43</v>
      </c>
      <c r="G178" s="83" t="s">
        <v>51</v>
      </c>
      <c r="H178" s="82">
        <v>1000</v>
      </c>
      <c r="I178" s="27">
        <f t="shared" si="6"/>
        <v>43000</v>
      </c>
      <c r="J178" s="28"/>
      <c r="K178" s="29">
        <v>2835</v>
      </c>
      <c r="L178" s="30">
        <v>0.05</v>
      </c>
      <c r="M178" s="31">
        <f t="shared" si="7"/>
        <v>141.75</v>
      </c>
      <c r="N178" s="31">
        <f t="shared" si="8"/>
        <v>2976.75</v>
      </c>
      <c r="O178" s="25"/>
      <c r="P178" s="22">
        <v>45244</v>
      </c>
      <c r="Q178" s="25"/>
      <c r="R178" s="82" t="s">
        <v>536</v>
      </c>
      <c r="S178" s="21"/>
      <c r="T178" s="32" t="s">
        <v>309</v>
      </c>
      <c r="U178" s="21"/>
    </row>
    <row r="179" spans="1:21" ht="20.100000000000001" customHeight="1" x14ac:dyDescent="0.3">
      <c r="A179" s="44">
        <v>171</v>
      </c>
      <c r="B179" s="84">
        <v>45244</v>
      </c>
      <c r="C179" s="79"/>
      <c r="D179" s="80" t="s">
        <v>533</v>
      </c>
      <c r="E179" s="81"/>
      <c r="F179" s="82">
        <v>71</v>
      </c>
      <c r="G179" s="83" t="s">
        <v>51</v>
      </c>
      <c r="H179" s="82">
        <v>1000</v>
      </c>
      <c r="I179" s="27">
        <f t="shared" si="6"/>
        <v>71000</v>
      </c>
      <c r="J179" s="28"/>
      <c r="K179" s="29">
        <v>2363</v>
      </c>
      <c r="L179" s="30">
        <v>0.05</v>
      </c>
      <c r="M179" s="31">
        <f t="shared" si="7"/>
        <v>118.15</v>
      </c>
      <c r="N179" s="31">
        <f t="shared" si="8"/>
        <v>2481.15</v>
      </c>
      <c r="O179" s="25"/>
      <c r="P179" s="22">
        <v>45244</v>
      </c>
      <c r="Q179" s="25"/>
      <c r="R179" s="82" t="s">
        <v>536</v>
      </c>
      <c r="S179" s="21"/>
      <c r="T179" s="32" t="s">
        <v>309</v>
      </c>
      <c r="U179" s="21"/>
    </row>
    <row r="180" spans="1:21" ht="20.100000000000001" customHeight="1" x14ac:dyDescent="0.3">
      <c r="A180" s="44">
        <v>172</v>
      </c>
      <c r="B180" s="84">
        <v>45244</v>
      </c>
      <c r="C180" s="79"/>
      <c r="D180" s="80" t="s">
        <v>526</v>
      </c>
      <c r="E180" s="81"/>
      <c r="F180" s="82">
        <v>150</v>
      </c>
      <c r="G180" s="83" t="s">
        <v>230</v>
      </c>
      <c r="H180" s="82">
        <v>200</v>
      </c>
      <c r="I180" s="27">
        <f t="shared" si="6"/>
        <v>30000</v>
      </c>
      <c r="J180" s="28"/>
      <c r="K180" s="29">
        <v>1.75</v>
      </c>
      <c r="L180" s="30">
        <v>0.05</v>
      </c>
      <c r="M180" s="31">
        <f t="shared" si="7"/>
        <v>8.7500000000000008E-2</v>
      </c>
      <c r="N180" s="31">
        <f t="shared" si="8"/>
        <v>1.8374999999999999</v>
      </c>
      <c r="O180" s="25"/>
      <c r="P180" s="22">
        <v>45244</v>
      </c>
      <c r="Q180" s="25"/>
      <c r="R180" s="82" t="s">
        <v>536</v>
      </c>
      <c r="S180" s="21"/>
      <c r="T180" s="32" t="s">
        <v>309</v>
      </c>
      <c r="U180" s="21"/>
    </row>
    <row r="181" spans="1:21" ht="20.100000000000001" customHeight="1" x14ac:dyDescent="0.3">
      <c r="A181" s="44">
        <v>173</v>
      </c>
      <c r="B181" s="84">
        <v>45244</v>
      </c>
      <c r="C181" s="79"/>
      <c r="D181" s="80" t="s">
        <v>527</v>
      </c>
      <c r="E181" s="81"/>
      <c r="F181" s="82">
        <v>55</v>
      </c>
      <c r="G181" s="83" t="s">
        <v>230</v>
      </c>
      <c r="H181" s="82">
        <v>500</v>
      </c>
      <c r="I181" s="27">
        <f t="shared" si="6"/>
        <v>27500</v>
      </c>
      <c r="J181" s="28"/>
      <c r="K181" s="29">
        <v>1.75</v>
      </c>
      <c r="L181" s="30">
        <v>0.05</v>
      </c>
      <c r="M181" s="31">
        <f t="shared" si="7"/>
        <v>8.7500000000000008E-2</v>
      </c>
      <c r="N181" s="31">
        <f t="shared" si="8"/>
        <v>1.8374999999999999</v>
      </c>
      <c r="O181" s="25"/>
      <c r="P181" s="22">
        <v>45244</v>
      </c>
      <c r="Q181" s="25"/>
      <c r="R181" s="82" t="s">
        <v>536</v>
      </c>
      <c r="S181" s="21"/>
      <c r="T181" s="32" t="s">
        <v>309</v>
      </c>
      <c r="U181" s="21"/>
    </row>
    <row r="182" spans="1:21" ht="20.100000000000001" customHeight="1" x14ac:dyDescent="0.3">
      <c r="A182" s="44">
        <v>174</v>
      </c>
      <c r="B182" s="84">
        <v>45244</v>
      </c>
      <c r="C182" s="79"/>
      <c r="D182" s="80" t="s">
        <v>528</v>
      </c>
      <c r="E182" s="81"/>
      <c r="F182" s="82">
        <v>105</v>
      </c>
      <c r="G182" s="83" t="s">
        <v>230</v>
      </c>
      <c r="H182" s="82">
        <v>200</v>
      </c>
      <c r="I182" s="27">
        <f t="shared" si="6"/>
        <v>21000</v>
      </c>
      <c r="J182" s="28"/>
      <c r="K182" s="29">
        <v>1.25</v>
      </c>
      <c r="L182" s="30">
        <v>0.05</v>
      </c>
      <c r="M182" s="31">
        <f t="shared" si="7"/>
        <v>6.25E-2</v>
      </c>
      <c r="N182" s="31">
        <f t="shared" si="8"/>
        <v>1.3125</v>
      </c>
      <c r="O182" s="25"/>
      <c r="P182" s="22">
        <v>45244</v>
      </c>
      <c r="Q182" s="25"/>
      <c r="R182" s="82" t="s">
        <v>536</v>
      </c>
      <c r="S182" s="21"/>
      <c r="T182" s="32" t="s">
        <v>309</v>
      </c>
      <c r="U182" s="21"/>
    </row>
    <row r="183" spans="1:21" ht="20.100000000000001" customHeight="1" x14ac:dyDescent="0.3">
      <c r="A183" s="44">
        <v>175</v>
      </c>
      <c r="B183" s="84">
        <v>45244</v>
      </c>
      <c r="C183" s="79"/>
      <c r="D183" s="80" t="s">
        <v>529</v>
      </c>
      <c r="E183" s="81"/>
      <c r="F183" s="82">
        <v>300</v>
      </c>
      <c r="G183" s="83" t="s">
        <v>230</v>
      </c>
      <c r="H183" s="82">
        <v>30</v>
      </c>
      <c r="I183" s="27">
        <f t="shared" si="6"/>
        <v>9000</v>
      </c>
      <c r="J183" s="28"/>
      <c r="K183" s="29">
        <v>1.75</v>
      </c>
      <c r="L183" s="30">
        <v>0.05</v>
      </c>
      <c r="M183" s="31">
        <f t="shared" si="7"/>
        <v>8.7500000000000008E-2</v>
      </c>
      <c r="N183" s="31">
        <f t="shared" si="8"/>
        <v>1.8374999999999999</v>
      </c>
      <c r="O183" s="25"/>
      <c r="P183" s="22">
        <v>45244</v>
      </c>
      <c r="Q183" s="25"/>
      <c r="R183" s="82" t="s">
        <v>536</v>
      </c>
      <c r="S183" s="21"/>
      <c r="T183" s="32" t="s">
        <v>309</v>
      </c>
      <c r="U183" s="21"/>
    </row>
    <row r="184" spans="1:21" ht="20.100000000000001" customHeight="1" x14ac:dyDescent="0.3">
      <c r="A184" s="44">
        <v>176</v>
      </c>
      <c r="B184" s="78">
        <v>45239</v>
      </c>
      <c r="C184" s="79"/>
      <c r="D184" s="80" t="s">
        <v>537</v>
      </c>
      <c r="E184" s="81"/>
      <c r="F184" s="82">
        <v>20</v>
      </c>
      <c r="G184" s="83" t="s">
        <v>18</v>
      </c>
      <c r="H184" s="82">
        <v>25</v>
      </c>
      <c r="I184" s="27">
        <f t="shared" si="6"/>
        <v>500</v>
      </c>
      <c r="J184" s="28"/>
      <c r="K184" s="29">
        <v>3601.7000000000003</v>
      </c>
      <c r="L184" s="30">
        <v>0.18</v>
      </c>
      <c r="M184" s="31">
        <f t="shared" si="7"/>
        <v>648.30600000000004</v>
      </c>
      <c r="N184" s="31">
        <f t="shared" si="8"/>
        <v>4250.0060000000003</v>
      </c>
      <c r="O184" s="25"/>
      <c r="P184" s="22">
        <v>45246</v>
      </c>
      <c r="Q184" s="25"/>
      <c r="R184" s="82" t="s">
        <v>539</v>
      </c>
      <c r="S184" s="21"/>
      <c r="T184" s="32" t="s">
        <v>375</v>
      </c>
      <c r="U184" s="21"/>
    </row>
    <row r="185" spans="1:21" ht="20.100000000000001" customHeight="1" x14ac:dyDescent="0.3">
      <c r="A185" s="44">
        <v>177</v>
      </c>
      <c r="B185" s="78">
        <v>45239</v>
      </c>
      <c r="C185" s="79"/>
      <c r="D185" s="80" t="s">
        <v>538</v>
      </c>
      <c r="E185" s="81"/>
      <c r="F185" s="82">
        <v>20</v>
      </c>
      <c r="G185" s="83" t="s">
        <v>18</v>
      </c>
      <c r="H185" s="82">
        <v>25</v>
      </c>
      <c r="I185" s="27">
        <f t="shared" si="6"/>
        <v>500</v>
      </c>
      <c r="J185" s="28"/>
      <c r="K185" s="29">
        <v>7309.3125</v>
      </c>
      <c r="L185" s="30">
        <v>0.18</v>
      </c>
      <c r="M185" s="31">
        <f t="shared" si="7"/>
        <v>1315.67625</v>
      </c>
      <c r="N185" s="31">
        <f t="shared" si="8"/>
        <v>8624.9887500000004</v>
      </c>
      <c r="O185" s="25"/>
      <c r="P185" s="22">
        <v>45246</v>
      </c>
      <c r="Q185" s="25"/>
      <c r="R185" s="82" t="s">
        <v>539</v>
      </c>
      <c r="S185" s="21"/>
      <c r="T185" s="32" t="s">
        <v>375</v>
      </c>
      <c r="U185" s="21"/>
    </row>
    <row r="186" spans="1:21" ht="20.100000000000001" customHeight="1" x14ac:dyDescent="0.3">
      <c r="A186" s="44">
        <v>178</v>
      </c>
      <c r="B186" s="78" t="s">
        <v>189</v>
      </c>
      <c r="C186" s="79"/>
      <c r="D186" s="80" t="s">
        <v>540</v>
      </c>
      <c r="E186" s="81"/>
      <c r="F186" s="82">
        <v>400</v>
      </c>
      <c r="G186" s="83" t="s">
        <v>18</v>
      </c>
      <c r="H186" s="82">
        <v>25</v>
      </c>
      <c r="I186" s="27">
        <f t="shared" si="6"/>
        <v>10000</v>
      </c>
      <c r="J186" s="28"/>
      <c r="K186" s="29">
        <v>1504.2375</v>
      </c>
      <c r="L186" s="30">
        <v>0.18</v>
      </c>
      <c r="M186" s="31">
        <f t="shared" si="7"/>
        <v>270.76274999999998</v>
      </c>
      <c r="N186" s="31">
        <f t="shared" si="8"/>
        <v>1775.0002500000001</v>
      </c>
      <c r="O186" s="25"/>
      <c r="P186" s="22">
        <v>45248</v>
      </c>
      <c r="Q186" s="25"/>
      <c r="R186" s="82" t="s">
        <v>541</v>
      </c>
      <c r="S186" s="21"/>
      <c r="T186" s="32" t="s">
        <v>375</v>
      </c>
      <c r="U186" s="21"/>
    </row>
    <row r="187" spans="1:21" ht="20.100000000000001" customHeight="1" x14ac:dyDescent="0.3">
      <c r="A187" s="44">
        <v>179</v>
      </c>
      <c r="B187" s="84">
        <v>45248</v>
      </c>
      <c r="C187" s="79"/>
      <c r="D187" s="80" t="s">
        <v>400</v>
      </c>
      <c r="E187" s="81"/>
      <c r="F187" s="82">
        <v>500</v>
      </c>
      <c r="G187" s="83" t="s">
        <v>230</v>
      </c>
      <c r="H187" s="82">
        <v>1</v>
      </c>
      <c r="I187" s="27">
        <f t="shared" si="6"/>
        <v>500</v>
      </c>
      <c r="J187" s="28"/>
      <c r="K187" s="29">
        <v>75</v>
      </c>
      <c r="L187" s="30">
        <v>0.12</v>
      </c>
      <c r="M187" s="31">
        <f t="shared" si="7"/>
        <v>9</v>
      </c>
      <c r="N187" s="31">
        <f t="shared" si="8"/>
        <v>84</v>
      </c>
      <c r="O187" s="25"/>
      <c r="P187" s="22">
        <v>45248</v>
      </c>
      <c r="Q187" s="25"/>
      <c r="R187" s="82" t="s">
        <v>542</v>
      </c>
      <c r="S187" s="21"/>
      <c r="T187" s="32" t="s">
        <v>329</v>
      </c>
      <c r="U187" s="21"/>
    </row>
    <row r="188" spans="1:21" ht="20.100000000000001" customHeight="1" x14ac:dyDescent="0.3">
      <c r="A188" s="44">
        <v>180</v>
      </c>
      <c r="B188" s="84">
        <v>45248</v>
      </c>
      <c r="C188" s="79"/>
      <c r="D188" s="80" t="s">
        <v>543</v>
      </c>
      <c r="E188" s="81"/>
      <c r="F188" s="82">
        <v>40</v>
      </c>
      <c r="G188" s="83" t="s">
        <v>56</v>
      </c>
      <c r="H188" s="82">
        <v>5</v>
      </c>
      <c r="I188" s="27">
        <f t="shared" si="6"/>
        <v>200</v>
      </c>
      <c r="J188" s="28"/>
      <c r="K188" s="29">
        <v>457</v>
      </c>
      <c r="L188" s="30">
        <v>0.18</v>
      </c>
      <c r="M188" s="31">
        <f t="shared" si="7"/>
        <v>82.259999999999991</v>
      </c>
      <c r="N188" s="31">
        <f t="shared" si="8"/>
        <v>539.26</v>
      </c>
      <c r="O188" s="25"/>
      <c r="P188" s="22">
        <v>45250</v>
      </c>
      <c r="Q188" s="25"/>
      <c r="R188" s="82" t="s">
        <v>544</v>
      </c>
      <c r="S188" s="21"/>
      <c r="T188" s="32" t="s">
        <v>315</v>
      </c>
      <c r="U188" s="21"/>
    </row>
    <row r="189" spans="1:21" ht="20.100000000000001" customHeight="1" x14ac:dyDescent="0.3">
      <c r="A189" s="44">
        <v>181</v>
      </c>
      <c r="B189" s="84">
        <v>45248</v>
      </c>
      <c r="C189" s="79"/>
      <c r="D189" s="80" t="s">
        <v>545</v>
      </c>
      <c r="E189" s="81"/>
      <c r="F189" s="82">
        <v>20</v>
      </c>
      <c r="G189" s="83" t="s">
        <v>56</v>
      </c>
      <c r="H189" s="82">
        <v>5</v>
      </c>
      <c r="I189" s="27">
        <f t="shared" si="6"/>
        <v>100</v>
      </c>
      <c r="J189" s="28"/>
      <c r="K189" s="29">
        <v>554</v>
      </c>
      <c r="L189" s="30"/>
      <c r="M189" s="31">
        <f t="shared" si="7"/>
        <v>0</v>
      </c>
      <c r="N189" s="31">
        <f t="shared" si="8"/>
        <v>554</v>
      </c>
      <c r="O189" s="25"/>
      <c r="P189" s="22">
        <v>45250</v>
      </c>
      <c r="Q189" s="25"/>
      <c r="R189" s="82" t="s">
        <v>546</v>
      </c>
      <c r="S189" s="21"/>
      <c r="T189" s="32" t="s">
        <v>372</v>
      </c>
      <c r="U189" s="21"/>
    </row>
    <row r="190" spans="1:21" ht="20.100000000000001" customHeight="1" x14ac:dyDescent="0.3">
      <c r="A190" s="44">
        <v>182</v>
      </c>
      <c r="B190" s="78">
        <v>45251</v>
      </c>
      <c r="C190" s="79"/>
      <c r="D190" s="80" t="s">
        <v>547</v>
      </c>
      <c r="E190" s="81"/>
      <c r="F190" s="82">
        <v>400</v>
      </c>
      <c r="G190" s="83" t="s">
        <v>230</v>
      </c>
      <c r="H190" s="82">
        <v>50</v>
      </c>
      <c r="I190" s="27">
        <f t="shared" si="6"/>
        <v>20000</v>
      </c>
      <c r="J190" s="28"/>
      <c r="K190" s="29">
        <v>116</v>
      </c>
      <c r="L190" s="30">
        <v>0.12</v>
      </c>
      <c r="M190" s="31">
        <f t="shared" si="7"/>
        <v>13.92</v>
      </c>
      <c r="N190" s="31">
        <f t="shared" si="8"/>
        <v>129.91999999999999</v>
      </c>
      <c r="O190" s="25"/>
      <c r="P190" s="22">
        <v>45251</v>
      </c>
      <c r="Q190" s="25"/>
      <c r="R190" s="82" t="s">
        <v>548</v>
      </c>
      <c r="S190" s="21"/>
      <c r="T190" s="32" t="s">
        <v>117</v>
      </c>
      <c r="U190" s="21"/>
    </row>
    <row r="191" spans="1:21" ht="20.100000000000001" customHeight="1" x14ac:dyDescent="0.3">
      <c r="A191" s="44">
        <v>183</v>
      </c>
      <c r="B191" s="78">
        <v>45251</v>
      </c>
      <c r="C191" s="79"/>
      <c r="D191" s="80" t="s">
        <v>549</v>
      </c>
      <c r="E191" s="81"/>
      <c r="F191" s="82">
        <v>150</v>
      </c>
      <c r="G191" s="83" t="s">
        <v>230</v>
      </c>
      <c r="H191" s="82">
        <v>100</v>
      </c>
      <c r="I191" s="27">
        <f t="shared" si="6"/>
        <v>15000</v>
      </c>
      <c r="J191" s="28"/>
      <c r="K191" s="29">
        <v>258</v>
      </c>
      <c r="L191" s="30">
        <v>0.12</v>
      </c>
      <c r="M191" s="31">
        <f t="shared" si="7"/>
        <v>30.959999999999997</v>
      </c>
      <c r="N191" s="31">
        <f t="shared" si="8"/>
        <v>288.95999999999998</v>
      </c>
      <c r="O191" s="25"/>
      <c r="P191" s="78">
        <v>45251</v>
      </c>
      <c r="Q191" s="25"/>
      <c r="R191" s="82" t="s">
        <v>550</v>
      </c>
      <c r="S191" s="21"/>
      <c r="T191" s="32" t="s">
        <v>49</v>
      </c>
      <c r="U191" s="21"/>
    </row>
    <row r="192" spans="1:21" ht="20.100000000000001" customHeight="1" x14ac:dyDescent="0.3">
      <c r="A192" s="44">
        <v>184</v>
      </c>
      <c r="B192" s="78">
        <v>45254</v>
      </c>
      <c r="C192" s="79"/>
      <c r="D192" s="80" t="s">
        <v>380</v>
      </c>
      <c r="E192" s="81"/>
      <c r="F192" s="82">
        <v>504</v>
      </c>
      <c r="G192" s="83" t="s">
        <v>18</v>
      </c>
      <c r="H192" s="82">
        <v>1</v>
      </c>
      <c r="I192" s="27">
        <f t="shared" si="6"/>
        <v>504</v>
      </c>
      <c r="J192" s="28"/>
      <c r="K192" s="29">
        <v>135</v>
      </c>
      <c r="L192" s="30"/>
      <c r="M192" s="31">
        <f t="shared" si="7"/>
        <v>0</v>
      </c>
      <c r="N192" s="31">
        <f t="shared" si="8"/>
        <v>135</v>
      </c>
      <c r="O192" s="25"/>
      <c r="P192" s="78">
        <v>45254</v>
      </c>
      <c r="Q192" s="25"/>
      <c r="R192" s="82" t="s">
        <v>551</v>
      </c>
      <c r="S192" s="21"/>
      <c r="T192" s="32" t="s">
        <v>28</v>
      </c>
      <c r="U192" s="21"/>
    </row>
    <row r="193" spans="1:21" ht="20.100000000000001" customHeight="1" x14ac:dyDescent="0.3">
      <c r="A193" s="44">
        <v>185</v>
      </c>
      <c r="B193" s="78">
        <v>45254</v>
      </c>
      <c r="C193" s="79"/>
      <c r="D193" s="80" t="s">
        <v>501</v>
      </c>
      <c r="E193" s="81"/>
      <c r="F193" s="82">
        <v>500</v>
      </c>
      <c r="G193" s="83" t="s">
        <v>18</v>
      </c>
      <c r="H193" s="82">
        <v>1</v>
      </c>
      <c r="I193" s="27">
        <f t="shared" si="6"/>
        <v>500</v>
      </c>
      <c r="J193" s="28"/>
      <c r="K193" s="29">
        <v>600</v>
      </c>
      <c r="L193" s="30"/>
      <c r="M193" s="31">
        <f t="shared" si="7"/>
        <v>0</v>
      </c>
      <c r="N193" s="31">
        <f t="shared" si="8"/>
        <v>600</v>
      </c>
      <c r="O193" s="25"/>
      <c r="P193" s="78">
        <v>45254</v>
      </c>
      <c r="Q193" s="25"/>
      <c r="R193" s="82" t="s">
        <v>551</v>
      </c>
      <c r="S193" s="21"/>
      <c r="T193" s="32" t="s">
        <v>28</v>
      </c>
      <c r="U193" s="21"/>
    </row>
    <row r="194" spans="1:21" ht="20.100000000000001" customHeight="1" x14ac:dyDescent="0.3">
      <c r="A194" s="44">
        <v>186</v>
      </c>
      <c r="B194" s="78">
        <v>45254</v>
      </c>
      <c r="C194" s="23"/>
      <c r="D194" s="80" t="s">
        <v>552</v>
      </c>
      <c r="E194" s="25"/>
      <c r="F194" s="26">
        <v>16</v>
      </c>
      <c r="G194" s="62" t="s">
        <v>18</v>
      </c>
      <c r="H194" s="26">
        <v>25</v>
      </c>
      <c r="I194" s="27">
        <f t="shared" si="6"/>
        <v>400</v>
      </c>
      <c r="J194" s="28"/>
      <c r="K194" s="29">
        <v>16875</v>
      </c>
      <c r="L194" s="30"/>
      <c r="M194" s="31">
        <f t="shared" si="7"/>
        <v>0</v>
      </c>
      <c r="N194" s="31">
        <f t="shared" si="8"/>
        <v>16875</v>
      </c>
      <c r="O194" s="25"/>
      <c r="P194" s="78">
        <v>45254</v>
      </c>
      <c r="Q194" s="25"/>
      <c r="R194" s="82" t="s">
        <v>553</v>
      </c>
      <c r="S194" s="21"/>
      <c r="T194" s="32" t="s">
        <v>323</v>
      </c>
      <c r="U194" s="21"/>
    </row>
    <row r="195" spans="1:21" ht="20.100000000000001" customHeight="1" x14ac:dyDescent="0.3">
      <c r="A195" s="44">
        <v>187</v>
      </c>
      <c r="B195" s="78">
        <v>45254</v>
      </c>
      <c r="C195" s="23"/>
      <c r="D195" s="24" t="s">
        <v>347</v>
      </c>
      <c r="E195" s="25"/>
      <c r="F195" s="26">
        <v>8</v>
      </c>
      <c r="G195" s="62" t="s">
        <v>18</v>
      </c>
      <c r="H195" s="26">
        <v>25</v>
      </c>
      <c r="I195" s="27">
        <f t="shared" si="6"/>
        <v>200</v>
      </c>
      <c r="J195" s="28"/>
      <c r="K195" s="29">
        <v>12500</v>
      </c>
      <c r="L195" s="30"/>
      <c r="M195" s="31">
        <f t="shared" si="7"/>
        <v>0</v>
      </c>
      <c r="N195" s="31">
        <f t="shared" si="8"/>
        <v>12500</v>
      </c>
      <c r="O195" s="25"/>
      <c r="P195" s="78">
        <v>45254</v>
      </c>
      <c r="Q195" s="25"/>
      <c r="R195" s="82" t="s">
        <v>554</v>
      </c>
      <c r="S195" s="21"/>
      <c r="T195" s="32" t="s">
        <v>349</v>
      </c>
      <c r="U195" s="21"/>
    </row>
    <row r="196" spans="1:21" ht="20.100000000000001" customHeight="1" x14ac:dyDescent="0.3">
      <c r="A196" s="44">
        <v>188</v>
      </c>
      <c r="B196" s="78">
        <v>45254</v>
      </c>
      <c r="C196" s="23"/>
      <c r="D196" s="24" t="s">
        <v>342</v>
      </c>
      <c r="E196" s="25"/>
      <c r="F196" s="26">
        <v>20</v>
      </c>
      <c r="G196" s="62" t="s">
        <v>18</v>
      </c>
      <c r="H196" s="26">
        <v>25</v>
      </c>
      <c r="I196" s="27">
        <f t="shared" si="6"/>
        <v>500</v>
      </c>
      <c r="J196" s="28"/>
      <c r="K196" s="29">
        <v>13250</v>
      </c>
      <c r="L196" s="30"/>
      <c r="M196" s="31">
        <f t="shared" si="7"/>
        <v>0</v>
      </c>
      <c r="N196" s="31">
        <f t="shared" si="8"/>
        <v>13250</v>
      </c>
      <c r="O196" s="25"/>
      <c r="P196" s="78">
        <v>45255</v>
      </c>
      <c r="Q196" s="25"/>
      <c r="R196" s="82" t="s">
        <v>555</v>
      </c>
      <c r="S196" s="21"/>
      <c r="T196" s="32" t="s">
        <v>464</v>
      </c>
      <c r="U196" s="21"/>
    </row>
    <row r="197" spans="1:21" ht="20.100000000000001" customHeight="1" x14ac:dyDescent="0.3">
      <c r="A197" s="44">
        <v>189</v>
      </c>
      <c r="B197" s="22">
        <v>45257</v>
      </c>
      <c r="C197" s="23"/>
      <c r="D197" s="80" t="s">
        <v>516</v>
      </c>
      <c r="E197" s="25"/>
      <c r="F197" s="26">
        <v>60</v>
      </c>
      <c r="G197" s="62" t="s">
        <v>51</v>
      </c>
      <c r="H197" s="26">
        <v>1000</v>
      </c>
      <c r="I197" s="27">
        <f t="shared" si="6"/>
        <v>60000</v>
      </c>
      <c r="J197" s="28"/>
      <c r="K197" s="29">
        <v>926</v>
      </c>
      <c r="L197" s="30">
        <v>0.05</v>
      </c>
      <c r="M197" s="31">
        <f t="shared" si="7"/>
        <v>46.300000000000004</v>
      </c>
      <c r="N197" s="31">
        <f t="shared" si="8"/>
        <v>972.3</v>
      </c>
      <c r="O197" s="25"/>
      <c r="P197" s="22">
        <v>45258</v>
      </c>
      <c r="Q197" s="25"/>
      <c r="R197" s="82" t="s">
        <v>556</v>
      </c>
      <c r="S197" s="21"/>
      <c r="T197" s="32" t="s">
        <v>124</v>
      </c>
      <c r="U197" s="21"/>
    </row>
    <row r="198" spans="1:21" ht="20.100000000000001" customHeight="1" x14ac:dyDescent="0.3">
      <c r="A198" s="44">
        <v>190</v>
      </c>
      <c r="B198" s="22">
        <v>45257</v>
      </c>
      <c r="C198" s="23"/>
      <c r="D198" s="80" t="s">
        <v>517</v>
      </c>
      <c r="E198" s="25"/>
      <c r="F198" s="26">
        <v>60</v>
      </c>
      <c r="G198" s="62" t="s">
        <v>51</v>
      </c>
      <c r="H198" s="26">
        <v>1000</v>
      </c>
      <c r="I198" s="27">
        <f t="shared" si="6"/>
        <v>60000</v>
      </c>
      <c r="J198" s="28"/>
      <c r="K198" s="29">
        <v>2499</v>
      </c>
      <c r="L198" s="30">
        <v>0.05</v>
      </c>
      <c r="M198" s="31">
        <f t="shared" si="7"/>
        <v>124.95</v>
      </c>
      <c r="N198" s="31">
        <f t="shared" si="8"/>
        <v>2623.95</v>
      </c>
      <c r="O198" s="25"/>
      <c r="P198" s="22">
        <v>45258</v>
      </c>
      <c r="Q198" s="25"/>
      <c r="R198" s="82" t="s">
        <v>556</v>
      </c>
      <c r="S198" s="21"/>
      <c r="T198" s="32" t="s">
        <v>124</v>
      </c>
      <c r="U198" s="21"/>
    </row>
    <row r="199" spans="1:21" ht="20.100000000000001" customHeight="1" x14ac:dyDescent="0.3">
      <c r="A199" s="44">
        <v>191</v>
      </c>
      <c r="B199" s="22">
        <v>45257</v>
      </c>
      <c r="C199" s="23"/>
      <c r="D199" s="80" t="s">
        <v>407</v>
      </c>
      <c r="E199" s="25"/>
      <c r="F199" s="26">
        <v>60</v>
      </c>
      <c r="G199" s="62" t="s">
        <v>51</v>
      </c>
      <c r="H199" s="26">
        <v>1000</v>
      </c>
      <c r="I199" s="27">
        <f t="shared" si="6"/>
        <v>60000</v>
      </c>
      <c r="J199" s="28"/>
      <c r="K199" s="29">
        <v>3255</v>
      </c>
      <c r="L199" s="30">
        <v>0.05</v>
      </c>
      <c r="M199" s="31">
        <f t="shared" si="7"/>
        <v>162.75</v>
      </c>
      <c r="N199" s="31">
        <f t="shared" si="8"/>
        <v>3417.75</v>
      </c>
      <c r="O199" s="25"/>
      <c r="P199" s="22">
        <v>45258</v>
      </c>
      <c r="Q199" s="25"/>
      <c r="R199" s="82" t="s">
        <v>558</v>
      </c>
      <c r="S199" s="21"/>
      <c r="T199" s="32" t="s">
        <v>309</v>
      </c>
      <c r="U199" s="21"/>
    </row>
    <row r="200" spans="1:21" ht="20.100000000000001" customHeight="1" x14ac:dyDescent="0.3">
      <c r="A200" s="44">
        <v>192</v>
      </c>
      <c r="B200" s="22">
        <v>45257</v>
      </c>
      <c r="C200" s="23"/>
      <c r="D200" s="24" t="s">
        <v>449</v>
      </c>
      <c r="E200" s="25"/>
      <c r="F200" s="63">
        <v>150</v>
      </c>
      <c r="G200" s="62" t="s">
        <v>51</v>
      </c>
      <c r="H200" s="63">
        <v>400</v>
      </c>
      <c r="I200" s="27">
        <f t="shared" si="6"/>
        <v>60000</v>
      </c>
      <c r="J200" s="28"/>
      <c r="K200" s="89">
        <v>896</v>
      </c>
      <c r="L200" s="30">
        <v>0.05</v>
      </c>
      <c r="M200" s="31">
        <f t="shared" si="7"/>
        <v>44.800000000000004</v>
      </c>
      <c r="N200" s="31">
        <f t="shared" si="8"/>
        <v>940.8</v>
      </c>
      <c r="O200" s="25"/>
      <c r="P200" s="22">
        <v>45258</v>
      </c>
      <c r="Q200" s="25"/>
      <c r="R200" s="82" t="s">
        <v>558</v>
      </c>
      <c r="S200" s="21"/>
      <c r="T200" s="32" t="s">
        <v>309</v>
      </c>
      <c r="U200" s="21"/>
    </row>
    <row r="201" spans="1:21" ht="20.100000000000001" customHeight="1" x14ac:dyDescent="0.3">
      <c r="A201" s="44">
        <v>193</v>
      </c>
      <c r="B201" s="22">
        <v>45257</v>
      </c>
      <c r="C201" s="23"/>
      <c r="D201" s="24" t="s">
        <v>277</v>
      </c>
      <c r="E201" s="25"/>
      <c r="F201" s="26">
        <v>60</v>
      </c>
      <c r="G201" s="62" t="s">
        <v>51</v>
      </c>
      <c r="H201" s="26">
        <v>1000</v>
      </c>
      <c r="I201" s="27">
        <f t="shared" ref="I201:I220" si="9">F201*H201</f>
        <v>60000</v>
      </c>
      <c r="J201" s="28"/>
      <c r="K201" s="29">
        <v>1575</v>
      </c>
      <c r="L201" s="30">
        <v>0.05</v>
      </c>
      <c r="M201" s="31">
        <f t="shared" ref="M201:M220" si="10">K201*L201</f>
        <v>78.75</v>
      </c>
      <c r="N201" s="31">
        <f t="shared" ref="N201:N220" si="11">K201+M201</f>
        <v>1653.75</v>
      </c>
      <c r="O201" s="25"/>
      <c r="P201" s="22">
        <v>45258</v>
      </c>
      <c r="Q201" s="25"/>
      <c r="R201" s="82" t="s">
        <v>558</v>
      </c>
      <c r="S201" s="21"/>
      <c r="T201" s="32" t="s">
        <v>309</v>
      </c>
      <c r="U201" s="21"/>
    </row>
    <row r="202" spans="1:21" ht="20.100000000000001" customHeight="1" x14ac:dyDescent="0.3">
      <c r="A202" s="44">
        <v>194</v>
      </c>
      <c r="B202" s="22">
        <v>45257</v>
      </c>
      <c r="C202" s="23"/>
      <c r="D202" s="24" t="s">
        <v>557</v>
      </c>
      <c r="E202" s="25"/>
      <c r="F202" s="26">
        <v>60</v>
      </c>
      <c r="G202" s="62" t="s">
        <v>51</v>
      </c>
      <c r="H202" s="26">
        <v>1000</v>
      </c>
      <c r="I202" s="27">
        <f t="shared" si="9"/>
        <v>60000</v>
      </c>
      <c r="J202" s="28"/>
      <c r="K202" s="29">
        <v>5250</v>
      </c>
      <c r="L202" s="30">
        <v>0.05</v>
      </c>
      <c r="M202" s="31">
        <f t="shared" si="10"/>
        <v>262.5</v>
      </c>
      <c r="N202" s="31">
        <f t="shared" si="11"/>
        <v>5512.5</v>
      </c>
      <c r="O202" s="25"/>
      <c r="P202" s="22">
        <v>45258</v>
      </c>
      <c r="Q202" s="25"/>
      <c r="R202" s="82" t="s">
        <v>558</v>
      </c>
      <c r="S202" s="21"/>
      <c r="T202" s="32" t="s">
        <v>309</v>
      </c>
      <c r="U202" s="21"/>
    </row>
    <row r="203" spans="1:21" ht="20.100000000000001" customHeight="1" x14ac:dyDescent="0.3">
      <c r="A203" s="44">
        <v>195</v>
      </c>
      <c r="B203" s="22" t="s">
        <v>189</v>
      </c>
      <c r="C203" s="23"/>
      <c r="D203" s="24" t="s">
        <v>559</v>
      </c>
      <c r="E203" s="25"/>
      <c r="F203" s="26">
        <v>8</v>
      </c>
      <c r="G203" s="62" t="s">
        <v>18</v>
      </c>
      <c r="H203" s="26">
        <v>20</v>
      </c>
      <c r="I203" s="27">
        <f t="shared" si="9"/>
        <v>160</v>
      </c>
      <c r="J203" s="28"/>
      <c r="K203" s="29">
        <v>31000</v>
      </c>
      <c r="L203" s="30"/>
      <c r="M203" s="31">
        <f t="shared" si="10"/>
        <v>0</v>
      </c>
      <c r="N203" s="31">
        <f t="shared" si="11"/>
        <v>31000</v>
      </c>
      <c r="O203" s="25"/>
      <c r="P203" s="22">
        <v>45258</v>
      </c>
      <c r="Q203" s="25"/>
      <c r="R203" s="82" t="s">
        <v>560</v>
      </c>
      <c r="S203" s="21"/>
      <c r="T203" s="32" t="s">
        <v>326</v>
      </c>
      <c r="U203" s="21"/>
    </row>
    <row r="204" spans="1:21" ht="20.100000000000001" customHeight="1" x14ac:dyDescent="0.3">
      <c r="A204" s="44">
        <v>196</v>
      </c>
      <c r="B204" s="22" t="s">
        <v>189</v>
      </c>
      <c r="C204" s="23"/>
      <c r="D204" s="24" t="s">
        <v>561</v>
      </c>
      <c r="E204" s="25"/>
      <c r="F204" s="26">
        <v>20</v>
      </c>
      <c r="G204" s="62" t="s">
        <v>18</v>
      </c>
      <c r="H204" s="26">
        <v>25</v>
      </c>
      <c r="I204" s="27">
        <f t="shared" si="9"/>
        <v>500</v>
      </c>
      <c r="J204" s="28"/>
      <c r="K204" s="29">
        <v>6700</v>
      </c>
      <c r="L204" s="30"/>
      <c r="M204" s="31">
        <f t="shared" si="10"/>
        <v>0</v>
      </c>
      <c r="N204" s="31">
        <f t="shared" si="11"/>
        <v>6700</v>
      </c>
      <c r="O204" s="25"/>
      <c r="P204" s="22">
        <v>45258</v>
      </c>
      <c r="Q204" s="25"/>
      <c r="R204" s="82" t="s">
        <v>562</v>
      </c>
      <c r="S204" s="21"/>
      <c r="T204" s="32" t="s">
        <v>74</v>
      </c>
      <c r="U204" s="21"/>
    </row>
    <row r="205" spans="1:21" ht="20.100000000000001" customHeight="1" x14ac:dyDescent="0.3">
      <c r="A205" s="44">
        <v>197</v>
      </c>
      <c r="B205" s="22" t="s">
        <v>189</v>
      </c>
      <c r="C205" s="23"/>
      <c r="D205" s="24" t="s">
        <v>337</v>
      </c>
      <c r="E205" s="25"/>
      <c r="F205" s="26">
        <v>40</v>
      </c>
      <c r="G205" s="62" t="s">
        <v>18</v>
      </c>
      <c r="H205" s="26">
        <v>25</v>
      </c>
      <c r="I205" s="27">
        <f t="shared" si="9"/>
        <v>1000</v>
      </c>
      <c r="J205" s="28"/>
      <c r="K205" s="29">
        <v>1250</v>
      </c>
      <c r="L205" s="30"/>
      <c r="M205" s="31">
        <f t="shared" si="10"/>
        <v>0</v>
      </c>
      <c r="N205" s="31">
        <f t="shared" si="11"/>
        <v>1250</v>
      </c>
      <c r="O205" s="25"/>
      <c r="P205" s="22">
        <v>45258</v>
      </c>
      <c r="Q205" s="25"/>
      <c r="R205" s="82" t="s">
        <v>563</v>
      </c>
      <c r="S205" s="21"/>
      <c r="T205" s="32" t="s">
        <v>338</v>
      </c>
      <c r="U205" s="21"/>
    </row>
    <row r="206" spans="1:21" ht="20.100000000000001" customHeight="1" x14ac:dyDescent="0.3">
      <c r="A206" s="44">
        <v>198</v>
      </c>
      <c r="B206" s="22" t="s">
        <v>189</v>
      </c>
      <c r="C206" s="23"/>
      <c r="D206" s="24" t="s">
        <v>342</v>
      </c>
      <c r="E206" s="25"/>
      <c r="F206" s="26">
        <v>20</v>
      </c>
      <c r="G206" s="62" t="s">
        <v>18</v>
      </c>
      <c r="H206" s="26">
        <v>25</v>
      </c>
      <c r="I206" s="27">
        <f t="shared" si="9"/>
        <v>500</v>
      </c>
      <c r="J206" s="28"/>
      <c r="K206" s="29">
        <v>12250</v>
      </c>
      <c r="L206" s="30"/>
      <c r="M206" s="31">
        <f t="shared" si="10"/>
        <v>0</v>
      </c>
      <c r="N206" s="31">
        <f t="shared" si="11"/>
        <v>12250</v>
      </c>
      <c r="O206" s="25"/>
      <c r="P206" s="22">
        <v>45260</v>
      </c>
      <c r="Q206" s="25"/>
      <c r="R206" s="82" t="s">
        <v>564</v>
      </c>
      <c r="S206" s="21"/>
      <c r="T206" s="32" t="s">
        <v>98</v>
      </c>
      <c r="U206" s="21"/>
    </row>
    <row r="207" spans="1:21" ht="20.100000000000001" customHeight="1" x14ac:dyDescent="0.3">
      <c r="A207" s="44">
        <v>199</v>
      </c>
      <c r="B207" s="22">
        <v>45268</v>
      </c>
      <c r="C207" s="23"/>
      <c r="D207" s="24" t="s">
        <v>296</v>
      </c>
      <c r="E207" s="25"/>
      <c r="F207" s="26">
        <v>20</v>
      </c>
      <c r="G207" s="62" t="s">
        <v>18</v>
      </c>
      <c r="H207" s="26">
        <v>25</v>
      </c>
      <c r="I207" s="93">
        <f t="shared" si="9"/>
        <v>500</v>
      </c>
      <c r="J207" s="28"/>
      <c r="K207" s="29">
        <v>1750</v>
      </c>
      <c r="L207" s="30"/>
      <c r="M207" s="31">
        <f t="shared" si="10"/>
        <v>0</v>
      </c>
      <c r="N207" s="31">
        <f t="shared" si="11"/>
        <v>1750</v>
      </c>
      <c r="O207" s="25"/>
      <c r="P207" s="22">
        <v>45268</v>
      </c>
      <c r="Q207" s="25"/>
      <c r="R207" s="82" t="s">
        <v>565</v>
      </c>
      <c r="S207" s="21"/>
      <c r="T207" s="32" t="s">
        <v>28</v>
      </c>
      <c r="U207" s="21"/>
    </row>
    <row r="208" spans="1:21" ht="20.100000000000001" customHeight="1" x14ac:dyDescent="0.3">
      <c r="A208" s="44">
        <v>200</v>
      </c>
      <c r="B208" s="22">
        <v>45269</v>
      </c>
      <c r="C208" s="23"/>
      <c r="D208" s="24" t="s">
        <v>330</v>
      </c>
      <c r="E208" s="25"/>
      <c r="F208" s="26">
        <v>20</v>
      </c>
      <c r="G208" s="62" t="s">
        <v>18</v>
      </c>
      <c r="H208" s="26">
        <v>10</v>
      </c>
      <c r="I208" s="27">
        <f t="shared" si="9"/>
        <v>200</v>
      </c>
      <c r="J208" s="28"/>
      <c r="K208" s="29">
        <v>4000</v>
      </c>
      <c r="L208" s="30"/>
      <c r="M208" s="31">
        <f t="shared" si="10"/>
        <v>0</v>
      </c>
      <c r="N208" s="31">
        <f t="shared" si="11"/>
        <v>4000</v>
      </c>
      <c r="O208" s="25"/>
      <c r="P208" s="22">
        <v>45269</v>
      </c>
      <c r="Q208" s="25"/>
      <c r="R208" s="82" t="s">
        <v>566</v>
      </c>
      <c r="S208" s="21"/>
      <c r="T208" s="32" t="s">
        <v>332</v>
      </c>
      <c r="U208" s="21"/>
    </row>
    <row r="209" spans="1:21" ht="20.100000000000001" customHeight="1" x14ac:dyDescent="0.3">
      <c r="A209" s="44">
        <v>201</v>
      </c>
      <c r="B209" s="22">
        <v>45270</v>
      </c>
      <c r="C209" s="23"/>
      <c r="D209" s="24" t="s">
        <v>291</v>
      </c>
      <c r="E209" s="25"/>
      <c r="F209" s="26">
        <v>25</v>
      </c>
      <c r="G209" s="62" t="s">
        <v>18</v>
      </c>
      <c r="H209" s="26">
        <v>20</v>
      </c>
      <c r="I209" s="27">
        <f t="shared" si="9"/>
        <v>500</v>
      </c>
      <c r="J209" s="28"/>
      <c r="K209" s="29">
        <v>3000</v>
      </c>
      <c r="L209" s="30"/>
      <c r="M209" s="31">
        <f t="shared" si="10"/>
        <v>0</v>
      </c>
      <c r="N209" s="31">
        <f t="shared" si="11"/>
        <v>3000</v>
      </c>
      <c r="O209" s="25"/>
      <c r="P209" s="22">
        <v>45271</v>
      </c>
      <c r="Q209" s="25"/>
      <c r="R209" s="82" t="s">
        <v>567</v>
      </c>
      <c r="S209" s="21"/>
      <c r="T209" s="32" t="s">
        <v>312</v>
      </c>
      <c r="U209" s="21"/>
    </row>
    <row r="210" spans="1:21" ht="20.100000000000001" customHeight="1" x14ac:dyDescent="0.3">
      <c r="A210" s="44">
        <v>202</v>
      </c>
      <c r="B210" s="22">
        <v>45270</v>
      </c>
      <c r="C210" s="23"/>
      <c r="D210" s="24" t="s">
        <v>568</v>
      </c>
      <c r="E210" s="25"/>
      <c r="F210" s="26">
        <v>10</v>
      </c>
      <c r="G210" s="62" t="s">
        <v>18</v>
      </c>
      <c r="H210" s="26">
        <v>25</v>
      </c>
      <c r="I210" s="27">
        <f t="shared" si="9"/>
        <v>250</v>
      </c>
      <c r="J210" s="28"/>
      <c r="K210" s="29">
        <v>18875</v>
      </c>
      <c r="L210" s="30"/>
      <c r="M210" s="31">
        <f t="shared" si="10"/>
        <v>0</v>
      </c>
      <c r="N210" s="31">
        <f t="shared" si="11"/>
        <v>18875</v>
      </c>
      <c r="O210" s="25"/>
      <c r="P210" s="22">
        <v>45271</v>
      </c>
      <c r="Q210" s="25"/>
      <c r="R210" s="82" t="s">
        <v>569</v>
      </c>
      <c r="S210" s="21"/>
      <c r="T210" s="32" t="s">
        <v>570</v>
      </c>
      <c r="U210" s="21"/>
    </row>
    <row r="211" spans="1:21" ht="20.100000000000001" customHeight="1" x14ac:dyDescent="0.3">
      <c r="A211" s="44">
        <v>203</v>
      </c>
      <c r="B211" s="22">
        <v>45270</v>
      </c>
      <c r="C211" s="23"/>
      <c r="D211" s="24" t="s">
        <v>571</v>
      </c>
      <c r="E211" s="25"/>
      <c r="F211" s="26">
        <v>10</v>
      </c>
      <c r="G211" s="62" t="s">
        <v>18</v>
      </c>
      <c r="H211" s="26">
        <v>25</v>
      </c>
      <c r="I211" s="93">
        <v>250</v>
      </c>
      <c r="J211" s="28"/>
      <c r="K211" s="29">
        <v>6050</v>
      </c>
      <c r="L211" s="30"/>
      <c r="M211" s="31">
        <f t="shared" si="10"/>
        <v>0</v>
      </c>
      <c r="N211" s="31">
        <f t="shared" si="11"/>
        <v>6050</v>
      </c>
      <c r="O211" s="25"/>
      <c r="P211" s="22">
        <v>45271</v>
      </c>
      <c r="Q211" s="25"/>
      <c r="R211" s="82" t="s">
        <v>572</v>
      </c>
      <c r="S211" s="21"/>
      <c r="T211" s="32" t="s">
        <v>349</v>
      </c>
      <c r="U211" s="21"/>
    </row>
    <row r="212" spans="1:21" ht="20.100000000000001" customHeight="1" x14ac:dyDescent="0.3">
      <c r="A212" s="44">
        <v>204</v>
      </c>
      <c r="B212" s="22">
        <v>45270</v>
      </c>
      <c r="C212" s="23"/>
      <c r="D212" s="24" t="s">
        <v>481</v>
      </c>
      <c r="E212" s="25"/>
      <c r="F212" s="26">
        <v>50</v>
      </c>
      <c r="G212" s="62" t="s">
        <v>18</v>
      </c>
      <c r="H212" s="26">
        <v>20</v>
      </c>
      <c r="I212" s="27">
        <f t="shared" si="9"/>
        <v>1000</v>
      </c>
      <c r="J212" s="28"/>
      <c r="K212" s="29">
        <v>1800</v>
      </c>
      <c r="L212" s="30"/>
      <c r="M212" s="31">
        <f t="shared" si="10"/>
        <v>0</v>
      </c>
      <c r="N212" s="31">
        <f t="shared" si="11"/>
        <v>1800</v>
      </c>
      <c r="O212" s="25"/>
      <c r="P212" s="22">
        <v>45271</v>
      </c>
      <c r="Q212" s="25"/>
      <c r="R212" s="82" t="s">
        <v>573</v>
      </c>
      <c r="S212" s="21"/>
      <c r="T212" s="32" t="s">
        <v>421</v>
      </c>
      <c r="U212" s="21"/>
    </row>
    <row r="213" spans="1:21" ht="20.100000000000001" customHeight="1" x14ac:dyDescent="0.3">
      <c r="A213" s="44">
        <v>205</v>
      </c>
      <c r="B213" s="22">
        <v>45272</v>
      </c>
      <c r="C213" s="23"/>
      <c r="D213" s="24" t="s">
        <v>574</v>
      </c>
      <c r="E213" s="25"/>
      <c r="F213" s="26">
        <v>20</v>
      </c>
      <c r="G213" s="62" t="s">
        <v>56</v>
      </c>
      <c r="H213" s="26">
        <v>5</v>
      </c>
      <c r="I213" s="27">
        <f t="shared" si="9"/>
        <v>100</v>
      </c>
      <c r="J213" s="28"/>
      <c r="K213" s="29">
        <v>3273</v>
      </c>
      <c r="L213" s="30">
        <v>0.18</v>
      </c>
      <c r="M213" s="31">
        <f t="shared" si="10"/>
        <v>589.14</v>
      </c>
      <c r="N213" s="31">
        <f t="shared" si="11"/>
        <v>3862.14</v>
      </c>
      <c r="O213" s="25"/>
      <c r="P213" s="22">
        <v>45272</v>
      </c>
      <c r="Q213" s="25"/>
      <c r="R213" s="82" t="s">
        <v>575</v>
      </c>
      <c r="S213" s="21"/>
      <c r="T213" s="32" t="s">
        <v>315</v>
      </c>
      <c r="U213" s="21"/>
    </row>
    <row r="214" spans="1:21" ht="20.100000000000001" customHeight="1" x14ac:dyDescent="0.3">
      <c r="A214" s="44">
        <v>206</v>
      </c>
      <c r="B214" s="22">
        <v>45272</v>
      </c>
      <c r="C214" s="23"/>
      <c r="D214" s="24" t="s">
        <v>655</v>
      </c>
      <c r="E214" s="25"/>
      <c r="F214" s="26">
        <v>100</v>
      </c>
      <c r="G214" s="62" t="s">
        <v>109</v>
      </c>
      <c r="H214" s="26">
        <v>10</v>
      </c>
      <c r="I214" s="27">
        <f t="shared" si="9"/>
        <v>1000</v>
      </c>
      <c r="J214" s="28"/>
      <c r="K214" s="29">
        <v>200</v>
      </c>
      <c r="L214" s="30">
        <v>0.18</v>
      </c>
      <c r="M214" s="31">
        <f t="shared" si="10"/>
        <v>36</v>
      </c>
      <c r="N214" s="31">
        <f t="shared" si="11"/>
        <v>236</v>
      </c>
      <c r="O214" s="25"/>
      <c r="P214" s="22">
        <v>45272</v>
      </c>
      <c r="Q214" s="25"/>
      <c r="R214" s="82" t="s">
        <v>575</v>
      </c>
      <c r="S214" s="21"/>
      <c r="T214" s="32" t="s">
        <v>315</v>
      </c>
      <c r="U214" s="21"/>
    </row>
    <row r="215" spans="1:21" ht="20.100000000000001" customHeight="1" x14ac:dyDescent="0.3">
      <c r="A215" s="44">
        <v>207</v>
      </c>
      <c r="B215" s="22">
        <v>45272</v>
      </c>
      <c r="C215" s="23"/>
      <c r="D215" s="24" t="s">
        <v>513</v>
      </c>
      <c r="E215" s="25"/>
      <c r="F215" s="26">
        <v>40</v>
      </c>
      <c r="G215" s="62" t="s">
        <v>18</v>
      </c>
      <c r="H215" s="26">
        <v>1</v>
      </c>
      <c r="I215" s="27">
        <f t="shared" si="9"/>
        <v>40</v>
      </c>
      <c r="J215" s="28"/>
      <c r="K215" s="29">
        <v>925</v>
      </c>
      <c r="L215" s="30"/>
      <c r="M215" s="31">
        <f t="shared" si="10"/>
        <v>0</v>
      </c>
      <c r="N215" s="31">
        <f t="shared" si="11"/>
        <v>925</v>
      </c>
      <c r="O215" s="25"/>
      <c r="P215" s="22">
        <v>45272</v>
      </c>
      <c r="Q215" s="25"/>
      <c r="R215" s="82" t="s">
        <v>576</v>
      </c>
      <c r="S215" s="21"/>
      <c r="T215" s="32" t="s">
        <v>323</v>
      </c>
      <c r="U215" s="21"/>
    </row>
    <row r="216" spans="1:21" ht="20.100000000000001" customHeight="1" x14ac:dyDescent="0.3">
      <c r="A216" s="44">
        <v>208</v>
      </c>
      <c r="B216" s="22">
        <v>45279</v>
      </c>
      <c r="C216" s="23"/>
      <c r="D216" s="24" t="s">
        <v>485</v>
      </c>
      <c r="E216" s="25"/>
      <c r="F216" s="26">
        <v>34</v>
      </c>
      <c r="G216" s="62" t="s">
        <v>18</v>
      </c>
      <c r="H216" s="26">
        <v>30</v>
      </c>
      <c r="I216" s="27">
        <f t="shared" si="9"/>
        <v>1020</v>
      </c>
      <c r="J216" s="28"/>
      <c r="K216" s="29">
        <v>1957</v>
      </c>
      <c r="L216" s="30"/>
      <c r="M216" s="31">
        <f t="shared" si="10"/>
        <v>0</v>
      </c>
      <c r="N216" s="31">
        <f t="shared" si="11"/>
        <v>1957</v>
      </c>
      <c r="O216" s="25"/>
      <c r="P216" s="22">
        <v>45280</v>
      </c>
      <c r="Q216" s="25"/>
      <c r="R216" s="82" t="s">
        <v>577</v>
      </c>
      <c r="S216" s="21"/>
      <c r="T216" s="32" t="s">
        <v>315</v>
      </c>
      <c r="U216" s="21"/>
    </row>
    <row r="217" spans="1:21" ht="20.100000000000001" customHeight="1" x14ac:dyDescent="0.3">
      <c r="A217" s="44">
        <v>209</v>
      </c>
      <c r="B217" s="22">
        <v>45288</v>
      </c>
      <c r="C217" s="23"/>
      <c r="D217" s="24" t="s">
        <v>578</v>
      </c>
      <c r="E217" s="25"/>
      <c r="F217" s="26">
        <v>200</v>
      </c>
      <c r="G217" s="62" t="s">
        <v>230</v>
      </c>
      <c r="H217" s="26">
        <v>50</v>
      </c>
      <c r="I217" s="27">
        <f t="shared" si="9"/>
        <v>10000</v>
      </c>
      <c r="J217" s="28"/>
      <c r="K217" s="29">
        <v>116</v>
      </c>
      <c r="L217" s="30">
        <v>0.12</v>
      </c>
      <c r="M217" s="31">
        <f t="shared" si="10"/>
        <v>13.92</v>
      </c>
      <c r="N217" s="31">
        <f t="shared" si="11"/>
        <v>129.91999999999999</v>
      </c>
      <c r="O217" s="25"/>
      <c r="P217" s="22">
        <v>45288</v>
      </c>
      <c r="Q217" s="25"/>
      <c r="R217" s="82" t="s">
        <v>580</v>
      </c>
      <c r="S217" s="21"/>
      <c r="T217" s="32" t="s">
        <v>28</v>
      </c>
      <c r="U217" s="21"/>
    </row>
    <row r="218" spans="1:21" ht="20.100000000000001" customHeight="1" x14ac:dyDescent="0.3">
      <c r="A218" s="44">
        <v>210</v>
      </c>
      <c r="B218" s="22">
        <v>45288</v>
      </c>
      <c r="C218" s="23"/>
      <c r="D218" s="24" t="s">
        <v>579</v>
      </c>
      <c r="E218" s="25"/>
      <c r="F218" s="26">
        <v>10</v>
      </c>
      <c r="G218" s="62" t="s">
        <v>18</v>
      </c>
      <c r="H218" s="26">
        <v>1</v>
      </c>
      <c r="I218" s="27">
        <f t="shared" si="9"/>
        <v>10</v>
      </c>
      <c r="J218" s="28"/>
      <c r="K218" s="29">
        <v>761.45</v>
      </c>
      <c r="L218" s="30">
        <v>0.18</v>
      </c>
      <c r="M218" s="31">
        <f t="shared" si="10"/>
        <v>137.06100000000001</v>
      </c>
      <c r="N218" s="31">
        <f t="shared" si="11"/>
        <v>898.51100000000008</v>
      </c>
      <c r="O218" s="25"/>
      <c r="P218" s="22">
        <v>45288</v>
      </c>
      <c r="Q218" s="25"/>
      <c r="R218" s="82" t="s">
        <v>580</v>
      </c>
      <c r="S218" s="21"/>
      <c r="T218" s="32" t="s">
        <v>28</v>
      </c>
      <c r="U218" s="21"/>
    </row>
    <row r="219" spans="1:21" ht="20.100000000000001" customHeight="1" x14ac:dyDescent="0.3">
      <c r="A219" s="44">
        <v>211</v>
      </c>
      <c r="B219" s="22">
        <v>45288</v>
      </c>
      <c r="C219" s="23"/>
      <c r="D219" s="24" t="s">
        <v>581</v>
      </c>
      <c r="E219" s="25"/>
      <c r="F219" s="26">
        <v>30</v>
      </c>
      <c r="G219" s="62" t="s">
        <v>18</v>
      </c>
      <c r="H219" s="26">
        <v>1</v>
      </c>
      <c r="I219" s="27">
        <f t="shared" si="9"/>
        <v>30</v>
      </c>
      <c r="J219" s="28"/>
      <c r="K219" s="29">
        <v>3500</v>
      </c>
      <c r="L219" s="30"/>
      <c r="M219" s="31">
        <f t="shared" si="10"/>
        <v>0</v>
      </c>
      <c r="N219" s="31">
        <f t="shared" si="11"/>
        <v>3500</v>
      </c>
      <c r="O219" s="25"/>
      <c r="P219" s="22">
        <v>45288</v>
      </c>
      <c r="Q219" s="25"/>
      <c r="R219" s="82" t="s">
        <v>582</v>
      </c>
      <c r="S219" s="21"/>
      <c r="T219" s="32" t="s">
        <v>323</v>
      </c>
      <c r="U219" s="21"/>
    </row>
    <row r="220" spans="1:21" ht="20.100000000000001" customHeight="1" x14ac:dyDescent="0.3">
      <c r="A220" s="44">
        <v>212</v>
      </c>
      <c r="B220" s="22">
        <v>45288</v>
      </c>
      <c r="C220" s="23"/>
      <c r="D220" s="24" t="s">
        <v>400</v>
      </c>
      <c r="E220" s="25"/>
      <c r="F220" s="26">
        <v>600</v>
      </c>
      <c r="G220" s="62" t="s">
        <v>230</v>
      </c>
      <c r="H220" s="26">
        <v>1</v>
      </c>
      <c r="I220" s="27">
        <f t="shared" si="9"/>
        <v>600</v>
      </c>
      <c r="J220" s="28"/>
      <c r="K220" s="29">
        <v>75</v>
      </c>
      <c r="L220" s="30">
        <v>0.12</v>
      </c>
      <c r="M220" s="31">
        <f t="shared" si="10"/>
        <v>9</v>
      </c>
      <c r="N220" s="31">
        <f t="shared" si="11"/>
        <v>84</v>
      </c>
      <c r="O220" s="25"/>
      <c r="P220" s="22">
        <v>45288</v>
      </c>
      <c r="Q220" s="25"/>
      <c r="R220" s="82" t="s">
        <v>583</v>
      </c>
      <c r="S220" s="21"/>
      <c r="T220" s="32" t="s">
        <v>329</v>
      </c>
      <c r="U220" s="21"/>
    </row>
    <row r="221" spans="1:21" ht="20.100000000000001" customHeight="1" x14ac:dyDescent="0.3">
      <c r="A221" s="44">
        <v>213</v>
      </c>
      <c r="B221" s="22">
        <v>45288</v>
      </c>
      <c r="C221" s="23"/>
      <c r="D221" s="24" t="s">
        <v>235</v>
      </c>
      <c r="E221" s="25"/>
      <c r="F221" s="26">
        <v>20</v>
      </c>
      <c r="G221" s="62" t="s">
        <v>18</v>
      </c>
      <c r="H221" s="26">
        <v>25</v>
      </c>
      <c r="I221" s="27">
        <f t="shared" ref="I221:I250" si="12">F221*H221</f>
        <v>500</v>
      </c>
      <c r="J221" s="28"/>
      <c r="K221" s="29">
        <v>3200</v>
      </c>
      <c r="L221" s="30"/>
      <c r="M221" s="31">
        <f t="shared" ref="M221:M250" si="13">K221*L221</f>
        <v>0</v>
      </c>
      <c r="N221" s="31">
        <f t="shared" ref="N221:N250" si="14">K221+M221</f>
        <v>3200</v>
      </c>
      <c r="O221" s="25"/>
      <c r="P221" s="22">
        <v>45288</v>
      </c>
      <c r="Q221" s="25"/>
      <c r="R221" s="82" t="s">
        <v>584</v>
      </c>
      <c r="S221" s="21"/>
      <c r="T221" s="32" t="s">
        <v>234</v>
      </c>
      <c r="U221" s="21"/>
    </row>
    <row r="222" spans="1:21" ht="20.100000000000001" customHeight="1" x14ac:dyDescent="0.3">
      <c r="A222" s="44">
        <v>214</v>
      </c>
      <c r="B222" s="22">
        <v>45299</v>
      </c>
      <c r="C222" s="23"/>
      <c r="D222" s="24" t="s">
        <v>561</v>
      </c>
      <c r="E222" s="25"/>
      <c r="F222" s="26">
        <v>20</v>
      </c>
      <c r="G222" s="62" t="s">
        <v>18</v>
      </c>
      <c r="H222" s="26">
        <v>25</v>
      </c>
      <c r="I222" s="27">
        <f t="shared" si="12"/>
        <v>500</v>
      </c>
      <c r="J222" s="28"/>
      <c r="K222" s="29">
        <v>6700</v>
      </c>
      <c r="L222" s="30"/>
      <c r="M222" s="31">
        <f t="shared" si="13"/>
        <v>0</v>
      </c>
      <c r="N222" s="31">
        <f t="shared" si="14"/>
        <v>6700</v>
      </c>
      <c r="O222" s="25"/>
      <c r="P222" s="22">
        <v>45299</v>
      </c>
      <c r="Q222" s="25"/>
      <c r="R222" s="82" t="s">
        <v>585</v>
      </c>
      <c r="S222" s="21"/>
      <c r="T222" s="32" t="s">
        <v>74</v>
      </c>
      <c r="U222" s="21"/>
    </row>
    <row r="223" spans="1:21" ht="20.100000000000001" customHeight="1" x14ac:dyDescent="0.3">
      <c r="A223" s="44">
        <v>215</v>
      </c>
      <c r="B223" s="22">
        <v>45299</v>
      </c>
      <c r="C223" s="23"/>
      <c r="D223" s="24" t="s">
        <v>285</v>
      </c>
      <c r="E223" s="25"/>
      <c r="F223" s="26">
        <v>40</v>
      </c>
      <c r="G223" s="62" t="s">
        <v>18</v>
      </c>
      <c r="H223" s="26">
        <v>25</v>
      </c>
      <c r="I223" s="27">
        <f t="shared" si="12"/>
        <v>1000</v>
      </c>
      <c r="J223" s="28"/>
      <c r="K223" s="29">
        <v>6038.13</v>
      </c>
      <c r="L223" s="30">
        <v>0.18</v>
      </c>
      <c r="M223" s="31">
        <f t="shared" si="13"/>
        <v>1086.8634</v>
      </c>
      <c r="N223" s="31">
        <f t="shared" si="14"/>
        <v>7124.9934000000003</v>
      </c>
      <c r="O223" s="25"/>
      <c r="P223" s="22">
        <v>45302</v>
      </c>
      <c r="Q223" s="25"/>
      <c r="R223" s="82" t="s">
        <v>586</v>
      </c>
      <c r="S223" s="21"/>
      <c r="T223" s="32" t="s">
        <v>464</v>
      </c>
      <c r="U223" s="21"/>
    </row>
    <row r="224" spans="1:21" ht="20.100000000000001" customHeight="1" x14ac:dyDescent="0.3">
      <c r="A224" s="44">
        <v>216</v>
      </c>
      <c r="B224" s="22">
        <v>45299</v>
      </c>
      <c r="C224" s="23"/>
      <c r="D224" s="24" t="s">
        <v>587</v>
      </c>
      <c r="E224" s="25"/>
      <c r="F224" s="26">
        <v>40</v>
      </c>
      <c r="G224" s="62" t="s">
        <v>18</v>
      </c>
      <c r="H224" s="26">
        <v>25</v>
      </c>
      <c r="I224" s="27">
        <f t="shared" si="12"/>
        <v>1000</v>
      </c>
      <c r="J224" s="28"/>
      <c r="K224" s="29">
        <v>12175</v>
      </c>
      <c r="L224" s="30"/>
      <c r="M224" s="31">
        <f t="shared" si="13"/>
        <v>0</v>
      </c>
      <c r="N224" s="31">
        <f t="shared" si="14"/>
        <v>12175</v>
      </c>
      <c r="O224" s="25"/>
      <c r="P224" s="22">
        <v>45303</v>
      </c>
      <c r="Q224" s="25"/>
      <c r="R224" s="82" t="s">
        <v>588</v>
      </c>
      <c r="S224" s="21"/>
      <c r="T224" s="32" t="s">
        <v>98</v>
      </c>
      <c r="U224" s="21"/>
    </row>
    <row r="225" spans="1:21" ht="20.100000000000001" customHeight="1" x14ac:dyDescent="0.3">
      <c r="A225" s="44">
        <v>217</v>
      </c>
      <c r="B225" s="22">
        <v>45303</v>
      </c>
      <c r="C225" s="23"/>
      <c r="D225" s="24" t="s">
        <v>380</v>
      </c>
      <c r="E225" s="25"/>
      <c r="F225" s="26">
        <v>504</v>
      </c>
      <c r="G225" s="62" t="s">
        <v>18</v>
      </c>
      <c r="H225" s="26">
        <v>1</v>
      </c>
      <c r="I225" s="27">
        <f t="shared" si="12"/>
        <v>504</v>
      </c>
      <c r="J225" s="28"/>
      <c r="K225" s="29">
        <v>135</v>
      </c>
      <c r="L225" s="30"/>
      <c r="M225" s="31">
        <f t="shared" si="13"/>
        <v>0</v>
      </c>
      <c r="N225" s="31">
        <f t="shared" si="14"/>
        <v>135</v>
      </c>
      <c r="O225" s="25"/>
      <c r="P225" s="22">
        <v>45303</v>
      </c>
      <c r="Q225" s="25"/>
      <c r="R225" s="82" t="s">
        <v>589</v>
      </c>
      <c r="S225" s="21"/>
      <c r="T225" s="32" t="s">
        <v>28</v>
      </c>
      <c r="U225" s="21"/>
    </row>
    <row r="226" spans="1:21" ht="20.100000000000001" customHeight="1" x14ac:dyDescent="0.3">
      <c r="A226" s="44">
        <v>218</v>
      </c>
      <c r="B226" s="22" t="s">
        <v>189</v>
      </c>
      <c r="C226" s="23"/>
      <c r="D226" s="24" t="s">
        <v>540</v>
      </c>
      <c r="E226" s="25"/>
      <c r="F226" s="26">
        <v>320</v>
      </c>
      <c r="G226" s="62" t="s">
        <v>18</v>
      </c>
      <c r="H226" s="26">
        <v>25</v>
      </c>
      <c r="I226" s="27">
        <f t="shared" ref="I226" si="15">F226*H226</f>
        <v>8000</v>
      </c>
      <c r="J226" s="28"/>
      <c r="K226" s="29">
        <v>1440.68</v>
      </c>
      <c r="L226" s="30">
        <v>0.18</v>
      </c>
      <c r="M226" s="31">
        <f t="shared" ref="M226" si="16">K226*L226</f>
        <v>259.32240000000002</v>
      </c>
      <c r="N226" s="31">
        <f t="shared" ref="N226" si="17">K226+M226</f>
        <v>1700.0024000000001</v>
      </c>
      <c r="O226" s="25"/>
      <c r="P226" s="22">
        <v>45306</v>
      </c>
      <c r="Q226" s="25"/>
      <c r="R226" s="82" t="s">
        <v>590</v>
      </c>
      <c r="S226" s="21"/>
      <c r="T226" s="32" t="s">
        <v>375</v>
      </c>
      <c r="U226" s="21"/>
    </row>
    <row r="227" spans="1:21" ht="20.100000000000001" customHeight="1" x14ac:dyDescent="0.3">
      <c r="A227" s="44">
        <v>219</v>
      </c>
      <c r="B227" s="22">
        <v>45307</v>
      </c>
      <c r="C227" s="23"/>
      <c r="D227" s="24" t="s">
        <v>591</v>
      </c>
      <c r="E227" s="25"/>
      <c r="F227" s="26">
        <v>24</v>
      </c>
      <c r="G227" s="62" t="s">
        <v>51</v>
      </c>
      <c r="H227" s="26">
        <v>1000</v>
      </c>
      <c r="I227" s="27">
        <f t="shared" si="12"/>
        <v>24000</v>
      </c>
      <c r="J227" s="28"/>
      <c r="K227" s="29">
        <v>1025</v>
      </c>
      <c r="L227" s="30">
        <v>0.05</v>
      </c>
      <c r="M227" s="31">
        <f t="shared" si="13"/>
        <v>51.25</v>
      </c>
      <c r="N227" s="31">
        <f t="shared" si="14"/>
        <v>1076.25</v>
      </c>
      <c r="O227" s="25"/>
      <c r="P227" s="22">
        <v>45307</v>
      </c>
      <c r="Q227" s="25"/>
      <c r="R227" s="82" t="s">
        <v>592</v>
      </c>
      <c r="S227" s="21"/>
      <c r="T227" s="32" t="s">
        <v>309</v>
      </c>
      <c r="U227" s="21"/>
    </row>
    <row r="228" spans="1:21" ht="20.100000000000001" customHeight="1" x14ac:dyDescent="0.3">
      <c r="A228" s="44">
        <v>220</v>
      </c>
      <c r="B228" s="22">
        <v>45310</v>
      </c>
      <c r="C228" s="23"/>
      <c r="D228" s="24" t="s">
        <v>593</v>
      </c>
      <c r="E228" s="25"/>
      <c r="F228" s="26">
        <v>5</v>
      </c>
      <c r="G228" s="62" t="s">
        <v>18</v>
      </c>
      <c r="H228" s="26">
        <v>20</v>
      </c>
      <c r="I228" s="27">
        <f t="shared" si="12"/>
        <v>100</v>
      </c>
      <c r="J228" s="28"/>
      <c r="K228" s="29">
        <v>31000</v>
      </c>
      <c r="L228" s="30"/>
      <c r="M228" s="31">
        <f t="shared" si="13"/>
        <v>0</v>
      </c>
      <c r="N228" s="31">
        <f t="shared" si="14"/>
        <v>31000</v>
      </c>
      <c r="O228" s="25"/>
      <c r="P228" s="22">
        <v>45311</v>
      </c>
      <c r="Q228" s="25"/>
      <c r="R228" s="82" t="s">
        <v>594</v>
      </c>
      <c r="S228" s="21"/>
      <c r="T228" s="32" t="s">
        <v>326</v>
      </c>
      <c r="U228" s="21"/>
    </row>
    <row r="229" spans="1:21" ht="20.100000000000001" customHeight="1" x14ac:dyDescent="0.3">
      <c r="A229" s="44">
        <v>221</v>
      </c>
      <c r="B229" s="22">
        <v>45310</v>
      </c>
      <c r="C229" s="23"/>
      <c r="D229" s="24" t="s">
        <v>284</v>
      </c>
      <c r="E229" s="25"/>
      <c r="F229" s="26">
        <v>40</v>
      </c>
      <c r="G229" s="62" t="s">
        <v>18</v>
      </c>
      <c r="H229" s="26">
        <v>25</v>
      </c>
      <c r="I229" s="27">
        <f t="shared" si="12"/>
        <v>1000</v>
      </c>
      <c r="J229" s="28"/>
      <c r="K229" s="29">
        <v>3177.98</v>
      </c>
      <c r="L229" s="30">
        <v>0.18</v>
      </c>
      <c r="M229" s="31">
        <f t="shared" si="13"/>
        <v>572.03639999999996</v>
      </c>
      <c r="N229" s="31">
        <f t="shared" si="14"/>
        <v>3750.0164</v>
      </c>
      <c r="O229" s="25"/>
      <c r="P229" s="22">
        <v>45311</v>
      </c>
      <c r="Q229" s="25"/>
      <c r="R229" s="82" t="s">
        <v>595</v>
      </c>
      <c r="S229" s="21"/>
      <c r="T229" s="32" t="s">
        <v>464</v>
      </c>
      <c r="U229" s="21"/>
    </row>
    <row r="230" spans="1:21" ht="20.100000000000001" customHeight="1" x14ac:dyDescent="0.3">
      <c r="A230" s="44">
        <v>222</v>
      </c>
      <c r="B230" s="22">
        <v>45313</v>
      </c>
      <c r="C230" s="23"/>
      <c r="D230" s="24" t="s">
        <v>291</v>
      </c>
      <c r="E230" s="25"/>
      <c r="F230" s="26">
        <v>25</v>
      </c>
      <c r="G230" s="62" t="s">
        <v>18</v>
      </c>
      <c r="H230" s="26">
        <v>20</v>
      </c>
      <c r="I230" s="27">
        <f t="shared" si="12"/>
        <v>500</v>
      </c>
      <c r="J230" s="28"/>
      <c r="K230" s="29">
        <v>3000</v>
      </c>
      <c r="L230" s="30"/>
      <c r="M230" s="31">
        <f t="shared" si="13"/>
        <v>0</v>
      </c>
      <c r="N230" s="31">
        <f t="shared" si="14"/>
        <v>3000</v>
      </c>
      <c r="O230" s="25"/>
      <c r="P230" s="22">
        <v>45313</v>
      </c>
      <c r="Q230" s="25"/>
      <c r="R230" s="82" t="s">
        <v>596</v>
      </c>
      <c r="S230" s="21"/>
      <c r="T230" s="32" t="s">
        <v>312</v>
      </c>
      <c r="U230" s="21"/>
    </row>
    <row r="231" spans="1:21" ht="20.100000000000001" customHeight="1" x14ac:dyDescent="0.3">
      <c r="A231" s="44">
        <v>223</v>
      </c>
      <c r="B231" s="22">
        <v>45313</v>
      </c>
      <c r="C231" s="23"/>
      <c r="D231" s="24" t="s">
        <v>500</v>
      </c>
      <c r="E231" s="25"/>
      <c r="F231" s="26">
        <v>8</v>
      </c>
      <c r="G231" s="62" t="s">
        <v>18</v>
      </c>
      <c r="H231" s="26">
        <v>25</v>
      </c>
      <c r="I231" s="27">
        <f t="shared" si="12"/>
        <v>200</v>
      </c>
      <c r="J231" s="28"/>
      <c r="K231" s="29">
        <v>6000</v>
      </c>
      <c r="L231" s="30"/>
      <c r="M231" s="31">
        <f t="shared" si="13"/>
        <v>0</v>
      </c>
      <c r="N231" s="31">
        <f t="shared" si="14"/>
        <v>6000</v>
      </c>
      <c r="O231" s="25"/>
      <c r="P231" s="22">
        <v>45313</v>
      </c>
      <c r="Q231" s="25"/>
      <c r="R231" s="82" t="s">
        <v>598</v>
      </c>
      <c r="S231" s="21"/>
      <c r="T231" s="32" t="s">
        <v>28</v>
      </c>
      <c r="U231" s="21"/>
    </row>
    <row r="232" spans="1:21" ht="20.100000000000001" customHeight="1" x14ac:dyDescent="0.3">
      <c r="A232" s="44">
        <v>224</v>
      </c>
      <c r="B232" s="22">
        <v>45313</v>
      </c>
      <c r="C232" s="23"/>
      <c r="D232" s="24" t="s">
        <v>597</v>
      </c>
      <c r="E232" s="25"/>
      <c r="F232" s="26">
        <v>16</v>
      </c>
      <c r="G232" s="62" t="s">
        <v>18</v>
      </c>
      <c r="H232" s="26">
        <v>5</v>
      </c>
      <c r="I232" s="27">
        <f t="shared" si="12"/>
        <v>80</v>
      </c>
      <c r="J232" s="28"/>
      <c r="K232" s="89">
        <v>2875</v>
      </c>
      <c r="L232" s="30"/>
      <c r="M232" s="31">
        <f t="shared" si="13"/>
        <v>0</v>
      </c>
      <c r="N232" s="31">
        <f t="shared" si="14"/>
        <v>2875</v>
      </c>
      <c r="O232" s="25"/>
      <c r="P232" s="22">
        <v>45313</v>
      </c>
      <c r="Q232" s="25"/>
      <c r="R232" s="82" t="s">
        <v>598</v>
      </c>
      <c r="S232" s="21"/>
      <c r="T232" s="32" t="s">
        <v>28</v>
      </c>
      <c r="U232" s="21"/>
    </row>
    <row r="233" spans="1:21" ht="20.100000000000001" customHeight="1" x14ac:dyDescent="0.3">
      <c r="A233" s="44">
        <v>225</v>
      </c>
      <c r="B233" s="22">
        <v>45313</v>
      </c>
      <c r="C233" s="23"/>
      <c r="D233" s="80" t="s">
        <v>552</v>
      </c>
      <c r="E233" s="25"/>
      <c r="F233" s="26">
        <v>12</v>
      </c>
      <c r="G233" s="62" t="s">
        <v>18</v>
      </c>
      <c r="H233" s="26">
        <v>25</v>
      </c>
      <c r="I233" s="27">
        <f t="shared" si="12"/>
        <v>300</v>
      </c>
      <c r="J233" s="28"/>
      <c r="K233" s="29">
        <v>16875</v>
      </c>
      <c r="L233" s="30"/>
      <c r="M233" s="31">
        <f t="shared" si="13"/>
        <v>0</v>
      </c>
      <c r="N233" s="31">
        <f t="shared" si="14"/>
        <v>16875</v>
      </c>
      <c r="O233" s="25"/>
      <c r="P233" s="22">
        <v>45313</v>
      </c>
      <c r="Q233" s="25"/>
      <c r="R233" s="82" t="s">
        <v>599</v>
      </c>
      <c r="S233" s="21"/>
      <c r="T233" s="32" t="s">
        <v>323</v>
      </c>
      <c r="U233" s="21"/>
    </row>
    <row r="234" spans="1:21" ht="20.100000000000001" customHeight="1" x14ac:dyDescent="0.3">
      <c r="A234" s="44">
        <v>226</v>
      </c>
      <c r="B234" s="22">
        <v>45310</v>
      </c>
      <c r="C234" s="23"/>
      <c r="D234" s="24" t="s">
        <v>497</v>
      </c>
      <c r="E234" s="25"/>
      <c r="F234" s="26">
        <v>40</v>
      </c>
      <c r="G234" s="62" t="s">
        <v>18</v>
      </c>
      <c r="H234" s="26">
        <v>50</v>
      </c>
      <c r="I234" s="27">
        <f t="shared" si="12"/>
        <v>2000</v>
      </c>
      <c r="J234" s="28"/>
      <c r="K234" s="29">
        <v>2033.9</v>
      </c>
      <c r="L234" s="30">
        <v>0.18</v>
      </c>
      <c r="M234" s="31">
        <f t="shared" si="13"/>
        <v>366.10199999999998</v>
      </c>
      <c r="N234" s="31">
        <f t="shared" si="14"/>
        <v>2400.002</v>
      </c>
      <c r="O234" s="25"/>
      <c r="P234" s="22">
        <v>45315</v>
      </c>
      <c r="Q234" s="25"/>
      <c r="R234" s="82" t="s">
        <v>600</v>
      </c>
      <c r="S234" s="21"/>
      <c r="T234" s="32" t="s">
        <v>375</v>
      </c>
      <c r="U234" s="21"/>
    </row>
    <row r="235" spans="1:21" ht="20.100000000000001" customHeight="1" x14ac:dyDescent="0.3">
      <c r="A235" s="44">
        <v>227</v>
      </c>
      <c r="B235" s="22">
        <v>45320</v>
      </c>
      <c r="C235" s="23"/>
      <c r="D235" s="24" t="s">
        <v>601</v>
      </c>
      <c r="E235" s="25"/>
      <c r="F235" s="26">
        <v>51</v>
      </c>
      <c r="G235" s="62" t="s">
        <v>51</v>
      </c>
      <c r="H235" s="26">
        <v>1000</v>
      </c>
      <c r="I235" s="27">
        <f t="shared" si="12"/>
        <v>51000</v>
      </c>
      <c r="J235" s="28"/>
      <c r="K235" s="29">
        <v>1150</v>
      </c>
      <c r="L235" s="30">
        <v>0.05</v>
      </c>
      <c r="M235" s="31">
        <f t="shared" si="13"/>
        <v>57.5</v>
      </c>
      <c r="N235" s="31">
        <f t="shared" si="14"/>
        <v>1207.5</v>
      </c>
      <c r="O235" s="25"/>
      <c r="P235" s="22">
        <v>45320</v>
      </c>
      <c r="Q235" s="25"/>
      <c r="R235" s="82" t="s">
        <v>604</v>
      </c>
      <c r="S235" s="21"/>
      <c r="T235" s="32" t="s">
        <v>124</v>
      </c>
      <c r="U235" s="21"/>
    </row>
    <row r="236" spans="1:21" ht="20.100000000000001" customHeight="1" x14ac:dyDescent="0.3">
      <c r="A236" s="44">
        <v>228</v>
      </c>
      <c r="B236" s="22">
        <v>45320</v>
      </c>
      <c r="C236" s="23"/>
      <c r="D236" s="24" t="s">
        <v>602</v>
      </c>
      <c r="E236" s="25"/>
      <c r="F236" s="26">
        <v>51</v>
      </c>
      <c r="G236" s="62" t="s">
        <v>51</v>
      </c>
      <c r="H236" s="26">
        <v>1000</v>
      </c>
      <c r="I236" s="27">
        <f t="shared" si="12"/>
        <v>51000</v>
      </c>
      <c r="J236" s="28"/>
      <c r="K236" s="29">
        <v>1500</v>
      </c>
      <c r="L236" s="30">
        <v>0.05</v>
      </c>
      <c r="M236" s="31">
        <f t="shared" si="13"/>
        <v>75</v>
      </c>
      <c r="N236" s="31">
        <f t="shared" si="14"/>
        <v>1575</v>
      </c>
      <c r="O236" s="25"/>
      <c r="P236" s="22">
        <v>45320</v>
      </c>
      <c r="Q236" s="25"/>
      <c r="R236" s="82" t="s">
        <v>604</v>
      </c>
      <c r="S236" s="21"/>
      <c r="T236" s="32" t="s">
        <v>124</v>
      </c>
      <c r="U236" s="21"/>
    </row>
    <row r="237" spans="1:21" ht="20.100000000000001" customHeight="1" x14ac:dyDescent="0.3">
      <c r="A237" s="44">
        <v>229</v>
      </c>
      <c r="B237" s="22">
        <v>45320</v>
      </c>
      <c r="C237" s="23"/>
      <c r="D237" s="24" t="s">
        <v>603</v>
      </c>
      <c r="E237" s="25"/>
      <c r="F237" s="26">
        <v>140</v>
      </c>
      <c r="G237" s="62" t="s">
        <v>51</v>
      </c>
      <c r="H237" s="26">
        <v>1000</v>
      </c>
      <c r="I237" s="27">
        <f t="shared" si="12"/>
        <v>140000</v>
      </c>
      <c r="J237" s="28"/>
      <c r="K237" s="29">
        <v>926.15</v>
      </c>
      <c r="L237" s="30">
        <v>0.05</v>
      </c>
      <c r="M237" s="31">
        <f t="shared" si="13"/>
        <v>46.307500000000005</v>
      </c>
      <c r="N237" s="31">
        <f t="shared" si="14"/>
        <v>972.45749999999998</v>
      </c>
      <c r="O237" s="25"/>
      <c r="P237" s="22">
        <v>45320</v>
      </c>
      <c r="Q237" s="25"/>
      <c r="R237" s="82" t="s">
        <v>604</v>
      </c>
      <c r="S237" s="21"/>
      <c r="T237" s="32" t="s">
        <v>124</v>
      </c>
      <c r="U237" s="21"/>
    </row>
    <row r="238" spans="1:21" ht="20.100000000000001" customHeight="1" x14ac:dyDescent="0.3">
      <c r="A238" s="44">
        <v>230</v>
      </c>
      <c r="B238" s="22">
        <v>45320</v>
      </c>
      <c r="C238" s="23"/>
      <c r="D238" s="24" t="s">
        <v>517</v>
      </c>
      <c r="E238" s="25"/>
      <c r="F238" s="26">
        <v>89</v>
      </c>
      <c r="G238" s="62" t="s">
        <v>51</v>
      </c>
      <c r="H238" s="26">
        <v>1000</v>
      </c>
      <c r="I238" s="27">
        <f t="shared" si="12"/>
        <v>89000</v>
      </c>
      <c r="J238" s="28"/>
      <c r="K238" s="29">
        <v>2498.91</v>
      </c>
      <c r="L238" s="30">
        <v>0.05</v>
      </c>
      <c r="M238" s="31">
        <f t="shared" si="13"/>
        <v>124.9455</v>
      </c>
      <c r="N238" s="31">
        <f t="shared" si="14"/>
        <v>2623.8554999999997</v>
      </c>
      <c r="O238" s="25"/>
      <c r="P238" s="22">
        <v>45320</v>
      </c>
      <c r="Q238" s="25"/>
      <c r="R238" s="82" t="s">
        <v>604</v>
      </c>
      <c r="S238" s="21"/>
      <c r="T238" s="32" t="s">
        <v>124</v>
      </c>
      <c r="U238" s="21"/>
    </row>
    <row r="239" spans="1:21" ht="20.100000000000001" customHeight="1" x14ac:dyDescent="0.3">
      <c r="A239" s="44">
        <v>231</v>
      </c>
      <c r="B239" s="22">
        <v>45320</v>
      </c>
      <c r="C239" s="23"/>
      <c r="D239" s="24" t="s">
        <v>345</v>
      </c>
      <c r="E239" s="25"/>
      <c r="F239" s="26">
        <v>100</v>
      </c>
      <c r="G239" s="62" t="s">
        <v>51</v>
      </c>
      <c r="H239" s="26">
        <v>2500</v>
      </c>
      <c r="I239" s="27">
        <f t="shared" si="12"/>
        <v>250000</v>
      </c>
      <c r="J239" s="28"/>
      <c r="K239" s="29">
        <v>550</v>
      </c>
      <c r="L239" s="30">
        <v>0.05</v>
      </c>
      <c r="M239" s="31">
        <f t="shared" si="13"/>
        <v>27.5</v>
      </c>
      <c r="N239" s="31">
        <f t="shared" si="14"/>
        <v>577.5</v>
      </c>
      <c r="O239" s="25"/>
      <c r="P239" s="22">
        <v>45321</v>
      </c>
      <c r="Q239" s="25"/>
      <c r="R239" s="82" t="s">
        <v>608</v>
      </c>
      <c r="S239" s="21"/>
      <c r="T239" s="32" t="s">
        <v>609</v>
      </c>
      <c r="U239" s="21"/>
    </row>
    <row r="240" spans="1:21" ht="20.100000000000001" customHeight="1" x14ac:dyDescent="0.3">
      <c r="A240" s="44">
        <v>232</v>
      </c>
      <c r="B240" s="22">
        <v>45320</v>
      </c>
      <c r="C240" s="23"/>
      <c r="D240" s="24" t="s">
        <v>605</v>
      </c>
      <c r="E240" s="25"/>
      <c r="F240" s="26">
        <v>21</v>
      </c>
      <c r="G240" s="62" t="s">
        <v>51</v>
      </c>
      <c r="H240" s="26">
        <v>2500</v>
      </c>
      <c r="I240" s="27">
        <f t="shared" si="12"/>
        <v>52500</v>
      </c>
      <c r="J240" s="28"/>
      <c r="K240" s="29">
        <v>296</v>
      </c>
      <c r="L240" s="30">
        <v>0.05</v>
      </c>
      <c r="M240" s="31">
        <f t="shared" si="13"/>
        <v>14.8</v>
      </c>
      <c r="N240" s="31">
        <f t="shared" si="14"/>
        <v>310.8</v>
      </c>
      <c r="O240" s="25"/>
      <c r="P240" s="22">
        <v>45321</v>
      </c>
      <c r="Q240" s="25"/>
      <c r="R240" s="82" t="s">
        <v>608</v>
      </c>
      <c r="S240" s="21"/>
      <c r="T240" s="32" t="s">
        <v>609</v>
      </c>
      <c r="U240" s="21"/>
    </row>
    <row r="241" spans="1:21" ht="20.100000000000001" customHeight="1" x14ac:dyDescent="0.3">
      <c r="A241" s="44">
        <v>233</v>
      </c>
      <c r="B241" s="22">
        <v>45320</v>
      </c>
      <c r="C241" s="23"/>
      <c r="D241" s="24" t="s">
        <v>606</v>
      </c>
      <c r="E241" s="25"/>
      <c r="F241" s="26">
        <v>51</v>
      </c>
      <c r="G241" s="62" t="s">
        <v>51</v>
      </c>
      <c r="H241" s="26">
        <v>1000</v>
      </c>
      <c r="I241" s="27">
        <f t="shared" si="12"/>
        <v>51000</v>
      </c>
      <c r="J241" s="28"/>
      <c r="K241" s="29">
        <v>1875</v>
      </c>
      <c r="L241" s="30">
        <v>0.05</v>
      </c>
      <c r="M241" s="31">
        <f t="shared" si="13"/>
        <v>93.75</v>
      </c>
      <c r="N241" s="31">
        <f t="shared" si="14"/>
        <v>1968.75</v>
      </c>
      <c r="O241" s="25"/>
      <c r="P241" s="22">
        <v>45321</v>
      </c>
      <c r="Q241" s="25"/>
      <c r="R241" s="82" t="s">
        <v>608</v>
      </c>
      <c r="S241" s="21"/>
      <c r="T241" s="32" t="s">
        <v>609</v>
      </c>
      <c r="U241" s="21"/>
    </row>
    <row r="242" spans="1:21" ht="20.100000000000001" customHeight="1" x14ac:dyDescent="0.3">
      <c r="A242" s="44">
        <v>234</v>
      </c>
      <c r="B242" s="22">
        <v>45320</v>
      </c>
      <c r="C242" s="23"/>
      <c r="D242" s="24" t="s">
        <v>607</v>
      </c>
      <c r="E242" s="25"/>
      <c r="F242" s="26">
        <v>50</v>
      </c>
      <c r="G242" s="62" t="s">
        <v>51</v>
      </c>
      <c r="H242" s="26">
        <v>1000</v>
      </c>
      <c r="I242" s="27">
        <f t="shared" si="12"/>
        <v>50000</v>
      </c>
      <c r="J242" s="28"/>
      <c r="K242" s="29">
        <v>5538</v>
      </c>
      <c r="L242" s="30">
        <v>0.05</v>
      </c>
      <c r="M242" s="31">
        <f t="shared" si="13"/>
        <v>276.90000000000003</v>
      </c>
      <c r="N242" s="31">
        <f t="shared" si="14"/>
        <v>5814.9</v>
      </c>
      <c r="O242" s="25"/>
      <c r="P242" s="22">
        <v>45321</v>
      </c>
      <c r="Q242" s="25"/>
      <c r="R242" s="82" t="s">
        <v>608</v>
      </c>
      <c r="S242" s="21"/>
      <c r="T242" s="32" t="s">
        <v>609</v>
      </c>
      <c r="U242" s="21"/>
    </row>
    <row r="243" spans="1:21" ht="20.100000000000001" customHeight="1" x14ac:dyDescent="0.3">
      <c r="A243" s="44">
        <v>235</v>
      </c>
      <c r="B243" s="22">
        <v>45320</v>
      </c>
      <c r="C243" s="23"/>
      <c r="D243" s="24" t="s">
        <v>610</v>
      </c>
      <c r="E243" s="25"/>
      <c r="F243" s="26">
        <v>96</v>
      </c>
      <c r="G243" s="62" t="s">
        <v>51</v>
      </c>
      <c r="H243" s="26">
        <v>1000</v>
      </c>
      <c r="I243" s="27">
        <f t="shared" si="12"/>
        <v>96000</v>
      </c>
      <c r="J243" s="28"/>
      <c r="K243" s="29">
        <v>1995</v>
      </c>
      <c r="L243" s="30">
        <v>0.05</v>
      </c>
      <c r="M243" s="31">
        <f t="shared" si="13"/>
        <v>99.75</v>
      </c>
      <c r="N243" s="31">
        <f t="shared" si="14"/>
        <v>2094.75</v>
      </c>
      <c r="O243" s="25"/>
      <c r="P243" s="22">
        <v>45321</v>
      </c>
      <c r="Q243" s="25"/>
      <c r="R243" s="82" t="s">
        <v>615</v>
      </c>
      <c r="S243" s="21"/>
      <c r="T243" s="32" t="s">
        <v>309</v>
      </c>
      <c r="U243" s="21"/>
    </row>
    <row r="244" spans="1:21" ht="20.100000000000001" customHeight="1" x14ac:dyDescent="0.3">
      <c r="A244" s="44">
        <v>236</v>
      </c>
      <c r="B244" s="22">
        <v>45320</v>
      </c>
      <c r="C244" s="23"/>
      <c r="D244" s="80" t="s">
        <v>407</v>
      </c>
      <c r="E244" s="25"/>
      <c r="F244" s="26">
        <v>140</v>
      </c>
      <c r="G244" s="62" t="s">
        <v>51</v>
      </c>
      <c r="H244" s="26">
        <v>1000</v>
      </c>
      <c r="I244" s="27">
        <f t="shared" si="12"/>
        <v>140000</v>
      </c>
      <c r="J244" s="28"/>
      <c r="K244" s="29">
        <v>3255</v>
      </c>
      <c r="L244" s="30">
        <v>0.05</v>
      </c>
      <c r="M244" s="31">
        <f t="shared" si="13"/>
        <v>162.75</v>
      </c>
      <c r="N244" s="31">
        <f t="shared" si="14"/>
        <v>3417.75</v>
      </c>
      <c r="O244" s="25"/>
      <c r="P244" s="22">
        <v>45321</v>
      </c>
      <c r="Q244" s="25"/>
      <c r="R244" s="82" t="s">
        <v>615</v>
      </c>
      <c r="S244" s="21"/>
      <c r="T244" s="32" t="s">
        <v>309</v>
      </c>
      <c r="U244" s="21"/>
    </row>
    <row r="245" spans="1:21" ht="20.100000000000001" customHeight="1" x14ac:dyDescent="0.3">
      <c r="A245" s="44">
        <v>237</v>
      </c>
      <c r="B245" s="22">
        <v>45320</v>
      </c>
      <c r="C245" s="23"/>
      <c r="D245" s="24" t="s">
        <v>611</v>
      </c>
      <c r="E245" s="25"/>
      <c r="F245" s="26">
        <v>223</v>
      </c>
      <c r="G245" s="62" t="s">
        <v>51</v>
      </c>
      <c r="H245" s="26">
        <v>1000</v>
      </c>
      <c r="I245" s="27">
        <f t="shared" si="12"/>
        <v>223000</v>
      </c>
      <c r="J245" s="28"/>
      <c r="K245" s="29">
        <v>896</v>
      </c>
      <c r="L245" s="30">
        <v>0.05</v>
      </c>
      <c r="M245" s="31">
        <f t="shared" si="13"/>
        <v>44.800000000000004</v>
      </c>
      <c r="N245" s="31">
        <f t="shared" si="14"/>
        <v>940.8</v>
      </c>
      <c r="O245" s="25"/>
      <c r="P245" s="22">
        <v>45321</v>
      </c>
      <c r="Q245" s="25"/>
      <c r="R245" s="82" t="s">
        <v>615</v>
      </c>
      <c r="S245" s="21"/>
      <c r="T245" s="32" t="s">
        <v>309</v>
      </c>
      <c r="U245" s="21"/>
    </row>
    <row r="246" spans="1:21" ht="20.100000000000001" customHeight="1" x14ac:dyDescent="0.3">
      <c r="A246" s="44">
        <v>238</v>
      </c>
      <c r="B246" s="22">
        <v>45320</v>
      </c>
      <c r="C246" s="23"/>
      <c r="D246" s="24" t="s">
        <v>612</v>
      </c>
      <c r="E246" s="25"/>
      <c r="F246" s="26">
        <v>89</v>
      </c>
      <c r="G246" s="62" t="s">
        <v>51</v>
      </c>
      <c r="H246" s="26">
        <v>1000</v>
      </c>
      <c r="I246" s="27">
        <f t="shared" si="12"/>
        <v>89000</v>
      </c>
      <c r="J246" s="28"/>
      <c r="K246" s="29">
        <v>1575</v>
      </c>
      <c r="L246" s="30">
        <v>0.05</v>
      </c>
      <c r="M246" s="31">
        <f t="shared" si="13"/>
        <v>78.75</v>
      </c>
      <c r="N246" s="31">
        <f t="shared" si="14"/>
        <v>1653.75</v>
      </c>
      <c r="O246" s="25"/>
      <c r="P246" s="22">
        <v>45321</v>
      </c>
      <c r="Q246" s="25"/>
      <c r="R246" s="82" t="s">
        <v>615</v>
      </c>
      <c r="S246" s="21"/>
      <c r="T246" s="32" t="s">
        <v>309</v>
      </c>
      <c r="U246" s="21"/>
    </row>
    <row r="247" spans="1:21" ht="20.100000000000001" customHeight="1" x14ac:dyDescent="0.3">
      <c r="A247" s="44">
        <v>239</v>
      </c>
      <c r="B247" s="22">
        <v>45320</v>
      </c>
      <c r="C247" s="23"/>
      <c r="D247" s="24" t="s">
        <v>613</v>
      </c>
      <c r="E247" s="25"/>
      <c r="F247" s="26">
        <v>91</v>
      </c>
      <c r="G247" s="62" t="s">
        <v>51</v>
      </c>
      <c r="H247" s="26">
        <v>1000</v>
      </c>
      <c r="I247" s="27">
        <f t="shared" si="12"/>
        <v>91000</v>
      </c>
      <c r="J247" s="28"/>
      <c r="K247" s="29">
        <v>4200</v>
      </c>
      <c r="L247" s="30">
        <v>0.05</v>
      </c>
      <c r="M247" s="31">
        <f t="shared" si="13"/>
        <v>210</v>
      </c>
      <c r="N247" s="31">
        <f t="shared" si="14"/>
        <v>4410</v>
      </c>
      <c r="O247" s="25"/>
      <c r="P247" s="22">
        <v>45321</v>
      </c>
      <c r="Q247" s="25"/>
      <c r="R247" s="82" t="s">
        <v>615</v>
      </c>
      <c r="S247" s="21"/>
      <c r="T247" s="32" t="s">
        <v>309</v>
      </c>
      <c r="U247" s="21"/>
    </row>
    <row r="248" spans="1:21" ht="20.100000000000001" customHeight="1" x14ac:dyDescent="0.3">
      <c r="A248" s="44">
        <v>240</v>
      </c>
      <c r="B248" s="22">
        <v>45320</v>
      </c>
      <c r="C248" s="23"/>
      <c r="D248" s="24" t="s">
        <v>614</v>
      </c>
      <c r="E248" s="25"/>
      <c r="F248" s="26">
        <v>51</v>
      </c>
      <c r="G248" s="62" t="s">
        <v>51</v>
      </c>
      <c r="H248" s="26">
        <v>1000</v>
      </c>
      <c r="I248" s="27">
        <f t="shared" si="12"/>
        <v>51000</v>
      </c>
      <c r="J248" s="28"/>
      <c r="K248" s="29">
        <v>2021</v>
      </c>
      <c r="L248" s="30">
        <v>0.05</v>
      </c>
      <c r="M248" s="31">
        <f t="shared" si="13"/>
        <v>101.05000000000001</v>
      </c>
      <c r="N248" s="31">
        <f t="shared" si="14"/>
        <v>2122.0500000000002</v>
      </c>
      <c r="O248" s="25"/>
      <c r="P248" s="22">
        <v>45321</v>
      </c>
      <c r="Q248" s="25"/>
      <c r="R248" s="82" t="s">
        <v>615</v>
      </c>
      <c r="S248" s="21"/>
      <c r="T248" s="32" t="s">
        <v>309</v>
      </c>
      <c r="U248" s="21"/>
    </row>
    <row r="249" spans="1:21" ht="20.100000000000001" customHeight="1" x14ac:dyDescent="0.3">
      <c r="A249" s="44">
        <v>241</v>
      </c>
      <c r="B249" s="22">
        <v>45320</v>
      </c>
      <c r="C249" s="23"/>
      <c r="D249" s="24" t="s">
        <v>249</v>
      </c>
      <c r="E249" s="25"/>
      <c r="F249" s="26">
        <v>51</v>
      </c>
      <c r="G249" s="62" t="s">
        <v>51</v>
      </c>
      <c r="H249" s="26">
        <v>1000</v>
      </c>
      <c r="I249" s="27">
        <f t="shared" si="12"/>
        <v>51000</v>
      </c>
      <c r="J249" s="28"/>
      <c r="K249" s="29">
        <v>2835</v>
      </c>
      <c r="L249" s="30">
        <v>0.05</v>
      </c>
      <c r="M249" s="31">
        <f t="shared" si="13"/>
        <v>141.75</v>
      </c>
      <c r="N249" s="31">
        <f t="shared" si="14"/>
        <v>2976.75</v>
      </c>
      <c r="O249" s="25"/>
      <c r="P249" s="22">
        <v>45321</v>
      </c>
      <c r="Q249" s="25"/>
      <c r="R249" s="82" t="s">
        <v>615</v>
      </c>
      <c r="S249" s="21"/>
      <c r="T249" s="32" t="s">
        <v>309</v>
      </c>
      <c r="U249" s="21"/>
    </row>
    <row r="250" spans="1:21" ht="20.100000000000001" customHeight="1" x14ac:dyDescent="0.3">
      <c r="A250" s="44">
        <v>242</v>
      </c>
      <c r="B250" s="22">
        <v>45320</v>
      </c>
      <c r="C250" s="23"/>
      <c r="D250" s="24" t="s">
        <v>616</v>
      </c>
      <c r="E250" s="25"/>
      <c r="F250" s="26">
        <v>45</v>
      </c>
      <c r="G250" s="62" t="s">
        <v>51</v>
      </c>
      <c r="H250" s="26">
        <v>1000</v>
      </c>
      <c r="I250" s="27">
        <f t="shared" si="12"/>
        <v>45000</v>
      </c>
      <c r="J250" s="28"/>
      <c r="K250" s="29">
        <v>3145</v>
      </c>
      <c r="L250" s="30">
        <v>0.05</v>
      </c>
      <c r="M250" s="31">
        <f t="shared" si="13"/>
        <v>157.25</v>
      </c>
      <c r="N250" s="31">
        <f t="shared" si="14"/>
        <v>3302.25</v>
      </c>
      <c r="O250" s="25"/>
      <c r="P250" s="22">
        <v>45321</v>
      </c>
      <c r="Q250" s="25"/>
      <c r="R250" s="82" t="s">
        <v>615</v>
      </c>
      <c r="S250" s="21"/>
      <c r="T250" s="32" t="s">
        <v>309</v>
      </c>
      <c r="U250" s="21"/>
    </row>
    <row r="251" spans="1:21" ht="20.100000000000001" customHeight="1" x14ac:dyDescent="0.3">
      <c r="A251" s="44">
        <v>243</v>
      </c>
      <c r="B251" s="22">
        <v>45320</v>
      </c>
      <c r="C251" s="23"/>
      <c r="D251" s="24" t="s">
        <v>557</v>
      </c>
      <c r="E251" s="25"/>
      <c r="F251" s="26">
        <v>89</v>
      </c>
      <c r="G251" s="62" t="s">
        <v>51</v>
      </c>
      <c r="H251" s="26">
        <v>1000</v>
      </c>
      <c r="I251" s="27">
        <f t="shared" ref="I251:I300" si="18">F251*H251</f>
        <v>89000</v>
      </c>
      <c r="J251" s="28"/>
      <c r="K251" s="29">
        <v>5250</v>
      </c>
      <c r="L251" s="30">
        <v>0.05</v>
      </c>
      <c r="M251" s="31">
        <f t="shared" ref="M251:M300" si="19">K251*L251</f>
        <v>262.5</v>
      </c>
      <c r="N251" s="31">
        <f t="shared" ref="N251:N300" si="20">K251+M251</f>
        <v>5512.5</v>
      </c>
      <c r="O251" s="25"/>
      <c r="P251" s="22">
        <v>45321</v>
      </c>
      <c r="Q251" s="25"/>
      <c r="R251" s="82" t="s">
        <v>615</v>
      </c>
      <c r="S251" s="21"/>
      <c r="T251" s="32" t="s">
        <v>309</v>
      </c>
      <c r="U251" s="21"/>
    </row>
    <row r="252" spans="1:21" ht="20.100000000000001" customHeight="1" x14ac:dyDescent="0.3">
      <c r="A252" s="44">
        <v>244</v>
      </c>
      <c r="B252" s="22">
        <v>45320</v>
      </c>
      <c r="C252" s="23"/>
      <c r="D252" s="24" t="s">
        <v>522</v>
      </c>
      <c r="E252" s="25"/>
      <c r="F252" s="26">
        <v>51</v>
      </c>
      <c r="G252" s="62" t="s">
        <v>51</v>
      </c>
      <c r="H252" s="26">
        <v>1000</v>
      </c>
      <c r="I252" s="27">
        <f t="shared" si="18"/>
        <v>51000</v>
      </c>
      <c r="J252" s="28"/>
      <c r="K252" s="29">
        <v>6300</v>
      </c>
      <c r="L252" s="30">
        <v>0.05</v>
      </c>
      <c r="M252" s="31">
        <f t="shared" si="19"/>
        <v>315</v>
      </c>
      <c r="N252" s="31">
        <f t="shared" si="20"/>
        <v>6615</v>
      </c>
      <c r="O252" s="25"/>
      <c r="P252" s="22">
        <v>45321</v>
      </c>
      <c r="Q252" s="25"/>
      <c r="R252" s="82" t="s">
        <v>617</v>
      </c>
      <c r="S252" s="21"/>
      <c r="T252" s="32" t="s">
        <v>618</v>
      </c>
      <c r="U252" s="21"/>
    </row>
    <row r="253" spans="1:21" ht="20.100000000000001" customHeight="1" x14ac:dyDescent="0.3">
      <c r="A253" s="44">
        <v>245</v>
      </c>
      <c r="B253" s="22">
        <v>45324</v>
      </c>
      <c r="C253" s="23"/>
      <c r="D253" s="24" t="s">
        <v>417</v>
      </c>
      <c r="E253" s="25"/>
      <c r="F253" s="26">
        <v>20</v>
      </c>
      <c r="G253" s="62" t="s">
        <v>18</v>
      </c>
      <c r="H253" s="26">
        <v>25</v>
      </c>
      <c r="I253" s="27">
        <f t="shared" si="18"/>
        <v>500</v>
      </c>
      <c r="J253" s="28"/>
      <c r="K253" s="29">
        <v>1775</v>
      </c>
      <c r="L253" s="30"/>
      <c r="M253" s="31">
        <f t="shared" si="19"/>
        <v>0</v>
      </c>
      <c r="N253" s="31">
        <f t="shared" si="20"/>
        <v>1775</v>
      </c>
      <c r="O253" s="25"/>
      <c r="P253" s="22">
        <v>45324</v>
      </c>
      <c r="Q253" s="25"/>
      <c r="R253" s="82" t="s">
        <v>619</v>
      </c>
      <c r="S253" s="21"/>
      <c r="T253" s="32" t="s">
        <v>609</v>
      </c>
      <c r="U253" s="21"/>
    </row>
    <row r="254" spans="1:21" ht="20.100000000000001" customHeight="1" x14ac:dyDescent="0.3">
      <c r="A254" s="44">
        <v>246</v>
      </c>
      <c r="B254" s="22">
        <v>45332</v>
      </c>
      <c r="C254" s="23"/>
      <c r="D254" s="24" t="s">
        <v>621</v>
      </c>
      <c r="E254" s="25"/>
      <c r="F254" s="26">
        <v>40</v>
      </c>
      <c r="G254" s="62" t="s">
        <v>66</v>
      </c>
      <c r="H254" s="26">
        <v>400</v>
      </c>
      <c r="I254" s="27">
        <f t="shared" si="18"/>
        <v>16000</v>
      </c>
      <c r="J254" s="28"/>
      <c r="K254" s="29">
        <v>8550</v>
      </c>
      <c r="L254" s="30">
        <v>0.12</v>
      </c>
      <c r="M254" s="31">
        <f t="shared" si="19"/>
        <v>1026</v>
      </c>
      <c r="N254" s="31">
        <f t="shared" si="20"/>
        <v>9576</v>
      </c>
      <c r="O254" s="25"/>
      <c r="P254" s="22">
        <v>45332</v>
      </c>
      <c r="Q254" s="25"/>
      <c r="R254" s="82" t="s">
        <v>620</v>
      </c>
      <c r="S254" s="21"/>
      <c r="T254" s="32" t="s">
        <v>312</v>
      </c>
      <c r="U254" s="21"/>
    </row>
    <row r="255" spans="1:21" ht="20.100000000000001" customHeight="1" x14ac:dyDescent="0.3">
      <c r="A255" s="44">
        <v>247</v>
      </c>
      <c r="B255" s="22">
        <v>45332</v>
      </c>
      <c r="C255" s="23"/>
      <c r="D255" s="24" t="s">
        <v>543</v>
      </c>
      <c r="E255" s="25"/>
      <c r="F255" s="26">
        <v>20</v>
      </c>
      <c r="G255" s="62" t="s">
        <v>56</v>
      </c>
      <c r="H255" s="26">
        <v>5</v>
      </c>
      <c r="I255" s="27">
        <f t="shared" si="18"/>
        <v>100</v>
      </c>
      <c r="J255" s="28"/>
      <c r="K255" s="29">
        <v>457</v>
      </c>
      <c r="L255" s="30">
        <v>0.18</v>
      </c>
      <c r="M255" s="31">
        <f t="shared" si="19"/>
        <v>82.259999999999991</v>
      </c>
      <c r="N255" s="31">
        <f t="shared" si="20"/>
        <v>539.26</v>
      </c>
      <c r="O255" s="25"/>
      <c r="P255" s="22">
        <v>45332</v>
      </c>
      <c r="Q255" s="25"/>
      <c r="R255" s="82" t="s">
        <v>624</v>
      </c>
      <c r="S255" s="21"/>
      <c r="T255" s="32" t="s">
        <v>315</v>
      </c>
      <c r="U255" s="21"/>
    </row>
    <row r="256" spans="1:21" ht="20.100000000000001" customHeight="1" x14ac:dyDescent="0.3">
      <c r="A256" s="44">
        <v>248</v>
      </c>
      <c r="B256" s="22">
        <v>45332</v>
      </c>
      <c r="C256" s="23"/>
      <c r="D256" s="24" t="s">
        <v>655</v>
      </c>
      <c r="E256" s="25"/>
      <c r="F256" s="26">
        <v>200</v>
      </c>
      <c r="G256" s="62" t="s">
        <v>109</v>
      </c>
      <c r="H256" s="26">
        <v>10</v>
      </c>
      <c r="I256" s="27">
        <f t="shared" si="18"/>
        <v>2000</v>
      </c>
      <c r="J256" s="28"/>
      <c r="K256" s="29">
        <v>200</v>
      </c>
      <c r="L256" s="30">
        <v>0.18</v>
      </c>
      <c r="M256" s="31">
        <f t="shared" si="19"/>
        <v>36</v>
      </c>
      <c r="N256" s="31">
        <f t="shared" si="20"/>
        <v>236</v>
      </c>
      <c r="O256" s="25"/>
      <c r="P256" s="22">
        <v>45332</v>
      </c>
      <c r="Q256" s="25"/>
      <c r="R256" s="82" t="s">
        <v>624</v>
      </c>
      <c r="S256" s="21"/>
      <c r="T256" s="32" t="s">
        <v>315</v>
      </c>
      <c r="U256" s="21"/>
    </row>
    <row r="257" spans="1:21" ht="20.100000000000001" customHeight="1" x14ac:dyDescent="0.3">
      <c r="A257" s="44">
        <v>249</v>
      </c>
      <c r="B257" s="22">
        <v>45332</v>
      </c>
      <c r="C257" s="23"/>
      <c r="D257" s="24" t="s">
        <v>622</v>
      </c>
      <c r="E257" s="25"/>
      <c r="F257" s="26">
        <v>20</v>
      </c>
      <c r="G257" s="62" t="s">
        <v>56</v>
      </c>
      <c r="H257" s="26">
        <v>5</v>
      </c>
      <c r="I257" s="27">
        <f t="shared" si="18"/>
        <v>100</v>
      </c>
      <c r="J257" s="28"/>
      <c r="K257" s="29">
        <v>440</v>
      </c>
      <c r="L257" s="30">
        <v>0.18</v>
      </c>
      <c r="M257" s="31">
        <f t="shared" si="19"/>
        <v>79.2</v>
      </c>
      <c r="N257" s="31">
        <f t="shared" si="20"/>
        <v>519.20000000000005</v>
      </c>
      <c r="O257" s="25"/>
      <c r="P257" s="22">
        <v>45332</v>
      </c>
      <c r="Q257" s="25"/>
      <c r="R257" s="82" t="s">
        <v>624</v>
      </c>
      <c r="S257" s="21"/>
      <c r="T257" s="32" t="s">
        <v>315</v>
      </c>
      <c r="U257" s="21"/>
    </row>
    <row r="258" spans="1:21" ht="20.100000000000001" customHeight="1" x14ac:dyDescent="0.3">
      <c r="A258" s="44">
        <v>250</v>
      </c>
      <c r="B258" s="22">
        <v>45332</v>
      </c>
      <c r="C258" s="23"/>
      <c r="D258" s="24" t="s">
        <v>507</v>
      </c>
      <c r="E258" s="25"/>
      <c r="F258" s="26">
        <v>20</v>
      </c>
      <c r="G258" s="62" t="s">
        <v>56</v>
      </c>
      <c r="H258" s="26">
        <v>5</v>
      </c>
      <c r="I258" s="27">
        <f t="shared" si="18"/>
        <v>100</v>
      </c>
      <c r="J258" s="28"/>
      <c r="K258" s="29">
        <v>1138</v>
      </c>
      <c r="L258" s="30">
        <v>0.18</v>
      </c>
      <c r="M258" s="31">
        <f t="shared" si="19"/>
        <v>204.84</v>
      </c>
      <c r="N258" s="31">
        <f t="shared" si="20"/>
        <v>1342.84</v>
      </c>
      <c r="O258" s="25"/>
      <c r="P258" s="22">
        <v>45332</v>
      </c>
      <c r="Q258" s="25"/>
      <c r="R258" s="82" t="s">
        <v>624</v>
      </c>
      <c r="S258" s="21"/>
      <c r="T258" s="32" t="s">
        <v>315</v>
      </c>
      <c r="U258" s="21"/>
    </row>
    <row r="259" spans="1:21" ht="20.100000000000001" customHeight="1" x14ac:dyDescent="0.3">
      <c r="A259" s="44">
        <v>251</v>
      </c>
      <c r="B259" s="22">
        <v>45332</v>
      </c>
      <c r="C259" s="23"/>
      <c r="D259" s="24" t="s">
        <v>623</v>
      </c>
      <c r="E259" s="25"/>
      <c r="F259" s="26">
        <v>8</v>
      </c>
      <c r="G259" s="62" t="s">
        <v>109</v>
      </c>
      <c r="H259" s="26">
        <v>50</v>
      </c>
      <c r="I259" s="27">
        <f t="shared" si="18"/>
        <v>400</v>
      </c>
      <c r="J259" s="28"/>
      <c r="K259" s="29">
        <v>3188</v>
      </c>
      <c r="L259" s="30">
        <v>0.18</v>
      </c>
      <c r="M259" s="31">
        <f t="shared" si="19"/>
        <v>573.84</v>
      </c>
      <c r="N259" s="31">
        <f t="shared" si="20"/>
        <v>3761.84</v>
      </c>
      <c r="O259" s="25"/>
      <c r="P259" s="22">
        <v>45332</v>
      </c>
      <c r="Q259" s="25"/>
      <c r="R259" s="82" t="s">
        <v>624</v>
      </c>
      <c r="S259" s="21"/>
      <c r="T259" s="32" t="s">
        <v>315</v>
      </c>
      <c r="U259" s="21"/>
    </row>
    <row r="260" spans="1:21" ht="20.100000000000001" customHeight="1" x14ac:dyDescent="0.3">
      <c r="A260" s="44">
        <v>252</v>
      </c>
      <c r="B260" s="22">
        <v>45332</v>
      </c>
      <c r="C260" s="23"/>
      <c r="D260" s="24" t="s">
        <v>625</v>
      </c>
      <c r="E260" s="25"/>
      <c r="F260" s="26">
        <v>100</v>
      </c>
      <c r="G260" s="62" t="s">
        <v>18</v>
      </c>
      <c r="H260" s="26">
        <v>1</v>
      </c>
      <c r="I260" s="27">
        <f t="shared" si="18"/>
        <v>100</v>
      </c>
      <c r="J260" s="28"/>
      <c r="K260" s="29">
        <v>189</v>
      </c>
      <c r="L260" s="30"/>
      <c r="M260" s="31">
        <f t="shared" si="19"/>
        <v>0</v>
      </c>
      <c r="N260" s="31">
        <f t="shared" si="20"/>
        <v>189</v>
      </c>
      <c r="O260" s="25"/>
      <c r="P260" s="22">
        <v>45332</v>
      </c>
      <c r="Q260" s="25"/>
      <c r="R260" s="82" t="s">
        <v>630</v>
      </c>
      <c r="S260" s="21"/>
      <c r="T260" s="32" t="s">
        <v>609</v>
      </c>
      <c r="U260" s="21"/>
    </row>
    <row r="261" spans="1:21" ht="20.100000000000001" customHeight="1" x14ac:dyDescent="0.3">
      <c r="A261" s="44">
        <v>253</v>
      </c>
      <c r="B261" s="22">
        <v>45332</v>
      </c>
      <c r="C261" s="23"/>
      <c r="D261" s="24" t="s">
        <v>626</v>
      </c>
      <c r="E261" s="25"/>
      <c r="F261" s="26">
        <v>12</v>
      </c>
      <c r="G261" s="62" t="s">
        <v>56</v>
      </c>
      <c r="H261" s="26">
        <v>5</v>
      </c>
      <c r="I261" s="27">
        <f t="shared" si="18"/>
        <v>60</v>
      </c>
      <c r="J261" s="28"/>
      <c r="K261" s="29">
        <v>4505.92</v>
      </c>
      <c r="L261" s="30">
        <v>0.18</v>
      </c>
      <c r="M261" s="31">
        <f t="shared" si="19"/>
        <v>811.06560000000002</v>
      </c>
      <c r="N261" s="31">
        <f t="shared" si="20"/>
        <v>5316.9856</v>
      </c>
      <c r="O261" s="25"/>
      <c r="P261" s="22">
        <v>45332</v>
      </c>
      <c r="Q261" s="25"/>
      <c r="R261" s="82" t="s">
        <v>630</v>
      </c>
      <c r="S261" s="21"/>
      <c r="T261" s="32" t="s">
        <v>609</v>
      </c>
      <c r="U261" s="21"/>
    </row>
    <row r="262" spans="1:21" ht="20.100000000000001" customHeight="1" x14ac:dyDescent="0.3">
      <c r="A262" s="44">
        <v>254</v>
      </c>
      <c r="B262" s="22">
        <v>45332</v>
      </c>
      <c r="C262" s="23"/>
      <c r="D262" s="24" t="s">
        <v>627</v>
      </c>
      <c r="E262" s="25"/>
      <c r="F262" s="26">
        <v>20</v>
      </c>
      <c r="G262" s="62" t="s">
        <v>18</v>
      </c>
      <c r="H262" s="26">
        <v>1</v>
      </c>
      <c r="I262" s="27">
        <f t="shared" si="18"/>
        <v>20</v>
      </c>
      <c r="J262" s="28"/>
      <c r="K262" s="29">
        <v>3408</v>
      </c>
      <c r="L262" s="30">
        <v>0.12</v>
      </c>
      <c r="M262" s="31">
        <f t="shared" si="19"/>
        <v>408.96</v>
      </c>
      <c r="N262" s="31">
        <f t="shared" si="20"/>
        <v>3816.96</v>
      </c>
      <c r="O262" s="25"/>
      <c r="P262" s="22">
        <v>45332</v>
      </c>
      <c r="Q262" s="25"/>
      <c r="R262" s="82" t="s">
        <v>630</v>
      </c>
      <c r="S262" s="21"/>
      <c r="T262" s="32" t="s">
        <v>609</v>
      </c>
      <c r="U262" s="21"/>
    </row>
    <row r="263" spans="1:21" ht="20.100000000000001" customHeight="1" x14ac:dyDescent="0.3">
      <c r="A263" s="44">
        <v>255</v>
      </c>
      <c r="B263" s="22">
        <v>45332</v>
      </c>
      <c r="C263" s="23"/>
      <c r="D263" s="24" t="s">
        <v>487</v>
      </c>
      <c r="E263" s="25"/>
      <c r="F263" s="26">
        <v>20</v>
      </c>
      <c r="G263" s="62" t="s">
        <v>56</v>
      </c>
      <c r="H263" s="26">
        <v>5</v>
      </c>
      <c r="I263" s="27">
        <f t="shared" si="18"/>
        <v>100</v>
      </c>
      <c r="J263" s="28"/>
      <c r="K263" s="29">
        <v>495</v>
      </c>
      <c r="L263" s="30"/>
      <c r="M263" s="31">
        <f t="shared" si="19"/>
        <v>0</v>
      </c>
      <c r="N263" s="31">
        <f t="shared" si="20"/>
        <v>495</v>
      </c>
      <c r="O263" s="25"/>
      <c r="P263" s="22">
        <v>45332</v>
      </c>
      <c r="Q263" s="25"/>
      <c r="R263" s="82" t="s">
        <v>630</v>
      </c>
      <c r="S263" s="21"/>
      <c r="T263" s="32" t="s">
        <v>609</v>
      </c>
      <c r="U263" s="21"/>
    </row>
    <row r="264" spans="1:21" ht="20.100000000000001" customHeight="1" x14ac:dyDescent="0.3">
      <c r="A264" s="44">
        <v>256</v>
      </c>
      <c r="B264" s="22">
        <v>45332</v>
      </c>
      <c r="C264" s="23"/>
      <c r="D264" s="24" t="s">
        <v>368</v>
      </c>
      <c r="E264" s="25"/>
      <c r="F264" s="26">
        <v>200</v>
      </c>
      <c r="G264" s="62" t="s">
        <v>230</v>
      </c>
      <c r="H264" s="26">
        <v>50</v>
      </c>
      <c r="I264" s="27">
        <f t="shared" si="18"/>
        <v>10000</v>
      </c>
      <c r="J264" s="28"/>
      <c r="K264" s="29">
        <v>116</v>
      </c>
      <c r="L264" s="30">
        <v>0.12</v>
      </c>
      <c r="M264" s="31">
        <f t="shared" si="19"/>
        <v>13.92</v>
      </c>
      <c r="N264" s="31">
        <f t="shared" si="20"/>
        <v>129.91999999999999</v>
      </c>
      <c r="O264" s="25"/>
      <c r="P264" s="22">
        <v>45332</v>
      </c>
      <c r="Q264" s="25"/>
      <c r="R264" s="82" t="s">
        <v>630</v>
      </c>
      <c r="S264" s="21"/>
      <c r="T264" s="32" t="s">
        <v>609</v>
      </c>
      <c r="U264" s="21"/>
    </row>
    <row r="265" spans="1:21" ht="20.100000000000001" customHeight="1" x14ac:dyDescent="0.3">
      <c r="A265" s="44">
        <v>257</v>
      </c>
      <c r="B265" s="22">
        <v>45332</v>
      </c>
      <c r="C265" s="23"/>
      <c r="D265" s="24" t="s">
        <v>628</v>
      </c>
      <c r="E265" s="25"/>
      <c r="F265" s="26">
        <v>20</v>
      </c>
      <c r="G265" s="62" t="s">
        <v>18</v>
      </c>
      <c r="H265" s="26">
        <v>25</v>
      </c>
      <c r="I265" s="27">
        <f t="shared" si="18"/>
        <v>500</v>
      </c>
      <c r="J265" s="28"/>
      <c r="K265" s="29">
        <v>1775</v>
      </c>
      <c r="L265" s="30"/>
      <c r="M265" s="31">
        <f t="shared" si="19"/>
        <v>0</v>
      </c>
      <c r="N265" s="31">
        <f t="shared" si="20"/>
        <v>1775</v>
      </c>
      <c r="O265" s="25"/>
      <c r="P265" s="22">
        <v>45332</v>
      </c>
      <c r="Q265" s="25"/>
      <c r="R265" s="82" t="s">
        <v>630</v>
      </c>
      <c r="S265" s="21"/>
      <c r="T265" s="32" t="s">
        <v>609</v>
      </c>
      <c r="U265" s="21"/>
    </row>
    <row r="266" spans="1:21" ht="20.100000000000001" customHeight="1" x14ac:dyDescent="0.3">
      <c r="A266" s="44">
        <v>258</v>
      </c>
      <c r="B266" s="22">
        <v>45332</v>
      </c>
      <c r="C266" s="23"/>
      <c r="D266" s="24" t="s">
        <v>629</v>
      </c>
      <c r="E266" s="25"/>
      <c r="F266" s="26">
        <v>60</v>
      </c>
      <c r="G266" s="62" t="s">
        <v>18</v>
      </c>
      <c r="H266" s="26">
        <v>1</v>
      </c>
      <c r="I266" s="27">
        <f t="shared" si="18"/>
        <v>60</v>
      </c>
      <c r="J266" s="28"/>
      <c r="K266" s="29">
        <v>761.45</v>
      </c>
      <c r="L266" s="30">
        <v>0.18</v>
      </c>
      <c r="M266" s="31">
        <f t="shared" si="19"/>
        <v>137.06100000000001</v>
      </c>
      <c r="N266" s="31">
        <f t="shared" si="20"/>
        <v>898.51100000000008</v>
      </c>
      <c r="O266" s="25"/>
      <c r="P266" s="22">
        <v>45332</v>
      </c>
      <c r="Q266" s="25"/>
      <c r="R266" s="82" t="s">
        <v>630</v>
      </c>
      <c r="S266" s="21"/>
      <c r="T266" s="32" t="s">
        <v>609</v>
      </c>
      <c r="U266" s="21"/>
    </row>
    <row r="267" spans="1:21" ht="20.100000000000001" customHeight="1" x14ac:dyDescent="0.3">
      <c r="A267" s="44">
        <v>259</v>
      </c>
      <c r="B267" s="22">
        <v>45332</v>
      </c>
      <c r="C267" s="23"/>
      <c r="D267" s="24" t="s">
        <v>347</v>
      </c>
      <c r="E267" s="25"/>
      <c r="F267" s="26">
        <v>12</v>
      </c>
      <c r="G267" s="62" t="s">
        <v>18</v>
      </c>
      <c r="H267" s="26">
        <v>25</v>
      </c>
      <c r="I267" s="27">
        <f t="shared" si="18"/>
        <v>300</v>
      </c>
      <c r="J267" s="28"/>
      <c r="K267" s="29">
        <v>12500</v>
      </c>
      <c r="L267" s="30"/>
      <c r="M267" s="31">
        <f t="shared" si="19"/>
        <v>0</v>
      </c>
      <c r="N267" s="31">
        <f t="shared" si="20"/>
        <v>12500</v>
      </c>
      <c r="O267" s="25"/>
      <c r="P267" s="22">
        <v>45332</v>
      </c>
      <c r="Q267" s="25"/>
      <c r="R267" s="82" t="s">
        <v>631</v>
      </c>
      <c r="S267" s="21"/>
      <c r="T267" s="32" t="s">
        <v>349</v>
      </c>
      <c r="U267" s="21"/>
    </row>
    <row r="268" spans="1:21" ht="20.100000000000001" customHeight="1" x14ac:dyDescent="0.3">
      <c r="A268" s="44">
        <v>260</v>
      </c>
      <c r="B268" s="22">
        <v>45332</v>
      </c>
      <c r="C268" s="23"/>
      <c r="D268" s="24" t="s">
        <v>330</v>
      </c>
      <c r="E268" s="25"/>
      <c r="F268" s="26">
        <v>20</v>
      </c>
      <c r="G268" s="62" t="s">
        <v>18</v>
      </c>
      <c r="H268" s="26">
        <v>10</v>
      </c>
      <c r="I268" s="27">
        <f t="shared" si="18"/>
        <v>200</v>
      </c>
      <c r="J268" s="28"/>
      <c r="K268" s="29">
        <v>4000</v>
      </c>
      <c r="L268" s="30"/>
      <c r="M268" s="31">
        <f t="shared" si="19"/>
        <v>0</v>
      </c>
      <c r="N268" s="31">
        <f t="shared" si="20"/>
        <v>4000</v>
      </c>
      <c r="O268" s="25"/>
      <c r="P268" s="22">
        <v>45332</v>
      </c>
      <c r="Q268" s="25"/>
      <c r="R268" s="82" t="s">
        <v>632</v>
      </c>
      <c r="S268" s="21"/>
      <c r="T268" s="32" t="s">
        <v>332</v>
      </c>
      <c r="U268" s="21"/>
    </row>
    <row r="269" spans="1:21" ht="20.100000000000001" customHeight="1" x14ac:dyDescent="0.3">
      <c r="A269" s="44">
        <v>261</v>
      </c>
      <c r="B269" s="22">
        <v>45334</v>
      </c>
      <c r="C269" s="23"/>
      <c r="D269" s="24" t="s">
        <v>303</v>
      </c>
      <c r="E269" s="25"/>
      <c r="F269" s="26">
        <v>20</v>
      </c>
      <c r="G269" s="62" t="s">
        <v>18</v>
      </c>
      <c r="H269" s="26">
        <v>25</v>
      </c>
      <c r="I269" s="27">
        <f t="shared" si="18"/>
        <v>500</v>
      </c>
      <c r="J269" s="28"/>
      <c r="K269" s="29">
        <v>14250</v>
      </c>
      <c r="L269" s="30"/>
      <c r="M269" s="31">
        <f t="shared" si="19"/>
        <v>0</v>
      </c>
      <c r="N269" s="31">
        <f t="shared" si="20"/>
        <v>14250</v>
      </c>
      <c r="O269" s="25"/>
      <c r="P269" s="22">
        <v>45334</v>
      </c>
      <c r="Q269" s="25"/>
      <c r="R269" s="82" t="s">
        <v>633</v>
      </c>
      <c r="S269" s="21"/>
      <c r="T269" s="32" t="s">
        <v>45</v>
      </c>
      <c r="U269" s="21"/>
    </row>
    <row r="270" spans="1:21" ht="20.100000000000001" customHeight="1" x14ac:dyDescent="0.3">
      <c r="A270" s="44">
        <v>262</v>
      </c>
      <c r="B270" s="22">
        <v>45334</v>
      </c>
      <c r="C270" s="23"/>
      <c r="D270" s="24" t="s">
        <v>235</v>
      </c>
      <c r="E270" s="25"/>
      <c r="F270" s="26">
        <v>20</v>
      </c>
      <c r="G270" s="62" t="s">
        <v>18</v>
      </c>
      <c r="H270" s="26">
        <v>25</v>
      </c>
      <c r="I270" s="27">
        <f t="shared" si="18"/>
        <v>500</v>
      </c>
      <c r="J270" s="28"/>
      <c r="K270" s="29">
        <v>3200</v>
      </c>
      <c r="L270" s="30"/>
      <c r="M270" s="31">
        <f t="shared" si="19"/>
        <v>0</v>
      </c>
      <c r="N270" s="31">
        <f t="shared" si="20"/>
        <v>3200</v>
      </c>
      <c r="O270" s="25"/>
      <c r="P270" s="22">
        <v>45334</v>
      </c>
      <c r="Q270" s="25"/>
      <c r="R270" s="82" t="s">
        <v>634</v>
      </c>
      <c r="S270" s="21"/>
      <c r="T270" s="32" t="s">
        <v>701</v>
      </c>
      <c r="U270" s="21"/>
    </row>
    <row r="271" spans="1:21" ht="20.100000000000001" customHeight="1" x14ac:dyDescent="0.3">
      <c r="A271" s="44">
        <v>263</v>
      </c>
      <c r="B271" s="22">
        <v>45330</v>
      </c>
      <c r="C271" s="23"/>
      <c r="D271" s="24" t="s">
        <v>635</v>
      </c>
      <c r="E271" s="25"/>
      <c r="F271" s="26">
        <v>16</v>
      </c>
      <c r="G271" s="62" t="s">
        <v>18</v>
      </c>
      <c r="H271" s="26">
        <v>5</v>
      </c>
      <c r="I271" s="27">
        <f t="shared" si="18"/>
        <v>80</v>
      </c>
      <c r="J271" s="28"/>
      <c r="K271" s="29">
        <v>2150</v>
      </c>
      <c r="L271" s="30"/>
      <c r="M271" s="31">
        <f t="shared" si="19"/>
        <v>0</v>
      </c>
      <c r="N271" s="31">
        <f t="shared" si="20"/>
        <v>2150</v>
      </c>
      <c r="O271" s="25"/>
      <c r="P271" s="22">
        <v>45337</v>
      </c>
      <c r="Q271" s="25"/>
      <c r="R271" s="82" t="s">
        <v>636</v>
      </c>
      <c r="S271" s="21"/>
      <c r="T271" s="32" t="s">
        <v>660</v>
      </c>
      <c r="U271" s="21"/>
    </row>
    <row r="272" spans="1:21" ht="20.100000000000001" customHeight="1" x14ac:dyDescent="0.3">
      <c r="A272" s="44">
        <v>264</v>
      </c>
      <c r="B272" s="22">
        <v>45330</v>
      </c>
      <c r="C272" s="23"/>
      <c r="D272" s="24" t="s">
        <v>637</v>
      </c>
      <c r="E272" s="25"/>
      <c r="F272" s="26">
        <v>5</v>
      </c>
      <c r="G272" s="62" t="s">
        <v>18</v>
      </c>
      <c r="H272" s="26">
        <v>10</v>
      </c>
      <c r="I272" s="27">
        <f t="shared" si="18"/>
        <v>50</v>
      </c>
      <c r="J272" s="28"/>
      <c r="K272" s="29">
        <v>35500</v>
      </c>
      <c r="L272" s="30"/>
      <c r="M272" s="31">
        <f t="shared" si="19"/>
        <v>0</v>
      </c>
      <c r="N272" s="31">
        <f t="shared" si="20"/>
        <v>35500</v>
      </c>
      <c r="O272" s="25"/>
      <c r="P272" s="22">
        <v>45338</v>
      </c>
      <c r="Q272" s="25"/>
      <c r="R272" s="82" t="s">
        <v>638</v>
      </c>
      <c r="S272" s="21"/>
      <c r="T272" s="32" t="s">
        <v>354</v>
      </c>
      <c r="U272" s="21"/>
    </row>
    <row r="273" spans="1:21" ht="20.100000000000001" customHeight="1" x14ac:dyDescent="0.3">
      <c r="A273" s="44">
        <v>265</v>
      </c>
      <c r="B273" s="22">
        <v>46442</v>
      </c>
      <c r="C273" s="23"/>
      <c r="D273" s="24" t="s">
        <v>296</v>
      </c>
      <c r="E273" s="25"/>
      <c r="F273" s="26">
        <v>20</v>
      </c>
      <c r="G273" s="62" t="s">
        <v>18</v>
      </c>
      <c r="H273" s="26">
        <v>25</v>
      </c>
      <c r="I273" s="27">
        <f t="shared" si="18"/>
        <v>500</v>
      </c>
      <c r="J273" s="28"/>
      <c r="K273" s="29">
        <v>1750</v>
      </c>
      <c r="L273" s="30"/>
      <c r="M273" s="31">
        <f t="shared" si="19"/>
        <v>0</v>
      </c>
      <c r="N273" s="31">
        <f t="shared" si="20"/>
        <v>1750</v>
      </c>
      <c r="O273" s="25"/>
      <c r="P273" s="22">
        <v>45346</v>
      </c>
      <c r="Q273" s="25"/>
      <c r="R273" s="82" t="s">
        <v>640</v>
      </c>
      <c r="S273" s="21"/>
      <c r="T273" s="32" t="s">
        <v>609</v>
      </c>
      <c r="U273" s="21"/>
    </row>
    <row r="274" spans="1:21" ht="20.100000000000001" customHeight="1" x14ac:dyDescent="0.3">
      <c r="A274" s="44">
        <v>266</v>
      </c>
      <c r="B274" s="22">
        <v>46442</v>
      </c>
      <c r="C274" s="23"/>
      <c r="D274" s="24" t="s">
        <v>639</v>
      </c>
      <c r="E274" s="25"/>
      <c r="F274" s="26">
        <v>20</v>
      </c>
      <c r="G274" s="62" t="s">
        <v>18</v>
      </c>
      <c r="H274" s="26">
        <v>25</v>
      </c>
      <c r="I274" s="27">
        <f t="shared" si="18"/>
        <v>500</v>
      </c>
      <c r="J274" s="28"/>
      <c r="K274" s="29">
        <v>4850</v>
      </c>
      <c r="L274" s="30"/>
      <c r="M274" s="31">
        <f t="shared" si="19"/>
        <v>0</v>
      </c>
      <c r="N274" s="31">
        <f t="shared" si="20"/>
        <v>4850</v>
      </c>
      <c r="O274" s="25"/>
      <c r="P274" s="22">
        <v>45346</v>
      </c>
      <c r="Q274" s="25"/>
      <c r="R274" s="82" t="s">
        <v>640</v>
      </c>
      <c r="S274" s="21"/>
      <c r="T274" s="32" t="s">
        <v>609</v>
      </c>
      <c r="U274" s="21"/>
    </row>
    <row r="275" spans="1:21" ht="20.100000000000001" customHeight="1" x14ac:dyDescent="0.3">
      <c r="A275" s="44">
        <v>267</v>
      </c>
      <c r="B275" s="22">
        <v>46442</v>
      </c>
      <c r="C275" s="23"/>
      <c r="D275" s="24" t="s">
        <v>337</v>
      </c>
      <c r="E275" s="25"/>
      <c r="F275" s="26">
        <v>20</v>
      </c>
      <c r="G275" s="62" t="s">
        <v>18</v>
      </c>
      <c r="H275" s="26">
        <v>25</v>
      </c>
      <c r="I275" s="27">
        <f t="shared" si="18"/>
        <v>500</v>
      </c>
      <c r="J275" s="28"/>
      <c r="K275" s="29">
        <v>1250</v>
      </c>
      <c r="L275" s="30"/>
      <c r="M275" s="31">
        <f t="shared" si="19"/>
        <v>0</v>
      </c>
      <c r="N275" s="31">
        <f t="shared" si="20"/>
        <v>1250</v>
      </c>
      <c r="O275" s="25"/>
      <c r="P275" s="22">
        <v>45346</v>
      </c>
      <c r="Q275" s="25"/>
      <c r="R275" s="82" t="s">
        <v>641</v>
      </c>
      <c r="S275" s="21"/>
      <c r="T275" s="32" t="s">
        <v>338</v>
      </c>
      <c r="U275" s="21"/>
    </row>
    <row r="276" spans="1:21" ht="20.100000000000001" customHeight="1" x14ac:dyDescent="0.3">
      <c r="A276" s="44">
        <v>268</v>
      </c>
      <c r="B276" s="22">
        <v>45348</v>
      </c>
      <c r="C276" s="23"/>
      <c r="D276" s="24" t="s">
        <v>643</v>
      </c>
      <c r="E276" s="25"/>
      <c r="F276" s="26">
        <v>20</v>
      </c>
      <c r="G276" s="62" t="s">
        <v>51</v>
      </c>
      <c r="H276" s="26">
        <v>1000</v>
      </c>
      <c r="I276" s="27">
        <f t="shared" si="18"/>
        <v>20000</v>
      </c>
      <c r="J276" s="28"/>
      <c r="K276" s="29">
        <v>2772</v>
      </c>
      <c r="L276" s="30">
        <v>0.05</v>
      </c>
      <c r="M276" s="31">
        <f t="shared" si="19"/>
        <v>138.6</v>
      </c>
      <c r="N276" s="31">
        <f t="shared" si="20"/>
        <v>2910.6</v>
      </c>
      <c r="O276" s="25"/>
      <c r="P276" s="22">
        <v>45348</v>
      </c>
      <c r="Q276" s="25"/>
      <c r="R276" s="82" t="s">
        <v>642</v>
      </c>
      <c r="S276" s="21"/>
      <c r="T276" s="32" t="s">
        <v>609</v>
      </c>
      <c r="U276" s="21"/>
    </row>
    <row r="277" spans="1:21" ht="20.100000000000001" customHeight="1" x14ac:dyDescent="0.3">
      <c r="A277" s="44">
        <v>269</v>
      </c>
      <c r="B277" s="22">
        <v>45348</v>
      </c>
      <c r="C277" s="23"/>
      <c r="D277" s="24" t="s">
        <v>510</v>
      </c>
      <c r="E277" s="25"/>
      <c r="F277" s="26">
        <v>80</v>
      </c>
      <c r="G277" s="62" t="s">
        <v>66</v>
      </c>
      <c r="H277" s="26">
        <v>50</v>
      </c>
      <c r="I277" s="27">
        <f t="shared" si="18"/>
        <v>4000</v>
      </c>
      <c r="J277" s="28"/>
      <c r="K277" s="29">
        <v>71.5</v>
      </c>
      <c r="L277" s="30"/>
      <c r="M277" s="31">
        <f t="shared" si="19"/>
        <v>0</v>
      </c>
      <c r="N277" s="31">
        <f t="shared" si="20"/>
        <v>71.5</v>
      </c>
      <c r="O277" s="25"/>
      <c r="P277" s="22">
        <v>45348</v>
      </c>
      <c r="Q277" s="25"/>
      <c r="R277" s="82" t="s">
        <v>642</v>
      </c>
      <c r="S277" s="21"/>
      <c r="T277" s="32" t="s">
        <v>609</v>
      </c>
      <c r="U277" s="21"/>
    </row>
    <row r="278" spans="1:21" ht="20.100000000000001" customHeight="1" x14ac:dyDescent="0.3">
      <c r="A278" s="44">
        <v>270</v>
      </c>
      <c r="B278" s="22">
        <v>45348</v>
      </c>
      <c r="C278" s="23"/>
      <c r="D278" s="24" t="s">
        <v>393</v>
      </c>
      <c r="E278" s="25"/>
      <c r="F278" s="26">
        <v>100</v>
      </c>
      <c r="G278" s="62" t="s">
        <v>56</v>
      </c>
      <c r="H278" s="26">
        <v>1</v>
      </c>
      <c r="I278" s="27">
        <f t="shared" si="18"/>
        <v>100</v>
      </c>
      <c r="J278" s="28"/>
      <c r="K278" s="29">
        <v>924</v>
      </c>
      <c r="L278" s="30">
        <v>0.12</v>
      </c>
      <c r="M278" s="31">
        <f t="shared" si="19"/>
        <v>110.88</v>
      </c>
      <c r="N278" s="31">
        <f t="shared" si="20"/>
        <v>1034.8800000000001</v>
      </c>
      <c r="O278" s="25"/>
      <c r="P278" s="22">
        <v>45348</v>
      </c>
      <c r="Q278" s="25"/>
      <c r="R278" s="82" t="s">
        <v>642</v>
      </c>
      <c r="S278" s="21"/>
      <c r="T278" s="32" t="s">
        <v>609</v>
      </c>
      <c r="U278" s="21"/>
    </row>
    <row r="279" spans="1:21" ht="20.100000000000001" customHeight="1" x14ac:dyDescent="0.3">
      <c r="A279" s="44">
        <v>271</v>
      </c>
      <c r="B279" s="22">
        <v>45348</v>
      </c>
      <c r="C279" s="23"/>
      <c r="D279" s="24" t="s">
        <v>644</v>
      </c>
      <c r="E279" s="25"/>
      <c r="F279" s="26">
        <v>80</v>
      </c>
      <c r="G279" s="62" t="s">
        <v>66</v>
      </c>
      <c r="H279" s="26">
        <v>250</v>
      </c>
      <c r="I279" s="27">
        <f t="shared" si="18"/>
        <v>20000</v>
      </c>
      <c r="J279" s="28"/>
      <c r="K279" s="29">
        <v>400</v>
      </c>
      <c r="L279" s="30">
        <v>0.12</v>
      </c>
      <c r="M279" s="31">
        <f t="shared" si="19"/>
        <v>48</v>
      </c>
      <c r="N279" s="31">
        <f t="shared" si="20"/>
        <v>448</v>
      </c>
      <c r="O279" s="25"/>
      <c r="P279" s="22">
        <v>45348</v>
      </c>
      <c r="Q279" s="25"/>
      <c r="R279" s="82" t="s">
        <v>642</v>
      </c>
      <c r="S279" s="21"/>
      <c r="T279" s="32" t="s">
        <v>609</v>
      </c>
      <c r="U279" s="21"/>
    </row>
    <row r="280" spans="1:21" ht="20.100000000000001" customHeight="1" x14ac:dyDescent="0.3">
      <c r="A280" s="44">
        <v>272</v>
      </c>
      <c r="B280" s="22">
        <v>45348</v>
      </c>
      <c r="C280" s="23"/>
      <c r="D280" s="24" t="s">
        <v>602</v>
      </c>
      <c r="E280" s="25"/>
      <c r="F280" s="26">
        <v>40</v>
      </c>
      <c r="G280" s="62" t="s">
        <v>51</v>
      </c>
      <c r="H280" s="26">
        <v>1000</v>
      </c>
      <c r="I280" s="27">
        <f t="shared" si="18"/>
        <v>40000</v>
      </c>
      <c r="J280" s="28"/>
      <c r="K280" s="29">
        <v>1500</v>
      </c>
      <c r="L280" s="30">
        <v>0.05</v>
      </c>
      <c r="M280" s="31">
        <f t="shared" si="19"/>
        <v>75</v>
      </c>
      <c r="N280" s="31">
        <f t="shared" si="20"/>
        <v>1575</v>
      </c>
      <c r="O280" s="25"/>
      <c r="P280" s="22">
        <v>45348</v>
      </c>
      <c r="Q280" s="25"/>
      <c r="R280" s="82" t="s">
        <v>646</v>
      </c>
      <c r="S280" s="21"/>
      <c r="T280" s="32" t="s">
        <v>124</v>
      </c>
      <c r="U280" s="21"/>
    </row>
    <row r="281" spans="1:21" ht="20.100000000000001" customHeight="1" x14ac:dyDescent="0.3">
      <c r="A281" s="44">
        <v>273</v>
      </c>
      <c r="B281" s="22">
        <v>45348</v>
      </c>
      <c r="C281" s="23"/>
      <c r="D281" s="24" t="s">
        <v>645</v>
      </c>
      <c r="E281" s="25"/>
      <c r="F281" s="26">
        <v>42</v>
      </c>
      <c r="G281" s="62" t="s">
        <v>51</v>
      </c>
      <c r="H281" s="26">
        <v>1000</v>
      </c>
      <c r="I281" s="27">
        <f t="shared" si="18"/>
        <v>42000</v>
      </c>
      <c r="J281" s="28"/>
      <c r="K281" s="29">
        <v>926.15</v>
      </c>
      <c r="L281" s="30">
        <v>0.05</v>
      </c>
      <c r="M281" s="31">
        <f t="shared" si="19"/>
        <v>46.307500000000005</v>
      </c>
      <c r="N281" s="31">
        <f t="shared" si="20"/>
        <v>972.45749999999998</v>
      </c>
      <c r="O281" s="25"/>
      <c r="P281" s="22">
        <v>45348</v>
      </c>
      <c r="Q281" s="25"/>
      <c r="R281" s="82" t="s">
        <v>646</v>
      </c>
      <c r="S281" s="21"/>
      <c r="T281" s="32" t="s">
        <v>124</v>
      </c>
      <c r="U281" s="21"/>
    </row>
    <row r="282" spans="1:21" ht="20.100000000000001" customHeight="1" x14ac:dyDescent="0.3">
      <c r="A282" s="44">
        <v>274</v>
      </c>
      <c r="B282" s="22">
        <v>45348</v>
      </c>
      <c r="C282" s="23"/>
      <c r="D282" s="24" t="s">
        <v>517</v>
      </c>
      <c r="E282" s="25"/>
      <c r="F282" s="26">
        <v>62</v>
      </c>
      <c r="G282" s="62" t="s">
        <v>51</v>
      </c>
      <c r="H282" s="26">
        <v>1000</v>
      </c>
      <c r="I282" s="27">
        <f t="shared" si="18"/>
        <v>62000</v>
      </c>
      <c r="J282" s="28"/>
      <c r="K282" s="29">
        <v>2498.91</v>
      </c>
      <c r="L282" s="30">
        <v>0.05</v>
      </c>
      <c r="M282" s="31">
        <f t="shared" si="19"/>
        <v>124.9455</v>
      </c>
      <c r="N282" s="31">
        <f t="shared" si="20"/>
        <v>2623.8554999999997</v>
      </c>
      <c r="O282" s="25"/>
      <c r="P282" s="22">
        <v>45348</v>
      </c>
      <c r="Q282" s="25"/>
      <c r="R282" s="82" t="s">
        <v>646</v>
      </c>
      <c r="S282" s="21"/>
      <c r="T282" s="32" t="s">
        <v>124</v>
      </c>
      <c r="U282" s="21"/>
    </row>
    <row r="283" spans="1:21" ht="20.100000000000001" customHeight="1" x14ac:dyDescent="0.3">
      <c r="A283" s="44">
        <v>275</v>
      </c>
      <c r="B283" s="22">
        <v>45348</v>
      </c>
      <c r="C283" s="23"/>
      <c r="D283" s="24" t="s">
        <v>519</v>
      </c>
      <c r="E283" s="25"/>
      <c r="F283" s="26">
        <v>24</v>
      </c>
      <c r="G283" s="62" t="s">
        <v>230</v>
      </c>
      <c r="H283" s="26">
        <v>960</v>
      </c>
      <c r="I283" s="27">
        <f t="shared" si="18"/>
        <v>23040</v>
      </c>
      <c r="J283" s="28"/>
      <c r="K283" s="29">
        <v>9300</v>
      </c>
      <c r="L283" s="30">
        <v>0.12</v>
      </c>
      <c r="M283" s="31">
        <f t="shared" si="19"/>
        <v>1116</v>
      </c>
      <c r="N283" s="31">
        <f t="shared" si="20"/>
        <v>10416</v>
      </c>
      <c r="O283" s="25"/>
      <c r="P283" s="22">
        <v>45348</v>
      </c>
      <c r="Q283" s="25"/>
      <c r="R283" s="82" t="s">
        <v>647</v>
      </c>
      <c r="S283" s="21"/>
      <c r="T283" s="32" t="s">
        <v>326</v>
      </c>
      <c r="U283" s="21"/>
    </row>
    <row r="284" spans="1:21" ht="20.100000000000001" customHeight="1" x14ac:dyDescent="0.3">
      <c r="A284" s="44">
        <v>276</v>
      </c>
      <c r="B284" s="22">
        <v>45348</v>
      </c>
      <c r="C284" s="23"/>
      <c r="D284" s="24" t="s">
        <v>535</v>
      </c>
      <c r="E284" s="25"/>
      <c r="F284" s="26">
        <v>38</v>
      </c>
      <c r="G284" s="62" t="s">
        <v>51</v>
      </c>
      <c r="H284" s="26">
        <v>1000</v>
      </c>
      <c r="I284" s="27">
        <f t="shared" si="18"/>
        <v>38000</v>
      </c>
      <c r="J284" s="28"/>
      <c r="K284" s="29">
        <v>170</v>
      </c>
      <c r="L284" s="30">
        <v>0.05</v>
      </c>
      <c r="M284" s="31">
        <f t="shared" si="19"/>
        <v>8.5</v>
      </c>
      <c r="N284" s="31">
        <f t="shared" si="20"/>
        <v>178.5</v>
      </c>
      <c r="O284" s="25"/>
      <c r="P284" s="22">
        <v>45348</v>
      </c>
      <c r="Q284" s="25"/>
      <c r="R284" s="82" t="s">
        <v>649</v>
      </c>
      <c r="S284" s="21"/>
      <c r="T284" s="32" t="s">
        <v>309</v>
      </c>
      <c r="U284" s="21"/>
    </row>
    <row r="285" spans="1:21" ht="20.100000000000001" customHeight="1" x14ac:dyDescent="0.3">
      <c r="A285" s="44">
        <v>277</v>
      </c>
      <c r="B285" s="22">
        <v>45348</v>
      </c>
      <c r="C285" s="23"/>
      <c r="D285" s="24" t="s">
        <v>650</v>
      </c>
      <c r="E285" s="25"/>
      <c r="F285" s="26">
        <v>79</v>
      </c>
      <c r="G285" s="62" t="s">
        <v>51</v>
      </c>
      <c r="H285" s="26">
        <v>1000</v>
      </c>
      <c r="I285" s="27">
        <f t="shared" si="18"/>
        <v>79000</v>
      </c>
      <c r="J285" s="28"/>
      <c r="K285" s="29">
        <v>230</v>
      </c>
      <c r="L285" s="30">
        <v>0.05</v>
      </c>
      <c r="M285" s="31">
        <f t="shared" si="19"/>
        <v>11.5</v>
      </c>
      <c r="N285" s="31">
        <f t="shared" si="20"/>
        <v>241.5</v>
      </c>
      <c r="O285" s="25"/>
      <c r="P285" s="22">
        <v>45348</v>
      </c>
      <c r="Q285" s="25"/>
      <c r="R285" s="82" t="s">
        <v>649</v>
      </c>
      <c r="S285" s="21"/>
      <c r="T285" s="32" t="s">
        <v>309</v>
      </c>
      <c r="U285" s="21"/>
    </row>
    <row r="286" spans="1:21" ht="20.100000000000001" customHeight="1" x14ac:dyDescent="0.3">
      <c r="A286" s="44">
        <v>278</v>
      </c>
      <c r="B286" s="22">
        <v>45348</v>
      </c>
      <c r="C286" s="23"/>
      <c r="D286" s="24" t="s">
        <v>531</v>
      </c>
      <c r="E286" s="25"/>
      <c r="F286" s="26">
        <v>40</v>
      </c>
      <c r="G286" s="62" t="s">
        <v>51</v>
      </c>
      <c r="H286" s="26">
        <v>1000</v>
      </c>
      <c r="I286" s="27">
        <f t="shared" si="18"/>
        <v>40000</v>
      </c>
      <c r="J286" s="28"/>
      <c r="K286" s="29">
        <v>106</v>
      </c>
      <c r="L286" s="30">
        <v>0.05</v>
      </c>
      <c r="M286" s="31">
        <f t="shared" si="19"/>
        <v>5.3000000000000007</v>
      </c>
      <c r="N286" s="31">
        <f t="shared" si="20"/>
        <v>111.3</v>
      </c>
      <c r="O286" s="25"/>
      <c r="P286" s="22">
        <v>45348</v>
      </c>
      <c r="Q286" s="25"/>
      <c r="R286" s="82" t="s">
        <v>649</v>
      </c>
      <c r="S286" s="21"/>
      <c r="T286" s="32" t="s">
        <v>309</v>
      </c>
      <c r="U286" s="21"/>
    </row>
    <row r="287" spans="1:21" ht="20.100000000000001" customHeight="1" x14ac:dyDescent="0.3">
      <c r="A287" s="44">
        <v>279</v>
      </c>
      <c r="B287" s="22">
        <v>45348</v>
      </c>
      <c r="C287" s="23"/>
      <c r="D287" s="24" t="s">
        <v>532</v>
      </c>
      <c r="E287" s="25"/>
      <c r="F287" s="26">
        <v>40</v>
      </c>
      <c r="G287" s="62" t="s">
        <v>51</v>
      </c>
      <c r="H287" s="26">
        <v>1000</v>
      </c>
      <c r="I287" s="27">
        <f t="shared" si="18"/>
        <v>40000</v>
      </c>
      <c r="J287" s="28"/>
      <c r="K287" s="29">
        <v>106</v>
      </c>
      <c r="L287" s="30">
        <v>0.05</v>
      </c>
      <c r="M287" s="31">
        <f t="shared" si="19"/>
        <v>5.3000000000000007</v>
      </c>
      <c r="N287" s="31">
        <f t="shared" si="20"/>
        <v>111.3</v>
      </c>
      <c r="O287" s="25"/>
      <c r="P287" s="22">
        <v>45348</v>
      </c>
      <c r="Q287" s="25"/>
      <c r="R287" s="82" t="s">
        <v>649</v>
      </c>
      <c r="S287" s="21"/>
      <c r="T287" s="32" t="s">
        <v>309</v>
      </c>
      <c r="U287" s="21"/>
    </row>
    <row r="288" spans="1:21" ht="20.100000000000001" customHeight="1" x14ac:dyDescent="0.3">
      <c r="A288" s="44">
        <v>280</v>
      </c>
      <c r="B288" s="22">
        <v>45348</v>
      </c>
      <c r="C288" s="23"/>
      <c r="D288" s="24" t="s">
        <v>256</v>
      </c>
      <c r="E288" s="25"/>
      <c r="F288" s="26">
        <v>40</v>
      </c>
      <c r="G288" s="62" t="s">
        <v>51</v>
      </c>
      <c r="H288" s="26">
        <v>1000</v>
      </c>
      <c r="I288" s="27">
        <f t="shared" si="18"/>
        <v>40000</v>
      </c>
      <c r="J288" s="28"/>
      <c r="K288" s="29">
        <v>56</v>
      </c>
      <c r="L288" s="30">
        <v>0.05</v>
      </c>
      <c r="M288" s="31">
        <f t="shared" si="19"/>
        <v>2.8000000000000003</v>
      </c>
      <c r="N288" s="31">
        <f t="shared" si="20"/>
        <v>58.8</v>
      </c>
      <c r="O288" s="25"/>
      <c r="P288" s="22">
        <v>45348</v>
      </c>
      <c r="Q288" s="25"/>
      <c r="R288" s="82" t="s">
        <v>649</v>
      </c>
      <c r="S288" s="21"/>
      <c r="T288" s="32" t="s">
        <v>309</v>
      </c>
      <c r="U288" s="21"/>
    </row>
    <row r="289" spans="1:21" ht="20.100000000000001" customHeight="1" x14ac:dyDescent="0.3">
      <c r="A289" s="44">
        <v>281</v>
      </c>
      <c r="B289" s="22">
        <v>45348</v>
      </c>
      <c r="C289" s="23"/>
      <c r="D289" s="24" t="s">
        <v>246</v>
      </c>
      <c r="E289" s="25"/>
      <c r="F289" s="26">
        <v>36</v>
      </c>
      <c r="G289" s="62" t="s">
        <v>51</v>
      </c>
      <c r="H289" s="26">
        <v>1000</v>
      </c>
      <c r="I289" s="27">
        <f t="shared" si="18"/>
        <v>36000</v>
      </c>
      <c r="J289" s="28"/>
      <c r="K289" s="29">
        <v>125</v>
      </c>
      <c r="L289" s="30">
        <v>0.05</v>
      </c>
      <c r="M289" s="31">
        <f t="shared" si="19"/>
        <v>6.25</v>
      </c>
      <c r="N289" s="31">
        <f t="shared" si="20"/>
        <v>131.25</v>
      </c>
      <c r="O289" s="25"/>
      <c r="P289" s="22">
        <v>45348</v>
      </c>
      <c r="Q289" s="25"/>
      <c r="R289" s="82" t="s">
        <v>649</v>
      </c>
      <c r="S289" s="21"/>
      <c r="T289" s="32" t="s">
        <v>309</v>
      </c>
      <c r="U289" s="21"/>
    </row>
    <row r="290" spans="1:21" ht="20.100000000000001" customHeight="1" x14ac:dyDescent="0.3">
      <c r="A290" s="44">
        <v>282</v>
      </c>
      <c r="B290" s="22">
        <v>45348</v>
      </c>
      <c r="C290" s="23"/>
      <c r="D290" s="24" t="s">
        <v>247</v>
      </c>
      <c r="E290" s="25"/>
      <c r="F290" s="26">
        <v>40</v>
      </c>
      <c r="G290" s="62" t="s">
        <v>51</v>
      </c>
      <c r="H290" s="26">
        <v>1000</v>
      </c>
      <c r="I290" s="27">
        <f t="shared" si="18"/>
        <v>40000</v>
      </c>
      <c r="J290" s="28"/>
      <c r="K290" s="29">
        <v>126</v>
      </c>
      <c r="L290" s="30">
        <v>0.05</v>
      </c>
      <c r="M290" s="31">
        <f t="shared" si="19"/>
        <v>6.3000000000000007</v>
      </c>
      <c r="N290" s="31">
        <f t="shared" si="20"/>
        <v>132.30000000000001</v>
      </c>
      <c r="O290" s="25"/>
      <c r="P290" s="22">
        <v>45348</v>
      </c>
      <c r="Q290" s="25"/>
      <c r="R290" s="82" t="s">
        <v>649</v>
      </c>
      <c r="S290" s="21"/>
      <c r="T290" s="32" t="s">
        <v>309</v>
      </c>
      <c r="U290" s="21"/>
    </row>
    <row r="291" spans="1:21" ht="20.100000000000001" customHeight="1" x14ac:dyDescent="0.3">
      <c r="A291" s="44">
        <v>283</v>
      </c>
      <c r="B291" s="22">
        <v>45348</v>
      </c>
      <c r="C291" s="23"/>
      <c r="D291" s="24" t="s">
        <v>534</v>
      </c>
      <c r="E291" s="25"/>
      <c r="F291" s="26">
        <v>83</v>
      </c>
      <c r="G291" s="62" t="s">
        <v>51</v>
      </c>
      <c r="H291" s="26">
        <v>1000</v>
      </c>
      <c r="I291" s="27">
        <f t="shared" si="18"/>
        <v>83000</v>
      </c>
      <c r="J291" s="28"/>
      <c r="K291" s="29">
        <v>1961</v>
      </c>
      <c r="L291" s="30">
        <v>0.05</v>
      </c>
      <c r="M291" s="31">
        <f t="shared" si="19"/>
        <v>98.050000000000011</v>
      </c>
      <c r="N291" s="31">
        <f t="shared" si="20"/>
        <v>2059.0500000000002</v>
      </c>
      <c r="O291" s="25"/>
      <c r="P291" s="22">
        <v>45348</v>
      </c>
      <c r="Q291" s="25"/>
      <c r="R291" s="82" t="s">
        <v>649</v>
      </c>
      <c r="S291" s="21"/>
      <c r="T291" s="32" t="s">
        <v>309</v>
      </c>
      <c r="U291" s="21"/>
    </row>
    <row r="292" spans="1:21" ht="20.100000000000001" customHeight="1" x14ac:dyDescent="0.3">
      <c r="A292" s="44">
        <v>284</v>
      </c>
      <c r="B292" s="22">
        <v>45348</v>
      </c>
      <c r="C292" s="23"/>
      <c r="D292" s="24" t="s">
        <v>648</v>
      </c>
      <c r="E292" s="25"/>
      <c r="F292" s="26">
        <v>21</v>
      </c>
      <c r="G292" s="62" t="s">
        <v>51</v>
      </c>
      <c r="H292" s="26">
        <v>1000</v>
      </c>
      <c r="I292" s="27">
        <f t="shared" si="18"/>
        <v>21000</v>
      </c>
      <c r="J292" s="28"/>
      <c r="K292" s="29">
        <v>1025</v>
      </c>
      <c r="L292" s="30">
        <v>0.05</v>
      </c>
      <c r="M292" s="31">
        <f t="shared" si="19"/>
        <v>51.25</v>
      </c>
      <c r="N292" s="31">
        <f t="shared" si="20"/>
        <v>1076.25</v>
      </c>
      <c r="O292" s="25"/>
      <c r="P292" s="22">
        <v>45348</v>
      </c>
      <c r="Q292" s="25"/>
      <c r="R292" s="82" t="s">
        <v>649</v>
      </c>
      <c r="S292" s="21"/>
      <c r="T292" s="32" t="s">
        <v>309</v>
      </c>
      <c r="U292" s="21"/>
    </row>
    <row r="293" spans="1:21" ht="20.100000000000001" customHeight="1" x14ac:dyDescent="0.3">
      <c r="A293" s="44">
        <v>285</v>
      </c>
      <c r="B293" s="22">
        <v>45348</v>
      </c>
      <c r="C293" s="23"/>
      <c r="D293" s="24" t="s">
        <v>248</v>
      </c>
      <c r="E293" s="25"/>
      <c r="F293" s="26">
        <v>41</v>
      </c>
      <c r="G293" s="62" t="s">
        <v>51</v>
      </c>
      <c r="H293" s="26">
        <v>1000</v>
      </c>
      <c r="I293" s="27">
        <f t="shared" si="18"/>
        <v>41000</v>
      </c>
      <c r="J293" s="28"/>
      <c r="K293" s="29">
        <v>2021</v>
      </c>
      <c r="L293" s="30">
        <v>0.05</v>
      </c>
      <c r="M293" s="31">
        <f t="shared" si="19"/>
        <v>101.05000000000001</v>
      </c>
      <c r="N293" s="31">
        <f t="shared" si="20"/>
        <v>2122.0500000000002</v>
      </c>
      <c r="O293" s="25"/>
      <c r="P293" s="22">
        <v>45348</v>
      </c>
      <c r="Q293" s="25"/>
      <c r="R293" s="82" t="s">
        <v>649</v>
      </c>
      <c r="S293" s="21"/>
      <c r="T293" s="32" t="s">
        <v>309</v>
      </c>
      <c r="U293" s="21"/>
    </row>
    <row r="294" spans="1:21" ht="20.100000000000001" customHeight="1" x14ac:dyDescent="0.3">
      <c r="A294" s="44">
        <v>286</v>
      </c>
      <c r="B294" s="22">
        <v>45348</v>
      </c>
      <c r="C294" s="23"/>
      <c r="D294" s="24" t="s">
        <v>249</v>
      </c>
      <c r="E294" s="25"/>
      <c r="F294" s="26">
        <v>40</v>
      </c>
      <c r="G294" s="62" t="s">
        <v>51</v>
      </c>
      <c r="H294" s="26">
        <v>1000</v>
      </c>
      <c r="I294" s="27">
        <f t="shared" si="18"/>
        <v>40000</v>
      </c>
      <c r="J294" s="28"/>
      <c r="K294" s="29">
        <v>2835</v>
      </c>
      <c r="L294" s="30">
        <v>0.05</v>
      </c>
      <c r="M294" s="31">
        <f t="shared" si="19"/>
        <v>141.75</v>
      </c>
      <c r="N294" s="31">
        <f t="shared" si="20"/>
        <v>2976.75</v>
      </c>
      <c r="O294" s="25"/>
      <c r="P294" s="22">
        <v>45348</v>
      </c>
      <c r="Q294" s="25"/>
      <c r="R294" s="82" t="s">
        <v>649</v>
      </c>
      <c r="S294" s="21"/>
      <c r="T294" s="32" t="s">
        <v>309</v>
      </c>
      <c r="U294" s="21"/>
    </row>
    <row r="295" spans="1:21" ht="20.100000000000001" customHeight="1" x14ac:dyDescent="0.3">
      <c r="A295" s="44">
        <v>287</v>
      </c>
      <c r="B295" s="22">
        <v>45348</v>
      </c>
      <c r="C295" s="23"/>
      <c r="D295" s="24" t="s">
        <v>533</v>
      </c>
      <c r="E295" s="25"/>
      <c r="F295" s="26">
        <v>62</v>
      </c>
      <c r="G295" s="62" t="s">
        <v>51</v>
      </c>
      <c r="H295" s="26">
        <v>1000</v>
      </c>
      <c r="I295" s="27">
        <f t="shared" si="18"/>
        <v>62000</v>
      </c>
      <c r="J295" s="28"/>
      <c r="K295" s="29">
        <v>2363</v>
      </c>
      <c r="L295" s="30">
        <v>0.05</v>
      </c>
      <c r="M295" s="31">
        <f t="shared" si="19"/>
        <v>118.15</v>
      </c>
      <c r="N295" s="31">
        <f t="shared" si="20"/>
        <v>2481.15</v>
      </c>
      <c r="O295" s="25"/>
      <c r="P295" s="22">
        <v>45348</v>
      </c>
      <c r="Q295" s="25"/>
      <c r="R295" s="82" t="s">
        <v>649</v>
      </c>
      <c r="S295" s="21"/>
      <c r="T295" s="32" t="s">
        <v>309</v>
      </c>
      <c r="U295" s="21"/>
    </row>
    <row r="296" spans="1:21" ht="20.100000000000001" customHeight="1" x14ac:dyDescent="0.3">
      <c r="A296" s="44">
        <v>288</v>
      </c>
      <c r="B296" s="22">
        <v>45348</v>
      </c>
      <c r="C296" s="23"/>
      <c r="D296" s="24" t="s">
        <v>526</v>
      </c>
      <c r="E296" s="25"/>
      <c r="F296" s="26">
        <v>40</v>
      </c>
      <c r="G296" s="62" t="s">
        <v>230</v>
      </c>
      <c r="H296" s="26">
        <v>200</v>
      </c>
      <c r="I296" s="27">
        <f t="shared" si="18"/>
        <v>8000</v>
      </c>
      <c r="J296" s="28"/>
      <c r="K296" s="29">
        <v>1.75</v>
      </c>
      <c r="L296" s="30">
        <v>0.05</v>
      </c>
      <c r="M296" s="31">
        <f t="shared" si="19"/>
        <v>8.7500000000000008E-2</v>
      </c>
      <c r="N296" s="31">
        <f t="shared" si="20"/>
        <v>1.8374999999999999</v>
      </c>
      <c r="O296" s="25"/>
      <c r="P296" s="22">
        <v>45348</v>
      </c>
      <c r="Q296" s="25"/>
      <c r="R296" s="82" t="s">
        <v>649</v>
      </c>
      <c r="S296" s="21"/>
      <c r="T296" s="32" t="s">
        <v>309</v>
      </c>
      <c r="U296" s="21"/>
    </row>
    <row r="297" spans="1:21" ht="20.100000000000001" customHeight="1" x14ac:dyDescent="0.3">
      <c r="A297" s="44">
        <v>289</v>
      </c>
      <c r="B297" s="22">
        <v>45348</v>
      </c>
      <c r="C297" s="23"/>
      <c r="D297" s="24" t="s">
        <v>527</v>
      </c>
      <c r="E297" s="25"/>
      <c r="F297" s="26">
        <v>40</v>
      </c>
      <c r="G297" s="62" t="s">
        <v>230</v>
      </c>
      <c r="H297" s="26">
        <v>500</v>
      </c>
      <c r="I297" s="27">
        <f t="shared" si="18"/>
        <v>20000</v>
      </c>
      <c r="J297" s="28"/>
      <c r="K297" s="29">
        <v>1.75</v>
      </c>
      <c r="L297" s="30">
        <v>0.05</v>
      </c>
      <c r="M297" s="31">
        <f t="shared" si="19"/>
        <v>8.7500000000000008E-2</v>
      </c>
      <c r="N297" s="31">
        <f t="shared" si="20"/>
        <v>1.8374999999999999</v>
      </c>
      <c r="O297" s="25"/>
      <c r="P297" s="22">
        <v>45348</v>
      </c>
      <c r="Q297" s="25"/>
      <c r="R297" s="82" t="s">
        <v>649</v>
      </c>
      <c r="S297" s="21"/>
      <c r="T297" s="32" t="s">
        <v>309</v>
      </c>
      <c r="U297" s="21"/>
    </row>
    <row r="298" spans="1:21" ht="20.100000000000001" customHeight="1" x14ac:dyDescent="0.3">
      <c r="A298" s="44">
        <v>290</v>
      </c>
      <c r="B298" s="22">
        <v>45348</v>
      </c>
      <c r="C298" s="23"/>
      <c r="D298" s="24" t="s">
        <v>528</v>
      </c>
      <c r="E298" s="25"/>
      <c r="F298" s="26">
        <v>90</v>
      </c>
      <c r="G298" s="62" t="s">
        <v>230</v>
      </c>
      <c r="H298" s="26">
        <v>200</v>
      </c>
      <c r="I298" s="27">
        <f t="shared" si="18"/>
        <v>18000</v>
      </c>
      <c r="J298" s="28"/>
      <c r="K298" s="29">
        <v>1.25</v>
      </c>
      <c r="L298" s="30">
        <v>0.05</v>
      </c>
      <c r="M298" s="31">
        <f t="shared" si="19"/>
        <v>6.25E-2</v>
      </c>
      <c r="N298" s="31">
        <f t="shared" si="20"/>
        <v>1.3125</v>
      </c>
      <c r="O298" s="25"/>
      <c r="P298" s="22">
        <v>45348</v>
      </c>
      <c r="Q298" s="25"/>
      <c r="R298" s="82" t="s">
        <v>649</v>
      </c>
      <c r="S298" s="21"/>
      <c r="T298" s="32" t="s">
        <v>309</v>
      </c>
      <c r="U298" s="21"/>
    </row>
    <row r="299" spans="1:21" ht="20.100000000000001" customHeight="1" x14ac:dyDescent="0.3">
      <c r="A299" s="44">
        <v>291</v>
      </c>
      <c r="B299" s="22">
        <v>45348</v>
      </c>
      <c r="C299" s="23"/>
      <c r="D299" s="24" t="s">
        <v>529</v>
      </c>
      <c r="E299" s="25"/>
      <c r="F299" s="26">
        <v>250</v>
      </c>
      <c r="G299" s="62" t="s">
        <v>230</v>
      </c>
      <c r="H299" s="26">
        <v>30</v>
      </c>
      <c r="I299" s="27">
        <f t="shared" si="18"/>
        <v>7500</v>
      </c>
      <c r="J299" s="28"/>
      <c r="K299" s="29">
        <v>1.75</v>
      </c>
      <c r="L299" s="30">
        <v>0.05</v>
      </c>
      <c r="M299" s="31">
        <f t="shared" si="19"/>
        <v>8.7500000000000008E-2</v>
      </c>
      <c r="N299" s="31">
        <f t="shared" si="20"/>
        <v>1.8374999999999999</v>
      </c>
      <c r="O299" s="25"/>
      <c r="P299" s="22">
        <v>45348</v>
      </c>
      <c r="Q299" s="25"/>
      <c r="R299" s="82" t="s">
        <v>649</v>
      </c>
      <c r="S299" s="21"/>
      <c r="T299" s="32" t="s">
        <v>309</v>
      </c>
      <c r="U299" s="21"/>
    </row>
    <row r="300" spans="1:21" ht="20.100000000000001" customHeight="1" x14ac:dyDescent="0.3">
      <c r="A300" s="44">
        <v>292</v>
      </c>
      <c r="B300" s="22">
        <v>45348</v>
      </c>
      <c r="C300" s="23"/>
      <c r="D300" s="24" t="s">
        <v>522</v>
      </c>
      <c r="E300" s="25"/>
      <c r="F300" s="26">
        <v>40</v>
      </c>
      <c r="G300" s="62" t="s">
        <v>51</v>
      </c>
      <c r="H300" s="26">
        <v>1000</v>
      </c>
      <c r="I300" s="27">
        <f t="shared" si="18"/>
        <v>40000</v>
      </c>
      <c r="J300" s="28"/>
      <c r="K300" s="29">
        <v>6300</v>
      </c>
      <c r="L300" s="30">
        <v>0.05</v>
      </c>
      <c r="M300" s="31">
        <f t="shared" si="19"/>
        <v>315</v>
      </c>
      <c r="N300" s="31">
        <f t="shared" si="20"/>
        <v>6615</v>
      </c>
      <c r="O300" s="25"/>
      <c r="P300" s="22">
        <v>45348</v>
      </c>
      <c r="Q300" s="25"/>
      <c r="R300" s="82" t="s">
        <v>651</v>
      </c>
      <c r="S300" s="21"/>
      <c r="T300" s="32" t="s">
        <v>618</v>
      </c>
      <c r="U300" s="21"/>
    </row>
    <row r="301" spans="1:21" ht="20.100000000000001" customHeight="1" x14ac:dyDescent="0.3">
      <c r="A301" s="44">
        <v>293</v>
      </c>
      <c r="B301" s="22">
        <v>45348</v>
      </c>
      <c r="C301" s="23"/>
      <c r="D301" s="24" t="s">
        <v>523</v>
      </c>
      <c r="E301" s="25"/>
      <c r="F301" s="26">
        <v>40</v>
      </c>
      <c r="G301" s="62" t="s">
        <v>51</v>
      </c>
      <c r="H301" s="26">
        <v>1000</v>
      </c>
      <c r="I301" s="27">
        <f t="shared" ref="I301:I330" si="21">F301*H301</f>
        <v>40000</v>
      </c>
      <c r="J301" s="28"/>
      <c r="K301" s="29">
        <v>480</v>
      </c>
      <c r="L301" s="30">
        <v>0.05</v>
      </c>
      <c r="M301" s="31">
        <f t="shared" ref="M301:M330" si="22">K301*L301</f>
        <v>24</v>
      </c>
      <c r="N301" s="31">
        <f t="shared" ref="N301:N330" si="23">K301+M301</f>
        <v>504</v>
      </c>
      <c r="O301" s="25"/>
      <c r="P301" s="22">
        <v>45348</v>
      </c>
      <c r="Q301" s="25"/>
      <c r="R301" s="82" t="s">
        <v>651</v>
      </c>
      <c r="S301" s="21"/>
      <c r="T301" s="32" t="s">
        <v>618</v>
      </c>
      <c r="U301" s="21"/>
    </row>
    <row r="302" spans="1:21" ht="20.100000000000001" customHeight="1" x14ac:dyDescent="0.3">
      <c r="A302" s="44">
        <v>294</v>
      </c>
      <c r="B302" s="22">
        <v>45348</v>
      </c>
      <c r="C302" s="23"/>
      <c r="D302" s="24" t="s">
        <v>524</v>
      </c>
      <c r="E302" s="25"/>
      <c r="F302" s="26">
        <v>40</v>
      </c>
      <c r="G302" s="62" t="s">
        <v>51</v>
      </c>
      <c r="H302" s="26">
        <v>1000</v>
      </c>
      <c r="I302" s="27">
        <f t="shared" si="21"/>
        <v>40000</v>
      </c>
      <c r="J302" s="28"/>
      <c r="K302" s="29">
        <v>2600</v>
      </c>
      <c r="L302" s="30">
        <v>0.05</v>
      </c>
      <c r="M302" s="31">
        <f t="shared" si="22"/>
        <v>130</v>
      </c>
      <c r="N302" s="31">
        <f t="shared" si="23"/>
        <v>2730</v>
      </c>
      <c r="O302" s="25"/>
      <c r="P302" s="22">
        <v>45348</v>
      </c>
      <c r="Q302" s="25"/>
      <c r="R302" s="82" t="s">
        <v>651</v>
      </c>
      <c r="S302" s="21"/>
      <c r="T302" s="32" t="s">
        <v>618</v>
      </c>
      <c r="U302" s="21"/>
    </row>
    <row r="303" spans="1:21" ht="20.100000000000001" customHeight="1" x14ac:dyDescent="0.3">
      <c r="A303" s="44">
        <v>295</v>
      </c>
      <c r="B303" s="22">
        <v>45348</v>
      </c>
      <c r="C303" s="23"/>
      <c r="D303" s="80" t="s">
        <v>446</v>
      </c>
      <c r="E303" s="25"/>
      <c r="F303" s="26">
        <v>12</v>
      </c>
      <c r="G303" s="62" t="s">
        <v>56</v>
      </c>
      <c r="H303" s="26">
        <v>5</v>
      </c>
      <c r="I303" s="27">
        <f t="shared" si="21"/>
        <v>60</v>
      </c>
      <c r="J303" s="28"/>
      <c r="K303" s="29">
        <v>1095</v>
      </c>
      <c r="L303" s="30"/>
      <c r="M303" s="31">
        <f t="shared" si="22"/>
        <v>0</v>
      </c>
      <c r="N303" s="31">
        <f t="shared" si="23"/>
        <v>1095</v>
      </c>
      <c r="O303" s="25"/>
      <c r="P303" s="22">
        <v>45348</v>
      </c>
      <c r="Q303" s="25"/>
      <c r="R303" s="82" t="s">
        <v>653</v>
      </c>
      <c r="S303" s="21"/>
      <c r="T303" s="32" t="s">
        <v>372</v>
      </c>
      <c r="U303" s="21"/>
    </row>
    <row r="304" spans="1:21" ht="20.100000000000001" customHeight="1" x14ac:dyDescent="0.3">
      <c r="A304" s="44">
        <v>296</v>
      </c>
      <c r="B304" s="22">
        <v>45348</v>
      </c>
      <c r="C304" s="23"/>
      <c r="D304" s="24" t="s">
        <v>652</v>
      </c>
      <c r="E304" s="25"/>
      <c r="F304" s="26">
        <v>20</v>
      </c>
      <c r="G304" s="62" t="s">
        <v>56</v>
      </c>
      <c r="H304" s="26">
        <v>5</v>
      </c>
      <c r="I304" s="27">
        <f t="shared" si="21"/>
        <v>100</v>
      </c>
      <c r="J304" s="28"/>
      <c r="K304" s="29">
        <v>692</v>
      </c>
      <c r="L304" s="30"/>
      <c r="M304" s="31">
        <f t="shared" si="22"/>
        <v>0</v>
      </c>
      <c r="N304" s="31">
        <f t="shared" si="23"/>
        <v>692</v>
      </c>
      <c r="O304" s="25"/>
      <c r="P304" s="22">
        <v>45348</v>
      </c>
      <c r="Q304" s="25"/>
      <c r="R304" s="82" t="s">
        <v>653</v>
      </c>
      <c r="S304" s="21"/>
      <c r="T304" s="32" t="s">
        <v>372</v>
      </c>
      <c r="U304" s="21"/>
    </row>
    <row r="305" spans="1:21" ht="20.100000000000001" customHeight="1" x14ac:dyDescent="0.3">
      <c r="A305" s="44">
        <v>297</v>
      </c>
      <c r="B305" s="22">
        <v>45348</v>
      </c>
      <c r="C305" s="23"/>
      <c r="D305" s="24" t="s">
        <v>402</v>
      </c>
      <c r="E305" s="25"/>
      <c r="F305" s="26">
        <v>100</v>
      </c>
      <c r="G305" s="62" t="s">
        <v>18</v>
      </c>
      <c r="H305" s="26">
        <v>1</v>
      </c>
      <c r="I305" s="27">
        <f t="shared" si="21"/>
        <v>100</v>
      </c>
      <c r="J305" s="28"/>
      <c r="K305" s="29">
        <v>720</v>
      </c>
      <c r="L305" s="30"/>
      <c r="M305" s="31">
        <f t="shared" si="22"/>
        <v>0</v>
      </c>
      <c r="N305" s="31">
        <f t="shared" si="23"/>
        <v>720</v>
      </c>
      <c r="O305" s="25"/>
      <c r="P305" s="22">
        <v>45348</v>
      </c>
      <c r="Q305" s="25"/>
      <c r="R305" s="82" t="s">
        <v>654</v>
      </c>
      <c r="S305" s="21"/>
      <c r="T305" s="32" t="s">
        <v>404</v>
      </c>
      <c r="U305" s="21"/>
    </row>
    <row r="306" spans="1:21" ht="20.100000000000001" customHeight="1" x14ac:dyDescent="0.3">
      <c r="A306" s="44">
        <v>298</v>
      </c>
      <c r="B306" s="22">
        <v>45363</v>
      </c>
      <c r="C306" s="23"/>
      <c r="D306" s="24" t="s">
        <v>597</v>
      </c>
      <c r="E306" s="25"/>
      <c r="F306" s="26">
        <v>60</v>
      </c>
      <c r="G306" s="62" t="s">
        <v>18</v>
      </c>
      <c r="H306" s="26">
        <v>5</v>
      </c>
      <c r="I306" s="27">
        <f t="shared" si="21"/>
        <v>300</v>
      </c>
      <c r="J306" s="28"/>
      <c r="K306" s="29">
        <v>2875</v>
      </c>
      <c r="L306" s="30"/>
      <c r="M306" s="31">
        <f t="shared" si="22"/>
        <v>0</v>
      </c>
      <c r="N306" s="31">
        <f t="shared" si="23"/>
        <v>2875</v>
      </c>
      <c r="O306" s="25"/>
      <c r="P306" s="22">
        <v>45363</v>
      </c>
      <c r="Q306" s="25"/>
      <c r="R306" s="82" t="s">
        <v>656</v>
      </c>
      <c r="S306" s="21"/>
      <c r="T306" s="32" t="s">
        <v>609</v>
      </c>
      <c r="U306" s="21"/>
    </row>
    <row r="307" spans="1:21" ht="20.100000000000001" customHeight="1" x14ac:dyDescent="0.3">
      <c r="A307" s="44">
        <v>299</v>
      </c>
      <c r="B307" s="22">
        <v>45370</v>
      </c>
      <c r="C307" s="23"/>
      <c r="D307" s="24" t="s">
        <v>291</v>
      </c>
      <c r="E307" s="25"/>
      <c r="F307" s="26">
        <v>50</v>
      </c>
      <c r="G307" s="62" t="s">
        <v>18</v>
      </c>
      <c r="H307" s="26">
        <v>20</v>
      </c>
      <c r="I307" s="27">
        <f t="shared" si="21"/>
        <v>1000</v>
      </c>
      <c r="J307" s="28"/>
      <c r="K307" s="29">
        <v>3000</v>
      </c>
      <c r="L307" s="30"/>
      <c r="M307" s="31">
        <f t="shared" si="22"/>
        <v>0</v>
      </c>
      <c r="N307" s="31">
        <f t="shared" si="23"/>
        <v>3000</v>
      </c>
      <c r="O307" s="25"/>
      <c r="P307" s="22">
        <v>45371</v>
      </c>
      <c r="Q307" s="25"/>
      <c r="R307" s="82" t="s">
        <v>657</v>
      </c>
      <c r="S307" s="21"/>
      <c r="T307" s="32" t="s">
        <v>312</v>
      </c>
      <c r="U307" s="21"/>
    </row>
    <row r="308" spans="1:21" ht="20.100000000000001" customHeight="1" x14ac:dyDescent="0.3">
      <c r="A308" s="44">
        <v>300</v>
      </c>
      <c r="B308" s="22">
        <v>45370</v>
      </c>
      <c r="C308" s="23"/>
      <c r="D308" s="24" t="s">
        <v>658</v>
      </c>
      <c r="E308" s="25"/>
      <c r="F308" s="26">
        <v>60</v>
      </c>
      <c r="G308" s="62" t="s">
        <v>18</v>
      </c>
      <c r="H308" s="26">
        <v>5</v>
      </c>
      <c r="I308" s="27">
        <f t="shared" si="21"/>
        <v>300</v>
      </c>
      <c r="J308" s="28"/>
      <c r="K308" s="29">
        <v>2150</v>
      </c>
      <c r="L308" s="30"/>
      <c r="M308" s="31">
        <f t="shared" si="22"/>
        <v>0</v>
      </c>
      <c r="N308" s="31">
        <f t="shared" si="23"/>
        <v>2150</v>
      </c>
      <c r="O308" s="25"/>
      <c r="P308" s="22">
        <v>45371</v>
      </c>
      <c r="Q308" s="25"/>
      <c r="R308" s="82" t="s">
        <v>659</v>
      </c>
      <c r="S308" s="21"/>
      <c r="T308" s="32" t="s">
        <v>660</v>
      </c>
      <c r="U308" s="21"/>
    </row>
    <row r="309" spans="1:21" ht="20.100000000000001" customHeight="1" x14ac:dyDescent="0.3">
      <c r="A309" s="44">
        <v>301</v>
      </c>
      <c r="B309" s="22">
        <v>45376</v>
      </c>
      <c r="C309" s="23"/>
      <c r="D309" s="24" t="s">
        <v>501</v>
      </c>
      <c r="E309" s="25"/>
      <c r="F309" s="26">
        <v>504</v>
      </c>
      <c r="G309" s="62" t="s">
        <v>18</v>
      </c>
      <c r="H309" s="26">
        <v>1</v>
      </c>
      <c r="I309" s="27">
        <f t="shared" si="21"/>
        <v>504</v>
      </c>
      <c r="J309" s="28"/>
      <c r="K309" s="29">
        <v>600</v>
      </c>
      <c r="L309" s="30"/>
      <c r="M309" s="31">
        <f t="shared" si="22"/>
        <v>0</v>
      </c>
      <c r="N309" s="31">
        <f t="shared" si="23"/>
        <v>600</v>
      </c>
      <c r="O309" s="25"/>
      <c r="P309" s="22">
        <v>45377</v>
      </c>
      <c r="Q309" s="25"/>
      <c r="R309" s="82" t="s">
        <v>661</v>
      </c>
      <c r="S309" s="21"/>
      <c r="T309" s="32" t="s">
        <v>609</v>
      </c>
      <c r="U309" s="21"/>
    </row>
    <row r="310" spans="1:21" ht="20.100000000000001" customHeight="1" x14ac:dyDescent="0.3">
      <c r="A310" s="44">
        <v>302</v>
      </c>
      <c r="B310" s="22">
        <v>45376</v>
      </c>
      <c r="C310" s="23"/>
      <c r="D310" s="24" t="s">
        <v>552</v>
      </c>
      <c r="E310" s="25"/>
      <c r="F310" s="26">
        <v>12</v>
      </c>
      <c r="G310" s="62" t="s">
        <v>18</v>
      </c>
      <c r="H310" s="26">
        <v>25</v>
      </c>
      <c r="I310" s="27">
        <f t="shared" si="21"/>
        <v>300</v>
      </c>
      <c r="J310" s="28"/>
      <c r="K310" s="29">
        <v>16875</v>
      </c>
      <c r="L310" s="30"/>
      <c r="M310" s="31">
        <f t="shared" si="22"/>
        <v>0</v>
      </c>
      <c r="N310" s="31">
        <f t="shared" si="23"/>
        <v>16875</v>
      </c>
      <c r="O310" s="25"/>
      <c r="P310" s="22">
        <v>45377</v>
      </c>
      <c r="Q310" s="25"/>
      <c r="R310" s="82" t="s">
        <v>662</v>
      </c>
      <c r="S310" s="21"/>
      <c r="T310" s="32" t="s">
        <v>323</v>
      </c>
      <c r="U310" s="21"/>
    </row>
    <row r="311" spans="1:21" ht="20.100000000000001" customHeight="1" x14ac:dyDescent="0.3">
      <c r="A311" s="44">
        <v>303</v>
      </c>
      <c r="B311" s="22">
        <v>45376</v>
      </c>
      <c r="C311" s="23"/>
      <c r="D311" s="24" t="s">
        <v>559</v>
      </c>
      <c r="E311" s="25"/>
      <c r="F311" s="26">
        <v>10</v>
      </c>
      <c r="G311" s="62" t="s">
        <v>18</v>
      </c>
      <c r="H311" s="26">
        <v>20</v>
      </c>
      <c r="I311" s="27">
        <f t="shared" si="21"/>
        <v>200</v>
      </c>
      <c r="J311" s="28"/>
      <c r="K311" s="29">
        <v>31000</v>
      </c>
      <c r="L311" s="30"/>
      <c r="M311" s="31">
        <f t="shared" si="22"/>
        <v>0</v>
      </c>
      <c r="N311" s="31">
        <f t="shared" si="23"/>
        <v>31000</v>
      </c>
      <c r="O311" s="25"/>
      <c r="P311" s="22">
        <v>45377</v>
      </c>
      <c r="Q311" s="25"/>
      <c r="R311" s="82" t="s">
        <v>663</v>
      </c>
      <c r="S311" s="21"/>
      <c r="T311" s="32" t="s">
        <v>326</v>
      </c>
      <c r="U311" s="21"/>
    </row>
    <row r="312" spans="1:21" ht="20.100000000000001" customHeight="1" x14ac:dyDescent="0.3">
      <c r="A312" s="44">
        <v>304</v>
      </c>
      <c r="B312" s="22">
        <v>45376</v>
      </c>
      <c r="C312" s="23"/>
      <c r="D312" s="24" t="s">
        <v>481</v>
      </c>
      <c r="E312" s="25"/>
      <c r="F312" s="26">
        <v>50</v>
      </c>
      <c r="G312" s="62" t="s">
        <v>18</v>
      </c>
      <c r="H312" s="26">
        <v>20</v>
      </c>
      <c r="I312" s="27">
        <f t="shared" si="21"/>
        <v>1000</v>
      </c>
      <c r="J312" s="28"/>
      <c r="K312" s="29">
        <v>1800</v>
      </c>
      <c r="L312" s="30"/>
      <c r="M312" s="31">
        <f t="shared" si="22"/>
        <v>0</v>
      </c>
      <c r="N312" s="31">
        <f t="shared" si="23"/>
        <v>1800</v>
      </c>
      <c r="O312" s="25"/>
      <c r="P312" s="22">
        <v>45377</v>
      </c>
      <c r="Q312" s="25"/>
      <c r="R312" s="82" t="s">
        <v>664</v>
      </c>
      <c r="S312" s="21"/>
      <c r="T312" s="32" t="s">
        <v>421</v>
      </c>
      <c r="U312" s="21"/>
    </row>
    <row r="313" spans="1:21" ht="20.100000000000001" customHeight="1" x14ac:dyDescent="0.3">
      <c r="A313" s="44">
        <v>305</v>
      </c>
      <c r="B313" s="22">
        <v>45380</v>
      </c>
      <c r="C313" s="23"/>
      <c r="D313" s="24" t="s">
        <v>235</v>
      </c>
      <c r="E313" s="25"/>
      <c r="F313" s="26">
        <v>40</v>
      </c>
      <c r="G313" s="62" t="s">
        <v>18</v>
      </c>
      <c r="H313" s="26">
        <v>25</v>
      </c>
      <c r="I313" s="27">
        <f t="shared" si="21"/>
        <v>1000</v>
      </c>
      <c r="J313" s="28"/>
      <c r="K313" s="29">
        <v>3200</v>
      </c>
      <c r="L313" s="30"/>
      <c r="M313" s="31">
        <f t="shared" si="22"/>
        <v>0</v>
      </c>
      <c r="N313" s="31">
        <f t="shared" si="23"/>
        <v>3200</v>
      </c>
      <c r="O313" s="25"/>
      <c r="P313" s="22">
        <v>45381</v>
      </c>
      <c r="Q313" s="25"/>
      <c r="R313" s="82" t="s">
        <v>665</v>
      </c>
      <c r="S313" s="21"/>
      <c r="T313" s="32" t="s">
        <v>234</v>
      </c>
      <c r="U313" s="21"/>
    </row>
    <row r="314" spans="1:21" ht="20.100000000000001" customHeight="1" x14ac:dyDescent="0.3">
      <c r="A314" s="44">
        <v>306</v>
      </c>
      <c r="B314" s="22"/>
      <c r="C314" s="23"/>
      <c r="D314" s="24"/>
      <c r="E314" s="25"/>
      <c r="F314" s="26"/>
      <c r="G314" s="62"/>
      <c r="H314" s="26"/>
      <c r="I314" s="27">
        <f t="shared" si="21"/>
        <v>0</v>
      </c>
      <c r="J314" s="28"/>
      <c r="K314" s="29"/>
      <c r="L314" s="30"/>
      <c r="M314" s="31">
        <f t="shared" si="22"/>
        <v>0</v>
      </c>
      <c r="N314" s="31">
        <f t="shared" si="23"/>
        <v>0</v>
      </c>
      <c r="O314" s="25"/>
      <c r="P314" s="22"/>
      <c r="Q314" s="25"/>
      <c r="R314" s="26"/>
      <c r="S314" s="21"/>
      <c r="T314" s="32"/>
      <c r="U314" s="21"/>
    </row>
    <row r="315" spans="1:21" ht="20.100000000000001" customHeight="1" x14ac:dyDescent="0.3">
      <c r="A315" s="44">
        <v>307</v>
      </c>
      <c r="B315" s="22"/>
      <c r="C315" s="23"/>
      <c r="D315" s="24"/>
      <c r="E315" s="25"/>
      <c r="F315" s="26"/>
      <c r="G315" s="62"/>
      <c r="H315" s="26"/>
      <c r="I315" s="27">
        <f t="shared" si="21"/>
        <v>0</v>
      </c>
      <c r="J315" s="28"/>
      <c r="K315" s="29"/>
      <c r="L315" s="30"/>
      <c r="M315" s="31">
        <f t="shared" si="22"/>
        <v>0</v>
      </c>
      <c r="N315" s="31">
        <f t="shared" si="23"/>
        <v>0</v>
      </c>
      <c r="O315" s="25"/>
      <c r="P315" s="22"/>
      <c r="Q315" s="25"/>
      <c r="R315" s="26"/>
      <c r="S315" s="21"/>
      <c r="T315" s="32"/>
      <c r="U315" s="21"/>
    </row>
    <row r="316" spans="1:21" ht="20.100000000000001" customHeight="1" x14ac:dyDescent="0.3">
      <c r="A316" s="44">
        <v>308</v>
      </c>
      <c r="B316" s="22"/>
      <c r="C316" s="23"/>
      <c r="D316" s="24"/>
      <c r="E316" s="25"/>
      <c r="F316" s="26"/>
      <c r="G316" s="62"/>
      <c r="H316" s="26"/>
      <c r="I316" s="27">
        <f t="shared" si="21"/>
        <v>0</v>
      </c>
      <c r="J316" s="28"/>
      <c r="K316" s="29"/>
      <c r="L316" s="30"/>
      <c r="M316" s="31">
        <f t="shared" si="22"/>
        <v>0</v>
      </c>
      <c r="N316" s="31">
        <f t="shared" si="23"/>
        <v>0</v>
      </c>
      <c r="O316" s="25"/>
      <c r="P316" s="22"/>
      <c r="Q316" s="25"/>
      <c r="R316" s="26"/>
      <c r="S316" s="21"/>
      <c r="T316" s="32"/>
      <c r="U316" s="21"/>
    </row>
    <row r="317" spans="1:21" ht="20.100000000000001" customHeight="1" x14ac:dyDescent="0.3">
      <c r="A317" s="44">
        <v>309</v>
      </c>
      <c r="B317" s="22"/>
      <c r="C317" s="23"/>
      <c r="D317" s="24"/>
      <c r="E317" s="25"/>
      <c r="F317" s="26"/>
      <c r="G317" s="62"/>
      <c r="H317" s="26"/>
      <c r="I317" s="27">
        <f t="shared" si="21"/>
        <v>0</v>
      </c>
      <c r="J317" s="28"/>
      <c r="K317" s="29"/>
      <c r="L317" s="30"/>
      <c r="M317" s="31">
        <f t="shared" si="22"/>
        <v>0</v>
      </c>
      <c r="N317" s="31">
        <f t="shared" si="23"/>
        <v>0</v>
      </c>
      <c r="O317" s="25"/>
      <c r="P317" s="22"/>
      <c r="Q317" s="25"/>
      <c r="R317" s="26"/>
      <c r="S317" s="21"/>
      <c r="T317" s="32"/>
      <c r="U317" s="21"/>
    </row>
    <row r="318" spans="1:21" ht="20.100000000000001" customHeight="1" x14ac:dyDescent="0.3">
      <c r="A318" s="44">
        <v>310</v>
      </c>
      <c r="B318" s="22"/>
      <c r="C318" s="23"/>
      <c r="D318" s="24"/>
      <c r="E318" s="25"/>
      <c r="F318" s="26"/>
      <c r="G318" s="62"/>
      <c r="H318" s="26"/>
      <c r="I318" s="27">
        <f t="shared" si="21"/>
        <v>0</v>
      </c>
      <c r="J318" s="28"/>
      <c r="K318" s="29"/>
      <c r="L318" s="30"/>
      <c r="M318" s="31">
        <f t="shared" si="22"/>
        <v>0</v>
      </c>
      <c r="N318" s="31">
        <f t="shared" si="23"/>
        <v>0</v>
      </c>
      <c r="O318" s="25"/>
      <c r="P318" s="22"/>
      <c r="Q318" s="25"/>
      <c r="R318" s="26"/>
      <c r="S318" s="21"/>
      <c r="T318" s="32"/>
      <c r="U318" s="21"/>
    </row>
    <row r="319" spans="1:21" ht="20.100000000000001" customHeight="1" x14ac:dyDescent="0.3">
      <c r="A319" s="44">
        <v>311</v>
      </c>
      <c r="B319" s="22"/>
      <c r="C319" s="23"/>
      <c r="D319" s="24"/>
      <c r="E319" s="25"/>
      <c r="F319" s="26"/>
      <c r="G319" s="62"/>
      <c r="H319" s="26"/>
      <c r="I319" s="27">
        <f t="shared" si="21"/>
        <v>0</v>
      </c>
      <c r="J319" s="28"/>
      <c r="K319" s="29"/>
      <c r="L319" s="30"/>
      <c r="M319" s="31">
        <f t="shared" si="22"/>
        <v>0</v>
      </c>
      <c r="N319" s="31">
        <f t="shared" si="23"/>
        <v>0</v>
      </c>
      <c r="O319" s="25"/>
      <c r="P319" s="22"/>
      <c r="Q319" s="25"/>
      <c r="R319" s="26"/>
      <c r="S319" s="21"/>
      <c r="T319" s="32"/>
      <c r="U319" s="21"/>
    </row>
    <row r="320" spans="1:21" ht="20.100000000000001" customHeight="1" x14ac:dyDescent="0.3">
      <c r="A320" s="44">
        <v>312</v>
      </c>
      <c r="B320" s="22"/>
      <c r="C320" s="23"/>
      <c r="D320" s="24"/>
      <c r="E320" s="25"/>
      <c r="F320" s="26"/>
      <c r="G320" s="62"/>
      <c r="H320" s="26"/>
      <c r="I320" s="27">
        <f t="shared" si="21"/>
        <v>0</v>
      </c>
      <c r="J320" s="28"/>
      <c r="K320" s="29"/>
      <c r="L320" s="30"/>
      <c r="M320" s="31">
        <f t="shared" si="22"/>
        <v>0</v>
      </c>
      <c r="N320" s="31">
        <f t="shared" si="23"/>
        <v>0</v>
      </c>
      <c r="O320" s="25"/>
      <c r="P320" s="22"/>
      <c r="Q320" s="25"/>
      <c r="R320" s="26"/>
      <c r="S320" s="21"/>
      <c r="T320" s="32"/>
      <c r="U320" s="21"/>
    </row>
    <row r="321" spans="1:21" ht="20.100000000000001" customHeight="1" x14ac:dyDescent="0.3">
      <c r="A321" s="44">
        <v>313</v>
      </c>
      <c r="B321" s="22"/>
      <c r="C321" s="23"/>
      <c r="D321" s="24"/>
      <c r="E321" s="25"/>
      <c r="F321" s="26"/>
      <c r="G321" s="62"/>
      <c r="H321" s="26"/>
      <c r="I321" s="27">
        <f t="shared" si="21"/>
        <v>0</v>
      </c>
      <c r="J321" s="28"/>
      <c r="K321" s="29"/>
      <c r="L321" s="30"/>
      <c r="M321" s="31">
        <f t="shared" si="22"/>
        <v>0</v>
      </c>
      <c r="N321" s="31">
        <f t="shared" si="23"/>
        <v>0</v>
      </c>
      <c r="O321" s="25"/>
      <c r="P321" s="22"/>
      <c r="Q321" s="25"/>
      <c r="R321" s="26"/>
      <c r="S321" s="21"/>
      <c r="T321" s="32"/>
      <c r="U321" s="21"/>
    </row>
    <row r="322" spans="1:21" ht="20.100000000000001" customHeight="1" x14ac:dyDescent="0.3">
      <c r="A322" s="44">
        <v>314</v>
      </c>
      <c r="B322" s="22"/>
      <c r="C322" s="23"/>
      <c r="D322" s="24"/>
      <c r="E322" s="25"/>
      <c r="F322" s="26"/>
      <c r="G322" s="62"/>
      <c r="H322" s="26"/>
      <c r="I322" s="27">
        <f t="shared" si="21"/>
        <v>0</v>
      </c>
      <c r="J322" s="28"/>
      <c r="K322" s="29"/>
      <c r="L322" s="30"/>
      <c r="M322" s="31">
        <f t="shared" si="22"/>
        <v>0</v>
      </c>
      <c r="N322" s="31">
        <f t="shared" si="23"/>
        <v>0</v>
      </c>
      <c r="O322" s="25"/>
      <c r="P322" s="22"/>
      <c r="Q322" s="25"/>
      <c r="R322" s="26"/>
      <c r="S322" s="21"/>
      <c r="T322" s="32"/>
      <c r="U322" s="21"/>
    </row>
    <row r="323" spans="1:21" ht="20.100000000000001" customHeight="1" x14ac:dyDescent="0.3">
      <c r="A323" s="44">
        <v>315</v>
      </c>
      <c r="B323" s="22"/>
      <c r="C323" s="23"/>
      <c r="D323" s="24"/>
      <c r="E323" s="25"/>
      <c r="F323" s="26"/>
      <c r="G323" s="62"/>
      <c r="H323" s="26"/>
      <c r="I323" s="27">
        <f t="shared" si="21"/>
        <v>0</v>
      </c>
      <c r="J323" s="28"/>
      <c r="K323" s="29"/>
      <c r="L323" s="30"/>
      <c r="M323" s="31">
        <f t="shared" si="22"/>
        <v>0</v>
      </c>
      <c r="N323" s="31">
        <f t="shared" si="23"/>
        <v>0</v>
      </c>
      <c r="O323" s="25"/>
      <c r="P323" s="22"/>
      <c r="Q323" s="25"/>
      <c r="R323" s="26"/>
      <c r="S323" s="21"/>
      <c r="T323" s="32"/>
      <c r="U323" s="21"/>
    </row>
    <row r="324" spans="1:21" ht="20.100000000000001" customHeight="1" x14ac:dyDescent="0.3">
      <c r="A324" s="44">
        <v>316</v>
      </c>
      <c r="B324" s="22"/>
      <c r="C324" s="23"/>
      <c r="D324" s="24"/>
      <c r="E324" s="25"/>
      <c r="F324" s="26"/>
      <c r="G324" s="62"/>
      <c r="H324" s="26"/>
      <c r="I324" s="27">
        <f t="shared" si="21"/>
        <v>0</v>
      </c>
      <c r="J324" s="28"/>
      <c r="K324" s="29"/>
      <c r="L324" s="30"/>
      <c r="M324" s="31">
        <f t="shared" si="22"/>
        <v>0</v>
      </c>
      <c r="N324" s="31">
        <f t="shared" si="23"/>
        <v>0</v>
      </c>
      <c r="O324" s="25"/>
      <c r="P324" s="22"/>
      <c r="Q324" s="25"/>
      <c r="R324" s="26"/>
      <c r="S324" s="21"/>
      <c r="T324" s="32"/>
      <c r="U324" s="21"/>
    </row>
    <row r="325" spans="1:21" ht="20.100000000000001" customHeight="1" x14ac:dyDescent="0.3">
      <c r="A325" s="44">
        <v>317</v>
      </c>
      <c r="B325" s="22"/>
      <c r="C325" s="23"/>
      <c r="D325" s="24"/>
      <c r="E325" s="25"/>
      <c r="F325" s="26"/>
      <c r="G325" s="62"/>
      <c r="H325" s="26"/>
      <c r="I325" s="27">
        <f t="shared" si="21"/>
        <v>0</v>
      </c>
      <c r="J325" s="28"/>
      <c r="K325" s="29"/>
      <c r="L325" s="30"/>
      <c r="M325" s="31">
        <f t="shared" si="22"/>
        <v>0</v>
      </c>
      <c r="N325" s="31">
        <f t="shared" si="23"/>
        <v>0</v>
      </c>
      <c r="O325" s="25"/>
      <c r="P325" s="22"/>
      <c r="Q325" s="25"/>
      <c r="R325" s="26"/>
      <c r="S325" s="21"/>
      <c r="T325" s="32"/>
      <c r="U325" s="21"/>
    </row>
    <row r="326" spans="1:21" ht="20.100000000000001" customHeight="1" x14ac:dyDescent="0.3">
      <c r="A326" s="44">
        <v>318</v>
      </c>
      <c r="B326" s="22"/>
      <c r="C326" s="23"/>
      <c r="D326" s="24"/>
      <c r="E326" s="25"/>
      <c r="F326" s="26"/>
      <c r="G326" s="62"/>
      <c r="H326" s="26"/>
      <c r="I326" s="27">
        <f t="shared" si="21"/>
        <v>0</v>
      </c>
      <c r="J326" s="28"/>
      <c r="K326" s="29"/>
      <c r="L326" s="30"/>
      <c r="M326" s="31">
        <f t="shared" si="22"/>
        <v>0</v>
      </c>
      <c r="N326" s="31">
        <f t="shared" si="23"/>
        <v>0</v>
      </c>
      <c r="O326" s="25"/>
      <c r="P326" s="22"/>
      <c r="Q326" s="25"/>
      <c r="R326" s="26"/>
      <c r="S326" s="21"/>
      <c r="T326" s="32"/>
      <c r="U326" s="21"/>
    </row>
    <row r="327" spans="1:21" ht="20.100000000000001" customHeight="1" x14ac:dyDescent="0.3">
      <c r="A327" s="44">
        <v>319</v>
      </c>
      <c r="B327" s="22"/>
      <c r="C327" s="23"/>
      <c r="D327" s="24"/>
      <c r="E327" s="25"/>
      <c r="F327" s="26"/>
      <c r="G327" s="62"/>
      <c r="H327" s="26"/>
      <c r="I327" s="27">
        <f t="shared" si="21"/>
        <v>0</v>
      </c>
      <c r="J327" s="28"/>
      <c r="K327" s="29"/>
      <c r="L327" s="30"/>
      <c r="M327" s="31">
        <f t="shared" si="22"/>
        <v>0</v>
      </c>
      <c r="N327" s="31">
        <f t="shared" si="23"/>
        <v>0</v>
      </c>
      <c r="O327" s="25"/>
      <c r="P327" s="22"/>
      <c r="Q327" s="25"/>
      <c r="R327" s="26"/>
      <c r="S327" s="21"/>
      <c r="T327" s="32"/>
      <c r="U327" s="21"/>
    </row>
    <row r="328" spans="1:21" ht="20.100000000000001" customHeight="1" x14ac:dyDescent="0.3">
      <c r="A328" s="44">
        <v>320</v>
      </c>
      <c r="B328" s="22"/>
      <c r="C328" s="23"/>
      <c r="D328" s="24"/>
      <c r="E328" s="25"/>
      <c r="F328" s="26"/>
      <c r="G328" s="62"/>
      <c r="H328" s="26"/>
      <c r="I328" s="27">
        <f t="shared" si="21"/>
        <v>0</v>
      </c>
      <c r="J328" s="28"/>
      <c r="K328" s="29"/>
      <c r="L328" s="30"/>
      <c r="M328" s="31">
        <f t="shared" si="22"/>
        <v>0</v>
      </c>
      <c r="N328" s="31">
        <f t="shared" si="23"/>
        <v>0</v>
      </c>
      <c r="O328" s="25"/>
      <c r="P328" s="22"/>
      <c r="Q328" s="25"/>
      <c r="R328" s="26"/>
      <c r="S328" s="21"/>
      <c r="T328" s="32"/>
      <c r="U328" s="21"/>
    </row>
    <row r="329" spans="1:21" ht="20.100000000000001" customHeight="1" x14ac:dyDescent="0.3">
      <c r="A329" s="44">
        <v>321</v>
      </c>
      <c r="B329" s="22"/>
      <c r="C329" s="23"/>
      <c r="D329" s="24"/>
      <c r="E329" s="25"/>
      <c r="F329" s="26"/>
      <c r="G329" s="62"/>
      <c r="H329" s="26"/>
      <c r="I329" s="27">
        <f t="shared" si="21"/>
        <v>0</v>
      </c>
      <c r="J329" s="28"/>
      <c r="K329" s="29"/>
      <c r="L329" s="30"/>
      <c r="M329" s="31">
        <f t="shared" si="22"/>
        <v>0</v>
      </c>
      <c r="N329" s="31">
        <f t="shared" si="23"/>
        <v>0</v>
      </c>
      <c r="O329" s="25"/>
      <c r="P329" s="22"/>
      <c r="Q329" s="25"/>
      <c r="R329" s="26"/>
      <c r="S329" s="21"/>
      <c r="T329" s="32"/>
      <c r="U329" s="21"/>
    </row>
    <row r="330" spans="1:21" ht="20.100000000000001" customHeight="1" x14ac:dyDescent="0.3">
      <c r="A330" s="44">
        <v>322</v>
      </c>
      <c r="B330" s="22"/>
      <c r="C330" s="23"/>
      <c r="D330" s="24"/>
      <c r="E330" s="25"/>
      <c r="F330" s="26"/>
      <c r="G330" s="62"/>
      <c r="H330" s="26"/>
      <c r="I330" s="27">
        <f t="shared" si="21"/>
        <v>0</v>
      </c>
      <c r="J330" s="28"/>
      <c r="K330" s="29"/>
      <c r="L330" s="30"/>
      <c r="M330" s="31">
        <f t="shared" si="22"/>
        <v>0</v>
      </c>
      <c r="N330" s="31">
        <f t="shared" si="23"/>
        <v>0</v>
      </c>
      <c r="O330" s="25"/>
      <c r="P330" s="22"/>
      <c r="Q330" s="25"/>
      <c r="R330" s="26"/>
      <c r="S330" s="21"/>
      <c r="T330" s="32"/>
      <c r="U330" s="21"/>
    </row>
    <row r="331" spans="1:21" ht="20.100000000000001" customHeight="1" x14ac:dyDescent="0.3">
      <c r="A331" s="44">
        <v>323</v>
      </c>
      <c r="B331" s="22"/>
      <c r="C331" s="23"/>
      <c r="D331" s="24"/>
      <c r="E331" s="25"/>
      <c r="F331" s="26"/>
      <c r="G331" s="62"/>
      <c r="H331" s="26"/>
      <c r="I331" s="27">
        <f t="shared" ref="I331:I350" si="24">F331*H331</f>
        <v>0</v>
      </c>
      <c r="J331" s="28"/>
      <c r="K331" s="29"/>
      <c r="L331" s="30"/>
      <c r="M331" s="31">
        <f t="shared" ref="M331:M350" si="25">K331*L331</f>
        <v>0</v>
      </c>
      <c r="N331" s="31">
        <f t="shared" ref="N331:N350" si="26">K331+M331</f>
        <v>0</v>
      </c>
      <c r="O331" s="25"/>
      <c r="P331" s="22"/>
      <c r="Q331" s="25"/>
      <c r="R331" s="26"/>
      <c r="S331" s="21"/>
      <c r="T331" s="32"/>
      <c r="U331" s="21"/>
    </row>
    <row r="332" spans="1:21" ht="20.100000000000001" customHeight="1" x14ac:dyDescent="0.3">
      <c r="A332" s="44">
        <v>324</v>
      </c>
      <c r="B332" s="22"/>
      <c r="C332" s="23"/>
      <c r="D332" s="24"/>
      <c r="E332" s="25"/>
      <c r="F332" s="26"/>
      <c r="G332" s="62"/>
      <c r="H332" s="26"/>
      <c r="I332" s="27">
        <f t="shared" si="24"/>
        <v>0</v>
      </c>
      <c r="J332" s="28"/>
      <c r="K332" s="29"/>
      <c r="L332" s="30"/>
      <c r="M332" s="31">
        <f t="shared" si="25"/>
        <v>0</v>
      </c>
      <c r="N332" s="31">
        <f t="shared" si="26"/>
        <v>0</v>
      </c>
      <c r="O332" s="25"/>
      <c r="P332" s="22"/>
      <c r="Q332" s="25"/>
      <c r="R332" s="26"/>
      <c r="S332" s="21"/>
      <c r="T332" s="32"/>
      <c r="U332" s="21"/>
    </row>
    <row r="333" spans="1:21" ht="20.100000000000001" customHeight="1" x14ac:dyDescent="0.3">
      <c r="A333" s="44">
        <v>325</v>
      </c>
      <c r="B333" s="22"/>
      <c r="C333" s="23"/>
      <c r="D333" s="24"/>
      <c r="E333" s="25"/>
      <c r="F333" s="26"/>
      <c r="G333" s="62"/>
      <c r="H333" s="26"/>
      <c r="I333" s="27">
        <f t="shared" si="24"/>
        <v>0</v>
      </c>
      <c r="J333" s="28"/>
      <c r="K333" s="29"/>
      <c r="L333" s="30"/>
      <c r="M333" s="31">
        <f t="shared" si="25"/>
        <v>0</v>
      </c>
      <c r="N333" s="31">
        <f t="shared" si="26"/>
        <v>0</v>
      </c>
      <c r="O333" s="25"/>
      <c r="P333" s="22"/>
      <c r="Q333" s="25"/>
      <c r="R333" s="26"/>
      <c r="S333" s="21"/>
      <c r="T333" s="32"/>
      <c r="U333" s="21"/>
    </row>
    <row r="334" spans="1:21" ht="20.100000000000001" customHeight="1" x14ac:dyDescent="0.3">
      <c r="A334" s="44">
        <v>326</v>
      </c>
      <c r="B334" s="22"/>
      <c r="C334" s="23"/>
      <c r="D334" s="24"/>
      <c r="E334" s="25"/>
      <c r="F334" s="26"/>
      <c r="G334" s="62"/>
      <c r="H334" s="26"/>
      <c r="I334" s="27">
        <f t="shared" si="24"/>
        <v>0</v>
      </c>
      <c r="J334" s="28"/>
      <c r="K334" s="29"/>
      <c r="L334" s="30"/>
      <c r="M334" s="31">
        <f t="shared" si="25"/>
        <v>0</v>
      </c>
      <c r="N334" s="31">
        <f t="shared" si="26"/>
        <v>0</v>
      </c>
      <c r="O334" s="25"/>
      <c r="P334" s="22"/>
      <c r="Q334" s="25"/>
      <c r="R334" s="26"/>
      <c r="S334" s="21"/>
      <c r="T334" s="32"/>
      <c r="U334" s="21"/>
    </row>
    <row r="335" spans="1:21" ht="20.100000000000001" customHeight="1" x14ac:dyDescent="0.3">
      <c r="A335" s="44">
        <v>327</v>
      </c>
      <c r="B335" s="22"/>
      <c r="C335" s="23"/>
      <c r="D335" s="24"/>
      <c r="E335" s="25"/>
      <c r="F335" s="26"/>
      <c r="G335" s="62"/>
      <c r="H335" s="26"/>
      <c r="I335" s="27">
        <f t="shared" si="24"/>
        <v>0</v>
      </c>
      <c r="J335" s="28"/>
      <c r="K335" s="29"/>
      <c r="L335" s="30"/>
      <c r="M335" s="31">
        <f t="shared" si="25"/>
        <v>0</v>
      </c>
      <c r="N335" s="31">
        <f t="shared" si="26"/>
        <v>0</v>
      </c>
      <c r="O335" s="25"/>
      <c r="P335" s="22"/>
      <c r="Q335" s="25"/>
      <c r="R335" s="26"/>
      <c r="S335" s="21"/>
      <c r="T335" s="32"/>
      <c r="U335" s="21"/>
    </row>
    <row r="336" spans="1:21" ht="20.100000000000001" customHeight="1" x14ac:dyDescent="0.3">
      <c r="A336" s="44">
        <v>328</v>
      </c>
      <c r="B336" s="22"/>
      <c r="C336" s="23"/>
      <c r="D336" s="24"/>
      <c r="E336" s="25"/>
      <c r="F336" s="26"/>
      <c r="G336" s="62"/>
      <c r="H336" s="26"/>
      <c r="I336" s="27">
        <f t="shared" si="24"/>
        <v>0</v>
      </c>
      <c r="J336" s="28"/>
      <c r="K336" s="29"/>
      <c r="L336" s="30"/>
      <c r="M336" s="31">
        <f t="shared" si="25"/>
        <v>0</v>
      </c>
      <c r="N336" s="31">
        <f t="shared" si="26"/>
        <v>0</v>
      </c>
      <c r="O336" s="25"/>
      <c r="P336" s="22"/>
      <c r="Q336" s="25"/>
      <c r="R336" s="26"/>
      <c r="S336" s="21"/>
      <c r="T336" s="32"/>
      <c r="U336" s="21"/>
    </row>
    <row r="337" spans="1:21" ht="20.100000000000001" customHeight="1" x14ac:dyDescent="0.3">
      <c r="A337" s="44">
        <v>329</v>
      </c>
      <c r="B337" s="22"/>
      <c r="C337" s="23"/>
      <c r="D337" s="24"/>
      <c r="E337" s="25"/>
      <c r="F337" s="26"/>
      <c r="G337" s="62"/>
      <c r="H337" s="26"/>
      <c r="I337" s="27">
        <f t="shared" si="24"/>
        <v>0</v>
      </c>
      <c r="J337" s="28"/>
      <c r="K337" s="29"/>
      <c r="L337" s="30"/>
      <c r="M337" s="31">
        <f t="shared" si="25"/>
        <v>0</v>
      </c>
      <c r="N337" s="31">
        <f t="shared" si="26"/>
        <v>0</v>
      </c>
      <c r="O337" s="25"/>
      <c r="P337" s="22"/>
      <c r="Q337" s="25"/>
      <c r="R337" s="26"/>
      <c r="S337" s="21"/>
      <c r="T337" s="32"/>
      <c r="U337" s="21"/>
    </row>
    <row r="338" spans="1:21" ht="20.100000000000001" customHeight="1" x14ac:dyDescent="0.3">
      <c r="A338" s="44">
        <v>330</v>
      </c>
      <c r="B338" s="22"/>
      <c r="C338" s="23"/>
      <c r="D338" s="24"/>
      <c r="E338" s="25"/>
      <c r="F338" s="26"/>
      <c r="G338" s="62"/>
      <c r="H338" s="26"/>
      <c r="I338" s="27">
        <f t="shared" si="24"/>
        <v>0</v>
      </c>
      <c r="J338" s="28"/>
      <c r="K338" s="29"/>
      <c r="L338" s="30"/>
      <c r="M338" s="31">
        <f t="shared" si="25"/>
        <v>0</v>
      </c>
      <c r="N338" s="31">
        <f t="shared" si="26"/>
        <v>0</v>
      </c>
      <c r="O338" s="25"/>
      <c r="P338" s="22"/>
      <c r="Q338" s="25"/>
      <c r="R338" s="26"/>
      <c r="S338" s="21"/>
      <c r="T338" s="32"/>
      <c r="U338" s="21"/>
    </row>
    <row r="339" spans="1:21" ht="20.100000000000001" customHeight="1" x14ac:dyDescent="0.3">
      <c r="A339" s="44">
        <v>331</v>
      </c>
      <c r="B339" s="22"/>
      <c r="C339" s="23"/>
      <c r="D339" s="24"/>
      <c r="E339" s="25"/>
      <c r="F339" s="26"/>
      <c r="G339" s="62"/>
      <c r="H339" s="26"/>
      <c r="I339" s="27">
        <f t="shared" si="24"/>
        <v>0</v>
      </c>
      <c r="J339" s="28"/>
      <c r="K339" s="29"/>
      <c r="L339" s="30"/>
      <c r="M339" s="31">
        <f t="shared" si="25"/>
        <v>0</v>
      </c>
      <c r="N339" s="31">
        <f t="shared" si="26"/>
        <v>0</v>
      </c>
      <c r="O339" s="25"/>
      <c r="P339" s="22"/>
      <c r="Q339" s="25"/>
      <c r="R339" s="26"/>
      <c r="S339" s="21"/>
      <c r="T339" s="32"/>
      <c r="U339" s="21"/>
    </row>
    <row r="340" spans="1:21" ht="20.100000000000001" customHeight="1" x14ac:dyDescent="0.3">
      <c r="A340" s="44">
        <v>332</v>
      </c>
      <c r="B340" s="22"/>
      <c r="C340" s="23"/>
      <c r="D340" s="24"/>
      <c r="E340" s="25"/>
      <c r="F340" s="26"/>
      <c r="G340" s="62"/>
      <c r="H340" s="26"/>
      <c r="I340" s="27">
        <f t="shared" si="24"/>
        <v>0</v>
      </c>
      <c r="J340" s="28"/>
      <c r="K340" s="29"/>
      <c r="L340" s="30"/>
      <c r="M340" s="31">
        <f t="shared" si="25"/>
        <v>0</v>
      </c>
      <c r="N340" s="31">
        <f t="shared" si="26"/>
        <v>0</v>
      </c>
      <c r="O340" s="25"/>
      <c r="P340" s="22"/>
      <c r="Q340" s="25"/>
      <c r="R340" s="26"/>
      <c r="S340" s="21"/>
      <c r="T340" s="32"/>
      <c r="U340" s="21"/>
    </row>
    <row r="341" spans="1:21" ht="20.100000000000001" customHeight="1" x14ac:dyDescent="0.3">
      <c r="A341" s="44">
        <v>333</v>
      </c>
      <c r="B341" s="22"/>
      <c r="C341" s="23"/>
      <c r="D341" s="24"/>
      <c r="E341" s="25"/>
      <c r="F341" s="26"/>
      <c r="G341" s="62"/>
      <c r="H341" s="26"/>
      <c r="I341" s="27">
        <f t="shared" si="24"/>
        <v>0</v>
      </c>
      <c r="J341" s="28"/>
      <c r="K341" s="29"/>
      <c r="L341" s="30"/>
      <c r="M341" s="31">
        <f t="shared" si="25"/>
        <v>0</v>
      </c>
      <c r="N341" s="31">
        <f t="shared" si="26"/>
        <v>0</v>
      </c>
      <c r="O341" s="25"/>
      <c r="P341" s="22"/>
      <c r="Q341" s="25"/>
      <c r="R341" s="26"/>
      <c r="S341" s="21"/>
      <c r="T341" s="32"/>
      <c r="U341" s="21"/>
    </row>
    <row r="342" spans="1:21" ht="20.100000000000001" customHeight="1" x14ac:dyDescent="0.3">
      <c r="A342" s="44">
        <v>334</v>
      </c>
      <c r="B342" s="22"/>
      <c r="C342" s="23"/>
      <c r="D342" s="24"/>
      <c r="E342" s="25"/>
      <c r="F342" s="26"/>
      <c r="G342" s="62"/>
      <c r="H342" s="26"/>
      <c r="I342" s="27">
        <f t="shared" si="24"/>
        <v>0</v>
      </c>
      <c r="J342" s="28"/>
      <c r="K342" s="29"/>
      <c r="L342" s="30"/>
      <c r="M342" s="31">
        <f t="shared" si="25"/>
        <v>0</v>
      </c>
      <c r="N342" s="31">
        <f t="shared" si="26"/>
        <v>0</v>
      </c>
      <c r="O342" s="25"/>
      <c r="P342" s="22"/>
      <c r="Q342" s="25"/>
      <c r="R342" s="26"/>
      <c r="S342" s="21"/>
      <c r="T342" s="32"/>
      <c r="U342" s="21"/>
    </row>
    <row r="343" spans="1:21" ht="20.100000000000001" customHeight="1" x14ac:dyDescent="0.3">
      <c r="A343" s="44">
        <v>335</v>
      </c>
      <c r="B343" s="22"/>
      <c r="C343" s="23"/>
      <c r="D343" s="24"/>
      <c r="E343" s="25"/>
      <c r="F343" s="26"/>
      <c r="G343" s="62"/>
      <c r="H343" s="26"/>
      <c r="I343" s="27">
        <f t="shared" si="24"/>
        <v>0</v>
      </c>
      <c r="J343" s="28"/>
      <c r="K343" s="29"/>
      <c r="L343" s="30"/>
      <c r="M343" s="31">
        <f t="shared" si="25"/>
        <v>0</v>
      </c>
      <c r="N343" s="31">
        <f t="shared" si="26"/>
        <v>0</v>
      </c>
      <c r="O343" s="25"/>
      <c r="P343" s="22"/>
      <c r="Q343" s="25"/>
      <c r="R343" s="26"/>
      <c r="S343" s="21"/>
      <c r="T343" s="32"/>
      <c r="U343" s="21"/>
    </row>
    <row r="344" spans="1:21" ht="20.100000000000001" customHeight="1" x14ac:dyDescent="0.3">
      <c r="A344" s="44">
        <v>336</v>
      </c>
      <c r="B344" s="22"/>
      <c r="C344" s="23"/>
      <c r="D344" s="24"/>
      <c r="E344" s="25"/>
      <c r="F344" s="26"/>
      <c r="G344" s="62"/>
      <c r="H344" s="26"/>
      <c r="I344" s="27">
        <f t="shared" si="24"/>
        <v>0</v>
      </c>
      <c r="J344" s="28"/>
      <c r="K344" s="29"/>
      <c r="L344" s="30"/>
      <c r="M344" s="31">
        <f t="shared" si="25"/>
        <v>0</v>
      </c>
      <c r="N344" s="31">
        <f t="shared" si="26"/>
        <v>0</v>
      </c>
      <c r="O344" s="25"/>
      <c r="P344" s="22"/>
      <c r="Q344" s="25"/>
      <c r="R344" s="26"/>
      <c r="S344" s="21"/>
      <c r="T344" s="32"/>
      <c r="U344" s="21"/>
    </row>
    <row r="345" spans="1:21" ht="20.100000000000001" customHeight="1" x14ac:dyDescent="0.3">
      <c r="A345" s="44">
        <v>337</v>
      </c>
      <c r="B345" s="22"/>
      <c r="C345" s="23"/>
      <c r="D345" s="24"/>
      <c r="E345" s="25"/>
      <c r="F345" s="26"/>
      <c r="G345" s="62"/>
      <c r="H345" s="26"/>
      <c r="I345" s="27">
        <f t="shared" si="24"/>
        <v>0</v>
      </c>
      <c r="J345" s="28"/>
      <c r="K345" s="29"/>
      <c r="L345" s="30"/>
      <c r="M345" s="31">
        <f t="shared" si="25"/>
        <v>0</v>
      </c>
      <c r="N345" s="31">
        <f t="shared" si="26"/>
        <v>0</v>
      </c>
      <c r="O345" s="25"/>
      <c r="P345" s="22"/>
      <c r="Q345" s="25"/>
      <c r="R345" s="26"/>
      <c r="S345" s="21"/>
      <c r="T345" s="32"/>
      <c r="U345" s="21"/>
    </row>
    <row r="346" spans="1:21" ht="20.100000000000001" customHeight="1" x14ac:dyDescent="0.3">
      <c r="A346" s="44">
        <v>338</v>
      </c>
      <c r="B346" s="22"/>
      <c r="C346" s="23"/>
      <c r="D346" s="24"/>
      <c r="E346" s="25"/>
      <c r="F346" s="26"/>
      <c r="G346" s="62"/>
      <c r="H346" s="26"/>
      <c r="I346" s="27">
        <f t="shared" si="24"/>
        <v>0</v>
      </c>
      <c r="J346" s="28"/>
      <c r="K346" s="29"/>
      <c r="L346" s="30"/>
      <c r="M346" s="31">
        <f t="shared" si="25"/>
        <v>0</v>
      </c>
      <c r="N346" s="31">
        <f t="shared" si="26"/>
        <v>0</v>
      </c>
      <c r="O346" s="25"/>
      <c r="P346" s="22"/>
      <c r="Q346" s="25"/>
      <c r="R346" s="26"/>
      <c r="S346" s="21"/>
      <c r="T346" s="32"/>
      <c r="U346" s="21"/>
    </row>
    <row r="347" spans="1:21" ht="20.100000000000001" customHeight="1" x14ac:dyDescent="0.3">
      <c r="A347" s="44">
        <v>339</v>
      </c>
      <c r="B347" s="22"/>
      <c r="C347" s="23"/>
      <c r="D347" s="24"/>
      <c r="E347" s="25"/>
      <c r="F347" s="26"/>
      <c r="G347" s="62"/>
      <c r="H347" s="26"/>
      <c r="I347" s="27">
        <f t="shared" si="24"/>
        <v>0</v>
      </c>
      <c r="J347" s="28"/>
      <c r="K347" s="29"/>
      <c r="L347" s="30"/>
      <c r="M347" s="31">
        <f t="shared" si="25"/>
        <v>0</v>
      </c>
      <c r="N347" s="31">
        <f t="shared" si="26"/>
        <v>0</v>
      </c>
      <c r="O347" s="25"/>
      <c r="P347" s="22"/>
      <c r="Q347" s="25"/>
      <c r="R347" s="26"/>
      <c r="S347" s="21"/>
      <c r="T347" s="32"/>
      <c r="U347" s="21"/>
    </row>
    <row r="348" spans="1:21" ht="20.100000000000001" customHeight="1" x14ac:dyDescent="0.3">
      <c r="A348" s="44">
        <v>340</v>
      </c>
      <c r="B348" s="22"/>
      <c r="C348" s="23"/>
      <c r="D348" s="24"/>
      <c r="E348" s="25"/>
      <c r="F348" s="26"/>
      <c r="G348" s="62"/>
      <c r="H348" s="26"/>
      <c r="I348" s="27">
        <f t="shared" si="24"/>
        <v>0</v>
      </c>
      <c r="J348" s="28"/>
      <c r="K348" s="29"/>
      <c r="L348" s="30"/>
      <c r="M348" s="31">
        <f t="shared" si="25"/>
        <v>0</v>
      </c>
      <c r="N348" s="31">
        <f t="shared" si="26"/>
        <v>0</v>
      </c>
      <c r="O348" s="25"/>
      <c r="P348" s="22"/>
      <c r="Q348" s="25"/>
      <c r="R348" s="26"/>
      <c r="S348" s="21"/>
      <c r="T348" s="32"/>
      <c r="U348" s="21"/>
    </row>
    <row r="349" spans="1:21" ht="20.100000000000001" customHeight="1" x14ac:dyDescent="0.3">
      <c r="A349" s="44">
        <v>341</v>
      </c>
      <c r="B349" s="22"/>
      <c r="C349" s="23"/>
      <c r="D349" s="24"/>
      <c r="E349" s="25"/>
      <c r="F349" s="26"/>
      <c r="G349" s="62"/>
      <c r="H349" s="26"/>
      <c r="I349" s="27">
        <f t="shared" si="24"/>
        <v>0</v>
      </c>
      <c r="J349" s="28"/>
      <c r="K349" s="29"/>
      <c r="L349" s="30"/>
      <c r="M349" s="31">
        <f t="shared" si="25"/>
        <v>0</v>
      </c>
      <c r="N349" s="31">
        <f t="shared" si="26"/>
        <v>0</v>
      </c>
      <c r="O349" s="25"/>
      <c r="P349" s="22"/>
      <c r="Q349" s="25"/>
      <c r="R349" s="26"/>
      <c r="S349" s="21"/>
      <c r="T349" s="32"/>
      <c r="U349" s="21"/>
    </row>
    <row r="350" spans="1:21" ht="20.100000000000001" customHeight="1" x14ac:dyDescent="0.3">
      <c r="A350" s="44">
        <v>342</v>
      </c>
      <c r="B350" s="22"/>
      <c r="C350" s="23"/>
      <c r="D350" s="24"/>
      <c r="E350" s="25"/>
      <c r="F350" s="26"/>
      <c r="G350" s="62"/>
      <c r="H350" s="26"/>
      <c r="I350" s="27">
        <f t="shared" si="24"/>
        <v>0</v>
      </c>
      <c r="J350" s="28"/>
      <c r="K350" s="29"/>
      <c r="L350" s="30"/>
      <c r="M350" s="31">
        <f t="shared" si="25"/>
        <v>0</v>
      </c>
      <c r="N350" s="31">
        <f t="shared" si="26"/>
        <v>0</v>
      </c>
      <c r="O350" s="25"/>
      <c r="P350" s="22"/>
      <c r="Q350" s="25"/>
      <c r="R350" s="26"/>
      <c r="S350" s="21"/>
      <c r="T350" s="32"/>
      <c r="U350" s="21"/>
    </row>
  </sheetData>
  <autoFilter ref="D2:D313"/>
  <mergeCells count="4">
    <mergeCell ref="S3:T3"/>
    <mergeCell ref="F5:I5"/>
    <mergeCell ref="K5:N5"/>
    <mergeCell ref="P5:T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50"/>
  <sheetViews>
    <sheetView workbookViewId="0">
      <pane ySplit="7" topLeftCell="A310" activePane="bottomLeft" state="frozen"/>
      <selection pane="bottomLeft" activeCell="H316" sqref="H316"/>
    </sheetView>
  </sheetViews>
  <sheetFormatPr defaultRowHeight="16.5" x14ac:dyDescent="0.3"/>
  <cols>
    <col min="1" max="1" width="4.140625" style="45" customWidth="1"/>
    <col min="2" max="2" width="11.7109375" style="35" customWidth="1"/>
    <col min="3" max="3" width="2.85546875" style="35" customWidth="1"/>
    <col min="4" max="4" width="25.85546875" style="35" customWidth="1"/>
    <col min="5" max="5" width="3.140625" style="35" customWidth="1"/>
    <col min="6" max="6" width="9.140625" style="35" customWidth="1"/>
    <col min="7" max="7" width="17.85546875" style="35" customWidth="1"/>
    <col min="8" max="8" width="6.42578125" style="35" customWidth="1"/>
    <col min="9" max="9" width="8.7109375" style="35" customWidth="1"/>
    <col min="10" max="10" width="3.42578125" style="35" customWidth="1"/>
    <col min="11" max="11" width="8.5703125" style="35" customWidth="1"/>
    <col min="12" max="12" width="7.7109375" style="35" customWidth="1"/>
    <col min="13" max="13" width="7.5703125" style="35" customWidth="1"/>
    <col min="14" max="14" width="9.85546875" style="101" bestFit="1" customWidth="1"/>
    <col min="15" max="15" width="3.5703125" style="35" customWidth="1"/>
    <col min="16" max="16" width="10.7109375" style="55" customWidth="1"/>
    <col min="17" max="17" width="5.85546875" style="55" customWidth="1"/>
    <col min="18" max="18" width="6.28515625" style="55" customWidth="1"/>
    <col min="19" max="20" width="9.7109375" style="55" customWidth="1"/>
    <col min="21" max="21" width="8.85546875" style="35" customWidth="1"/>
    <col min="22" max="22" width="3.140625" style="35" customWidth="1"/>
    <col min="23" max="16384" width="9.140625" style="35"/>
  </cols>
  <sheetData>
    <row r="1" spans="1:22" ht="17.25" thickBot="1" x14ac:dyDescent="0.35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96"/>
      <c r="O1" s="58"/>
      <c r="P1" s="59"/>
      <c r="Q1" s="59"/>
      <c r="R1" s="59"/>
      <c r="S1" s="59"/>
      <c r="T1" s="59"/>
      <c r="U1" s="58"/>
      <c r="V1" s="58"/>
    </row>
    <row r="2" spans="1:22" x14ac:dyDescent="0.3">
      <c r="A2" s="43"/>
      <c r="B2" s="2"/>
      <c r="C2" s="1"/>
      <c r="D2" s="1"/>
      <c r="E2" s="1"/>
      <c r="F2" s="1"/>
      <c r="G2" s="1"/>
      <c r="H2" s="1"/>
      <c r="I2" s="1"/>
      <c r="J2" s="1"/>
      <c r="K2" s="3"/>
      <c r="L2" s="4"/>
      <c r="M2" s="5"/>
      <c r="N2" s="97"/>
      <c r="O2" s="1"/>
      <c r="P2" s="48"/>
      <c r="Q2" s="49"/>
      <c r="R2" s="49"/>
      <c r="S2" s="49"/>
      <c r="T2" s="49"/>
      <c r="U2" s="1"/>
      <c r="V2" s="51"/>
    </row>
    <row r="3" spans="1:22" ht="20.100000000000001" customHeight="1" thickBot="1" x14ac:dyDescent="0.35">
      <c r="A3" s="43"/>
      <c r="B3" s="42" t="s">
        <v>15</v>
      </c>
      <c r="C3" s="1"/>
      <c r="D3" s="1"/>
      <c r="E3" s="36" t="s">
        <v>34</v>
      </c>
      <c r="F3" s="36"/>
      <c r="G3" s="36"/>
      <c r="H3" s="36"/>
      <c r="I3" s="36"/>
      <c r="J3" s="36"/>
      <c r="K3" s="36"/>
      <c r="L3" s="36"/>
      <c r="M3" s="36"/>
      <c r="N3" s="98"/>
      <c r="O3" s="36"/>
      <c r="P3" s="37"/>
      <c r="Q3" s="56"/>
      <c r="R3" s="56"/>
      <c r="S3" s="181" t="s">
        <v>666</v>
      </c>
      <c r="T3" s="193"/>
      <c r="U3" s="182"/>
      <c r="V3" s="51"/>
    </row>
    <row r="4" spans="1:22" ht="17.25" thickTop="1" x14ac:dyDescent="0.3">
      <c r="A4" s="43"/>
      <c r="B4" s="2"/>
      <c r="C4" s="1"/>
      <c r="D4" s="1"/>
      <c r="E4" s="1"/>
      <c r="F4" s="1"/>
      <c r="G4" s="1"/>
      <c r="H4" s="6"/>
      <c r="I4" s="6"/>
      <c r="J4" s="1"/>
      <c r="K4" s="3"/>
      <c r="L4" s="4"/>
      <c r="M4" s="5"/>
      <c r="N4" s="97"/>
      <c r="O4" s="1"/>
      <c r="P4" s="48"/>
      <c r="Q4" s="49"/>
      <c r="R4" s="49"/>
      <c r="S4" s="49"/>
      <c r="T4" s="49"/>
      <c r="U4" s="1"/>
      <c r="V4" s="51"/>
    </row>
    <row r="5" spans="1:22" ht="30" customHeight="1" x14ac:dyDescent="0.3">
      <c r="A5" s="43"/>
      <c r="B5" s="8" t="s">
        <v>0</v>
      </c>
      <c r="C5" s="7"/>
      <c r="D5" s="47" t="s">
        <v>79</v>
      </c>
      <c r="E5" s="7"/>
      <c r="F5" s="178" t="s">
        <v>80</v>
      </c>
      <c r="G5" s="178"/>
      <c r="H5" s="178"/>
      <c r="I5" s="178"/>
      <c r="J5" s="9"/>
      <c r="K5" s="179" t="s">
        <v>81</v>
      </c>
      <c r="L5" s="179"/>
      <c r="M5" s="179"/>
      <c r="N5" s="179"/>
      <c r="O5" s="7"/>
      <c r="P5" s="180" t="s">
        <v>82</v>
      </c>
      <c r="Q5" s="180"/>
      <c r="R5" s="180"/>
      <c r="S5" s="180"/>
      <c r="T5" s="180"/>
      <c r="U5" s="180"/>
      <c r="V5" s="7"/>
    </row>
    <row r="6" spans="1:22" x14ac:dyDescent="0.3">
      <c r="A6" s="43"/>
      <c r="B6" s="2"/>
      <c r="C6" s="1"/>
      <c r="D6" s="1"/>
      <c r="E6" s="1"/>
      <c r="F6" s="10"/>
      <c r="G6" s="10"/>
      <c r="H6" s="1"/>
      <c r="I6" s="1"/>
      <c r="J6" s="1"/>
      <c r="K6" s="3"/>
      <c r="L6" s="4"/>
      <c r="M6" s="5"/>
      <c r="N6" s="97"/>
      <c r="O6" s="1"/>
      <c r="P6" s="48"/>
      <c r="Q6" s="49"/>
      <c r="R6" s="49"/>
      <c r="S6" s="49"/>
      <c r="T6" s="49"/>
      <c r="U6" s="1"/>
      <c r="V6" s="1"/>
    </row>
    <row r="7" spans="1:22" ht="30" customHeight="1" x14ac:dyDescent="0.3">
      <c r="A7" s="44"/>
      <c r="B7" s="12" t="s">
        <v>83</v>
      </c>
      <c r="C7" s="13"/>
      <c r="D7" s="14" t="s">
        <v>12</v>
      </c>
      <c r="E7" s="11"/>
      <c r="F7" s="188" t="s">
        <v>84</v>
      </c>
      <c r="G7" s="189"/>
      <c r="H7" s="15" t="s">
        <v>4</v>
      </c>
      <c r="I7" s="15" t="s">
        <v>6</v>
      </c>
      <c r="J7" s="16"/>
      <c r="K7" s="190" t="s">
        <v>85</v>
      </c>
      <c r="L7" s="191"/>
      <c r="M7" s="192"/>
      <c r="N7" s="99" t="s">
        <v>86</v>
      </c>
      <c r="O7" s="11"/>
      <c r="P7" s="12" t="s">
        <v>87</v>
      </c>
      <c r="Q7" s="15" t="s">
        <v>88</v>
      </c>
      <c r="R7" s="15" t="s">
        <v>89</v>
      </c>
      <c r="S7" s="15" t="s">
        <v>90</v>
      </c>
      <c r="T7" s="15" t="s">
        <v>91</v>
      </c>
      <c r="U7" s="15" t="s">
        <v>92</v>
      </c>
      <c r="V7" s="11"/>
    </row>
    <row r="8" spans="1:22" x14ac:dyDescent="0.3">
      <c r="A8" s="43"/>
      <c r="B8" s="2"/>
      <c r="C8" s="1"/>
      <c r="D8" s="1"/>
      <c r="E8" s="1"/>
      <c r="F8" s="1"/>
      <c r="G8" s="1"/>
      <c r="H8" s="1"/>
      <c r="I8" s="1"/>
      <c r="J8" s="20"/>
      <c r="K8" s="3"/>
      <c r="L8" s="4"/>
      <c r="M8" s="5"/>
      <c r="N8" s="97"/>
      <c r="O8" s="1"/>
      <c r="P8" s="48" t="s">
        <v>93</v>
      </c>
      <c r="Q8" s="49"/>
      <c r="R8" s="49"/>
      <c r="S8" s="48"/>
      <c r="T8" s="48" t="s">
        <v>93</v>
      </c>
      <c r="U8" s="1"/>
      <c r="V8" s="51"/>
    </row>
    <row r="9" spans="1:22" ht="20.100000000000001" customHeight="1" x14ac:dyDescent="0.3">
      <c r="A9" s="44">
        <v>1</v>
      </c>
      <c r="B9" s="22">
        <f>+'Order Details Apr23-Mar24'!P9</f>
        <v>45022</v>
      </c>
      <c r="C9" s="23"/>
      <c r="D9" s="53" t="str">
        <f>+'Order Details Apr23-Mar24'!T9</f>
        <v>APC Nutrients Limited</v>
      </c>
      <c r="E9" s="25"/>
      <c r="F9" s="183" t="str">
        <f>+'Order Details Apr23-Mar24'!D9</f>
        <v>VOLAMEL (Nukamel)</v>
      </c>
      <c r="G9" s="184"/>
      <c r="H9" s="26" t="str">
        <f>+'Order Details Apr23-Mar24'!G9</f>
        <v>Kg</v>
      </c>
      <c r="I9" s="27">
        <f>+'Order Details Apr23-Mar24'!I9</f>
        <v>500</v>
      </c>
      <c r="J9" s="28"/>
      <c r="K9" s="185" t="str">
        <f>+'Order Details Apr23-Mar24'!R9</f>
        <v>PO / NBF / 060423 / 01</v>
      </c>
      <c r="L9" s="186"/>
      <c r="M9" s="187"/>
      <c r="N9" s="100">
        <f>+'Order Details Apr23-Mar24'!F9*'Order Details Apr23-Mar24'!N9</f>
        <v>285000</v>
      </c>
      <c r="O9" s="25"/>
      <c r="P9" s="22"/>
      <c r="Q9" s="26">
        <v>7</v>
      </c>
      <c r="R9" s="82"/>
      <c r="S9" s="22">
        <f>P9+R9</f>
        <v>0</v>
      </c>
      <c r="T9" s="22"/>
      <c r="U9" s="31"/>
      <c r="V9" s="51"/>
    </row>
    <row r="10" spans="1:22" ht="20.100000000000001" customHeight="1" x14ac:dyDescent="0.3">
      <c r="A10" s="44">
        <v>2</v>
      </c>
      <c r="B10" s="22">
        <f>+'Order Details Apr23-Mar24'!P10</f>
        <v>45022</v>
      </c>
      <c r="C10" s="23"/>
      <c r="D10" s="53" t="str">
        <f>+'Order Details Apr23-Mar24'!T10</f>
        <v>Das Drug Centre, Habra</v>
      </c>
      <c r="E10" s="25"/>
      <c r="F10" s="183" t="str">
        <f>+'Order Details Apr23-Mar24'!D10</f>
        <v>MG BAC KILLED VAC (Zoetis)</v>
      </c>
      <c r="G10" s="184"/>
      <c r="H10" s="26" t="str">
        <f>+'Order Details Apr23-Mar24'!G10</f>
        <v>Dose</v>
      </c>
      <c r="I10" s="27">
        <f>+'Order Details Apr23-Mar24'!I10</f>
        <v>22000</v>
      </c>
      <c r="J10" s="28"/>
      <c r="K10" s="185" t="str">
        <f>+'Order Details Apr23-Mar24'!R10</f>
        <v>PO / NBF / 060423 / 02</v>
      </c>
      <c r="L10" s="186"/>
      <c r="M10" s="187"/>
      <c r="N10" s="100">
        <f>+'Order Details Apr23-Mar24'!F10*'Order Details Apr23-Mar24'!N10</f>
        <v>153615</v>
      </c>
      <c r="O10" s="25"/>
      <c r="P10" s="22"/>
      <c r="Q10" s="26">
        <v>45</v>
      </c>
      <c r="R10" s="83"/>
      <c r="S10" s="22">
        <f t="shared" ref="S10:S73" si="0">P10+R10</f>
        <v>0</v>
      </c>
      <c r="T10" s="22"/>
      <c r="U10" s="31"/>
      <c r="V10" s="51"/>
    </row>
    <row r="11" spans="1:22" ht="20.100000000000001" customHeight="1" x14ac:dyDescent="0.3">
      <c r="A11" s="44">
        <v>3</v>
      </c>
      <c r="B11" s="22">
        <f>+'Order Details Apr23-Mar24'!P11</f>
        <v>45022</v>
      </c>
      <c r="C11" s="23"/>
      <c r="D11" s="53" t="str">
        <f>+'Order Details Apr23-Mar24'!T11</f>
        <v>PP &amp; B Mart Pvt Ltd, Habra</v>
      </c>
      <c r="E11" s="25"/>
      <c r="F11" s="183" t="str">
        <f>+'Order Details Apr23-Mar24'!D11</f>
        <v>MASTERSORB (EW Nutrition)</v>
      </c>
      <c r="G11" s="184"/>
      <c r="H11" s="26" t="str">
        <f>+'Order Details Apr23-Mar24'!G11</f>
        <v>Kg</v>
      </c>
      <c r="I11" s="27">
        <f>+'Order Details Apr23-Mar24'!I11</f>
        <v>500</v>
      </c>
      <c r="J11" s="28"/>
      <c r="K11" s="185" t="str">
        <f>+'Order Details Apr23-Mar24'!R11</f>
        <v>PO / NBF / 060423 / 03</v>
      </c>
      <c r="L11" s="186"/>
      <c r="M11" s="187"/>
      <c r="N11" s="100">
        <f>+'Order Details Apr23-Mar24'!F11*'Order Details Apr23-Mar24'!N11</f>
        <v>64000</v>
      </c>
      <c r="O11" s="25"/>
      <c r="P11" s="22"/>
      <c r="Q11" s="26">
        <v>45</v>
      </c>
      <c r="R11" s="82"/>
      <c r="S11" s="22">
        <f t="shared" si="0"/>
        <v>0</v>
      </c>
      <c r="T11" s="22"/>
      <c r="U11" s="31"/>
      <c r="V11" s="51"/>
    </row>
    <row r="12" spans="1:22" ht="20.100000000000001" customHeight="1" x14ac:dyDescent="0.3">
      <c r="A12" s="44">
        <v>4</v>
      </c>
      <c r="B12" s="22">
        <f>+'Order Details Apr23-Mar24'!P12</f>
        <v>45022</v>
      </c>
      <c r="C12" s="23"/>
      <c r="D12" s="53" t="str">
        <f>+'Order Details Apr23-Mar24'!T12</f>
        <v>Venkateshwara Hatcheries Ltd</v>
      </c>
      <c r="E12" s="25"/>
      <c r="F12" s="183" t="str">
        <f>+'Order Details Apr23-Mar24'!D12</f>
        <v xml:space="preserve">ND KILLED (Visa-15) VAC </v>
      </c>
      <c r="G12" s="184"/>
      <c r="H12" s="26" t="str">
        <f>+'Order Details Apr23-Mar24'!G12</f>
        <v>Dose</v>
      </c>
      <c r="I12" s="27">
        <f>+'Order Details Apr23-Mar24'!I12</f>
        <v>44000</v>
      </c>
      <c r="J12" s="28"/>
      <c r="K12" s="185" t="str">
        <f>+'Order Details Apr23-Mar24'!R12</f>
        <v>PO / NBF / 060423 / 04</v>
      </c>
      <c r="L12" s="186"/>
      <c r="M12" s="187"/>
      <c r="N12" s="100">
        <f>+'Order Details Apr23-Mar24'!F12*'Order Details Apr23-Mar24'!N12</f>
        <v>47355</v>
      </c>
      <c r="O12" s="25"/>
      <c r="P12" s="22"/>
      <c r="Q12" s="61">
        <v>45</v>
      </c>
      <c r="R12" s="83"/>
      <c r="S12" s="22">
        <f t="shared" si="0"/>
        <v>0</v>
      </c>
      <c r="T12" s="22"/>
      <c r="U12" s="31"/>
      <c r="V12" s="51"/>
    </row>
    <row r="13" spans="1:22" ht="20.100000000000001" customHeight="1" x14ac:dyDescent="0.3">
      <c r="A13" s="44">
        <v>5</v>
      </c>
      <c r="B13" s="22">
        <f>+'Order Details Apr23-Mar24'!P13</f>
        <v>45024</v>
      </c>
      <c r="C13" s="23"/>
      <c r="D13" s="53" t="str">
        <f>+'Order Details Apr23-Mar24'!T13</f>
        <v>Alivira Animal Health Ltd</v>
      </c>
      <c r="E13" s="25"/>
      <c r="F13" s="183" t="str">
        <f>+'Order Details Apr23-Mar24'!D13</f>
        <v>TRITYL - 62.5 (Alivira)</v>
      </c>
      <c r="G13" s="184"/>
      <c r="H13" s="26" t="str">
        <f>+'Order Details Apr23-Mar24'!G13</f>
        <v>Gms</v>
      </c>
      <c r="I13" s="27">
        <f>+'Order Details Apr23-Mar24'!I13</f>
        <v>12800</v>
      </c>
      <c r="J13" s="28"/>
      <c r="K13" s="185" t="str">
        <f>+'Order Details Apr23-Mar24'!R13</f>
        <v>PO / NBF / 080423 / 05</v>
      </c>
      <c r="L13" s="186"/>
      <c r="M13" s="187"/>
      <c r="N13" s="100">
        <f>+'Order Details Apr23-Mar24'!F13*'Order Details Apr23-Mar24'!N13</f>
        <v>306432</v>
      </c>
      <c r="O13" s="25"/>
      <c r="P13" s="22"/>
      <c r="Q13" s="26">
        <v>45</v>
      </c>
      <c r="R13" s="82"/>
      <c r="S13" s="22">
        <f t="shared" si="0"/>
        <v>0</v>
      </c>
      <c r="T13" s="22"/>
      <c r="U13" s="31"/>
      <c r="V13" s="51"/>
    </row>
    <row r="14" spans="1:22" ht="20.100000000000001" customHeight="1" x14ac:dyDescent="0.3">
      <c r="A14" s="44">
        <v>6</v>
      </c>
      <c r="B14" s="22">
        <f>+'Order Details Apr23-Mar24'!P14</f>
        <v>45024</v>
      </c>
      <c r="C14" s="23"/>
      <c r="D14" s="53" t="str">
        <f>+'Order Details Apr23-Mar24'!T14</f>
        <v>B V Biocrop, Hitech Division</v>
      </c>
      <c r="E14" s="25"/>
      <c r="F14" s="183" t="str">
        <f>+'Order Details Apr23-Mar24'!D14</f>
        <v>BIO BUSTER PLUS (B V Biocrop)</v>
      </c>
      <c r="G14" s="184"/>
      <c r="H14" s="26" t="str">
        <f>+'Order Details Apr23-Mar24'!G14</f>
        <v>Gms</v>
      </c>
      <c r="I14" s="27">
        <f>+'Order Details Apr23-Mar24'!I14</f>
        <v>30000</v>
      </c>
      <c r="J14" s="28"/>
      <c r="K14" s="185" t="str">
        <f>+'Order Details Apr23-Mar24'!R14</f>
        <v>PO / NBF / 080423 / 06</v>
      </c>
      <c r="L14" s="186"/>
      <c r="M14" s="187"/>
      <c r="N14" s="100">
        <f>+'Order Details Apr23-Mar24'!F14*'Order Details Apr23-Mar24'!N14</f>
        <v>28674</v>
      </c>
      <c r="O14" s="25"/>
      <c r="P14" s="22"/>
      <c r="Q14" s="61">
        <v>45</v>
      </c>
      <c r="R14" s="83"/>
      <c r="S14" s="22">
        <f t="shared" si="0"/>
        <v>0</v>
      </c>
      <c r="T14" s="22"/>
      <c r="U14" s="31"/>
      <c r="V14" s="51"/>
    </row>
    <row r="15" spans="1:22" ht="20.100000000000001" customHeight="1" x14ac:dyDescent="0.3">
      <c r="A15" s="44">
        <v>7</v>
      </c>
      <c r="B15" s="22">
        <f>+'Order Details Apr23-Mar24'!P15</f>
        <v>45024</v>
      </c>
      <c r="C15" s="23"/>
      <c r="D15" s="53" t="str">
        <f>+'Order Details Apr23-Mar24'!T15</f>
        <v>Das Drug Centre, Habra</v>
      </c>
      <c r="E15" s="25"/>
      <c r="F15" s="183" t="str">
        <f>+'Order Details Apr23-Mar24'!D15</f>
        <v>BAYROCIN (Elanco)</v>
      </c>
      <c r="G15" s="184"/>
      <c r="H15" s="26" t="str">
        <f>+'Order Details Apr23-Mar24'!G15</f>
        <v>Ltr</v>
      </c>
      <c r="I15" s="27">
        <f>+'Order Details Apr23-Mar24'!I15</f>
        <v>100</v>
      </c>
      <c r="J15" s="28"/>
      <c r="K15" s="185" t="str">
        <f>+'Order Details Apr23-Mar24'!R15</f>
        <v>PO / NBF / 080423 / 07</v>
      </c>
      <c r="L15" s="186"/>
      <c r="M15" s="187"/>
      <c r="N15" s="100">
        <f>+'Order Details Apr23-Mar24'!F15*'Order Details Apr23-Mar24'!N15</f>
        <v>65254</v>
      </c>
      <c r="O15" s="25"/>
      <c r="P15" s="22"/>
      <c r="Q15" s="26">
        <v>45</v>
      </c>
      <c r="R15" s="82"/>
      <c r="S15" s="22">
        <f t="shared" si="0"/>
        <v>0</v>
      </c>
      <c r="T15" s="22"/>
      <c r="U15" s="31"/>
      <c r="V15" s="51"/>
    </row>
    <row r="16" spans="1:22" s="39" customFormat="1" ht="20.100000000000001" customHeight="1" x14ac:dyDescent="0.2">
      <c r="A16" s="44">
        <v>8</v>
      </c>
      <c r="B16" s="22">
        <f>+'Order Details Apr23-Mar24'!P16</f>
        <v>45024</v>
      </c>
      <c r="C16" s="23"/>
      <c r="D16" s="53" t="str">
        <f>+'Order Details Apr23-Mar24'!T16</f>
        <v>Das Drug Centre, Habra</v>
      </c>
      <c r="E16" s="25"/>
      <c r="F16" s="183" t="str">
        <f>+'Order Details Apr23-Mar24'!D16</f>
        <v>EKTOMIN (Elanco)</v>
      </c>
      <c r="G16" s="184"/>
      <c r="H16" s="26" t="str">
        <f>+'Order Details Apr23-Mar24'!G16</f>
        <v>Ltr</v>
      </c>
      <c r="I16" s="27">
        <f>+'Order Details Apr23-Mar24'!I16</f>
        <v>50</v>
      </c>
      <c r="J16" s="28"/>
      <c r="K16" s="185" t="str">
        <f>+'Order Details Apr23-Mar24'!R16</f>
        <v>PO / NBF / 080423 / 07</v>
      </c>
      <c r="L16" s="186"/>
      <c r="M16" s="187"/>
      <c r="N16" s="100">
        <f>+'Order Details Apr23-Mar24'!F16*'Order Details Apr23-Mar24'!N16</f>
        <v>33600</v>
      </c>
      <c r="O16" s="25"/>
      <c r="P16" s="22"/>
      <c r="Q16" s="26">
        <v>45</v>
      </c>
      <c r="R16" s="82"/>
      <c r="S16" s="22">
        <f t="shared" si="0"/>
        <v>0</v>
      </c>
      <c r="T16" s="22"/>
      <c r="U16" s="31"/>
      <c r="V16" s="52"/>
    </row>
    <row r="17" spans="1:22" s="39" customFormat="1" ht="20.100000000000001" customHeight="1" x14ac:dyDescent="0.2">
      <c r="A17" s="44">
        <v>9</v>
      </c>
      <c r="B17" s="22">
        <f>+'Order Details Apr23-Mar24'!P17</f>
        <v>45024</v>
      </c>
      <c r="C17" s="23"/>
      <c r="D17" s="53" t="str">
        <f>+'Order Details Apr23-Mar24'!T17</f>
        <v>Das Drug Centre, Habra</v>
      </c>
      <c r="E17" s="25"/>
      <c r="F17" s="183" t="str">
        <f>+'Order Details Apr23-Mar24'!D17</f>
        <v>FAMITONE (Zenex AH)</v>
      </c>
      <c r="G17" s="184"/>
      <c r="H17" s="26" t="str">
        <f>+'Order Details Apr23-Mar24'!G17</f>
        <v>Ltr</v>
      </c>
      <c r="I17" s="27">
        <f>+'Order Details Apr23-Mar24'!I17</f>
        <v>60</v>
      </c>
      <c r="J17" s="28"/>
      <c r="K17" s="185" t="str">
        <f>+'Order Details Apr23-Mar24'!R17</f>
        <v>PO / NBF / 080423 / 07</v>
      </c>
      <c r="L17" s="186"/>
      <c r="M17" s="187"/>
      <c r="N17" s="100">
        <f>+'Order Details Apr23-Mar24'!F17*'Order Details Apr23-Mar24'!N17</f>
        <v>34800</v>
      </c>
      <c r="O17" s="25"/>
      <c r="P17" s="22"/>
      <c r="Q17" s="26">
        <v>45</v>
      </c>
      <c r="R17" s="83"/>
      <c r="S17" s="22">
        <f t="shared" si="0"/>
        <v>0</v>
      </c>
      <c r="T17" s="22"/>
      <c r="U17" s="31"/>
      <c r="V17" s="52"/>
    </row>
    <row r="18" spans="1:22" s="39" customFormat="1" ht="20.100000000000001" customHeight="1" x14ac:dyDescent="0.2">
      <c r="A18" s="44">
        <v>10</v>
      </c>
      <c r="B18" s="22">
        <f>+'Order Details Apr23-Mar24'!P18</f>
        <v>45030</v>
      </c>
      <c r="C18" s="23"/>
      <c r="D18" s="53" t="str">
        <f>+'Order Details Apr23-Mar24'!T18</f>
        <v>Hester Biosciences Limited</v>
      </c>
      <c r="E18" s="25"/>
      <c r="F18" s="183" t="str">
        <f>+'Order Details Apr23-Mar24'!D18</f>
        <v>INACTIVATED ND (LPAI)</v>
      </c>
      <c r="G18" s="184"/>
      <c r="H18" s="26" t="str">
        <f>+'Order Details Apr23-Mar24'!G18</f>
        <v>Dose</v>
      </c>
      <c r="I18" s="27">
        <f>+'Order Details Apr23-Mar24'!I18</f>
        <v>70000</v>
      </c>
      <c r="J18" s="28"/>
      <c r="K18" s="185" t="str">
        <f>+'Order Details Apr23-Mar24'!R18</f>
        <v>PO / NBF / 140423 / 08</v>
      </c>
      <c r="L18" s="186"/>
      <c r="M18" s="187"/>
      <c r="N18" s="100">
        <f>+'Order Details Apr23-Mar24'!F18*'Order Details Apr23-Mar24'!N18</f>
        <v>66332.28</v>
      </c>
      <c r="O18" s="25"/>
      <c r="P18" s="22"/>
      <c r="Q18" s="87">
        <v>45</v>
      </c>
      <c r="R18" s="82"/>
      <c r="S18" s="22">
        <f t="shared" si="0"/>
        <v>0</v>
      </c>
      <c r="T18" s="22"/>
      <c r="U18" s="31"/>
      <c r="V18" s="52"/>
    </row>
    <row r="19" spans="1:22" s="39" customFormat="1" ht="20.100000000000001" customHeight="1" x14ac:dyDescent="0.2">
      <c r="A19" s="44">
        <v>11</v>
      </c>
      <c r="B19" s="22">
        <f>+'Order Details Apr23-Mar24'!P19</f>
        <v>45033</v>
      </c>
      <c r="C19" s="23"/>
      <c r="D19" s="53" t="str">
        <f>+'Order Details Apr23-Mar24'!T19</f>
        <v>Healers Associates, Vijayawada</v>
      </c>
      <c r="E19" s="25"/>
      <c r="F19" s="183" t="str">
        <f>+'Order Details Apr23-Mar24'!D19</f>
        <v>SPERMED (Medichem Product)</v>
      </c>
      <c r="G19" s="184"/>
      <c r="H19" s="26" t="str">
        <f>+'Order Details Apr23-Mar24'!G19</f>
        <v>Kg</v>
      </c>
      <c r="I19" s="27">
        <f>+'Order Details Apr23-Mar24'!I19</f>
        <v>30</v>
      </c>
      <c r="J19" s="28"/>
      <c r="K19" s="185" t="str">
        <f>+'Order Details Apr23-Mar24'!R19</f>
        <v>PO / NBF / 170423 / 09</v>
      </c>
      <c r="L19" s="186"/>
      <c r="M19" s="187"/>
      <c r="N19" s="100">
        <f>+'Order Details Apr23-Mar24'!F19*'Order Details Apr23-Mar24'!N19</f>
        <v>105000</v>
      </c>
      <c r="O19" s="25"/>
      <c r="P19" s="22"/>
      <c r="Q19" s="26">
        <v>45</v>
      </c>
      <c r="R19" s="82"/>
      <c r="S19" s="22">
        <f t="shared" si="0"/>
        <v>0</v>
      </c>
      <c r="T19" s="22"/>
      <c r="U19" s="31"/>
      <c r="V19" s="52"/>
    </row>
    <row r="20" spans="1:22" ht="20.100000000000001" customHeight="1" x14ac:dyDescent="0.3">
      <c r="A20" s="44">
        <v>12</v>
      </c>
      <c r="B20" s="22">
        <f>+'Order Details Apr23-Mar24'!P20</f>
        <v>45033</v>
      </c>
      <c r="C20" s="23"/>
      <c r="D20" s="53" t="str">
        <f>+'Order Details Apr23-Mar24'!T20</f>
        <v>Huve Pharma Sea Pune Pvt Ltd</v>
      </c>
      <c r="E20" s="25"/>
      <c r="F20" s="183" t="str">
        <f>+'Order Details Apr23-Mar24'!D20</f>
        <v>BIO D - 100 (Huvepharma)</v>
      </c>
      <c r="G20" s="184"/>
      <c r="H20" s="26" t="str">
        <f>+'Order Details Apr23-Mar24'!G20</f>
        <v>Kg</v>
      </c>
      <c r="I20" s="27">
        <f>+'Order Details Apr23-Mar24'!I20</f>
        <v>400</v>
      </c>
      <c r="J20" s="28"/>
      <c r="K20" s="185" t="str">
        <f>+'Order Details Apr23-Mar24'!R20</f>
        <v>PO / NBF / 170423 / 10</v>
      </c>
      <c r="L20" s="186"/>
      <c r="M20" s="187"/>
      <c r="N20" s="100">
        <f>+'Order Details Apr23-Mar24'!F20*'Order Details Apr23-Mar24'!N20</f>
        <v>640000</v>
      </c>
      <c r="O20" s="25"/>
      <c r="P20" s="22"/>
      <c r="Q20" s="26">
        <v>45</v>
      </c>
      <c r="R20" s="82"/>
      <c r="S20" s="22">
        <f t="shared" si="0"/>
        <v>0</v>
      </c>
      <c r="T20" s="22"/>
      <c r="U20" s="31"/>
      <c r="V20" s="51"/>
    </row>
    <row r="21" spans="1:22" ht="20.100000000000001" customHeight="1" x14ac:dyDescent="0.3">
      <c r="A21" s="44">
        <v>13</v>
      </c>
      <c r="B21" s="22">
        <f>+'Order Details Apr23-Mar24'!P21</f>
        <v>45033</v>
      </c>
      <c r="C21" s="23"/>
      <c r="D21" s="53" t="str">
        <f>+'Order Details Apr23-Mar24'!T21</f>
        <v>Izda Healthcare, Ambala Cantonment</v>
      </c>
      <c r="E21" s="25"/>
      <c r="F21" s="183" t="str">
        <f>+'Order Details Apr23-Mar24'!D21</f>
        <v>OVASTIM (Izda Healthcare)</v>
      </c>
      <c r="G21" s="184"/>
      <c r="H21" s="26" t="str">
        <f>+'Order Details Apr23-Mar24'!G21</f>
        <v>Kg</v>
      </c>
      <c r="I21" s="27">
        <f>+'Order Details Apr23-Mar24'!I21</f>
        <v>500</v>
      </c>
      <c r="J21" s="28"/>
      <c r="K21" s="185" t="str">
        <f>+'Order Details Apr23-Mar24'!R21</f>
        <v>PO / NBF / 170423 / 11</v>
      </c>
      <c r="L21" s="186"/>
      <c r="M21" s="187"/>
      <c r="N21" s="100">
        <f>+'Order Details Apr23-Mar24'!F21*'Order Details Apr23-Mar24'!N21</f>
        <v>200000</v>
      </c>
      <c r="O21" s="25"/>
      <c r="P21" s="22"/>
      <c r="Q21" s="26">
        <v>45</v>
      </c>
      <c r="R21" s="82"/>
      <c r="S21" s="22">
        <f t="shared" si="0"/>
        <v>0</v>
      </c>
      <c r="T21" s="22"/>
      <c r="U21" s="31"/>
      <c r="V21" s="51"/>
    </row>
    <row r="22" spans="1:22" ht="20.100000000000001" customHeight="1" x14ac:dyDescent="0.3">
      <c r="A22" s="44">
        <v>14</v>
      </c>
      <c r="B22" s="22">
        <f>+'Order Details Apr23-Mar24'!P22</f>
        <v>45033</v>
      </c>
      <c r="C22" s="23"/>
      <c r="D22" s="53" t="str">
        <f>+'Order Details Apr23-Mar24'!T22</f>
        <v>Zeus Biotech Pvt Ltd, Mysore</v>
      </c>
      <c r="E22" s="25"/>
      <c r="F22" s="183" t="str">
        <f>+'Order Details Apr23-Mar24'!D22</f>
        <v>SELCON FORTE (Zeus Biotech)</v>
      </c>
      <c r="G22" s="184"/>
      <c r="H22" s="26" t="str">
        <f>+'Order Details Apr23-Mar24'!G22</f>
        <v>Kg</v>
      </c>
      <c r="I22" s="27">
        <f>+'Order Details Apr23-Mar24'!I22</f>
        <v>150</v>
      </c>
      <c r="J22" s="28"/>
      <c r="K22" s="185" t="str">
        <f>+'Order Details Apr23-Mar24'!R22</f>
        <v>PO / NBF / 170423 / 12</v>
      </c>
      <c r="L22" s="186"/>
      <c r="M22" s="187"/>
      <c r="N22" s="100">
        <f>+'Order Details Apr23-Mar24'!F22*'Order Details Apr23-Mar24'!N22</f>
        <v>60000</v>
      </c>
      <c r="O22" s="25"/>
      <c r="P22" s="22"/>
      <c r="Q22" s="87">
        <v>45</v>
      </c>
      <c r="R22" s="82"/>
      <c r="S22" s="22">
        <f t="shared" si="0"/>
        <v>0</v>
      </c>
      <c r="T22" s="22"/>
      <c r="U22" s="31"/>
      <c r="V22" s="51"/>
    </row>
    <row r="23" spans="1:22" ht="20.100000000000001" customHeight="1" x14ac:dyDescent="0.3">
      <c r="A23" s="44">
        <v>15</v>
      </c>
      <c r="B23" s="22">
        <f>+'Order Details Apr23-Mar24'!P23</f>
        <v>45036</v>
      </c>
      <c r="C23" s="23"/>
      <c r="D23" s="53" t="str">
        <f>+'Order Details Apr23-Mar24'!T23</f>
        <v>Venkateshwara Hatcheries Ltd</v>
      </c>
      <c r="E23" s="25"/>
      <c r="F23" s="183" t="str">
        <f>+'Order Details Apr23-Mar24'!D23</f>
        <v xml:space="preserve">ND KILLED (Visa-15) VAC </v>
      </c>
      <c r="G23" s="184"/>
      <c r="H23" s="26" t="str">
        <f>+'Order Details Apr23-Mar24'!G23</f>
        <v>Dose</v>
      </c>
      <c r="I23" s="27">
        <f>+'Order Details Apr23-Mar24'!I23</f>
        <v>49000</v>
      </c>
      <c r="J23" s="28"/>
      <c r="K23" s="185" t="str">
        <f>+'Order Details Apr23-Mar24'!R23</f>
        <v>PO / NBF / 200423 / 13</v>
      </c>
      <c r="L23" s="186"/>
      <c r="M23" s="187"/>
      <c r="N23" s="100">
        <f>+'Order Details Apr23-Mar24'!F23*'Order Details Apr23-Mar24'!N23</f>
        <v>52736.25</v>
      </c>
      <c r="O23" s="25"/>
      <c r="P23" s="22"/>
      <c r="Q23" s="61">
        <v>45</v>
      </c>
      <c r="R23" s="82"/>
      <c r="S23" s="22">
        <f t="shared" si="0"/>
        <v>0</v>
      </c>
      <c r="T23" s="22"/>
      <c r="U23" s="31"/>
      <c r="V23" s="51"/>
    </row>
    <row r="24" spans="1:22" ht="20.100000000000001" customHeight="1" x14ac:dyDescent="0.3">
      <c r="A24" s="44">
        <v>16</v>
      </c>
      <c r="B24" s="22">
        <f>+'Order Details Apr23-Mar24'!P24</f>
        <v>45040</v>
      </c>
      <c r="C24" s="23"/>
      <c r="D24" s="53" t="str">
        <f>+'Order Details Apr23-Mar24'!T24</f>
        <v>Stallen South Asia Pvt Ltd</v>
      </c>
      <c r="E24" s="25"/>
      <c r="F24" s="183" t="str">
        <f>+'Order Details Apr23-Mar24'!D24</f>
        <v>FORLUTIN-10% (Stallen)</v>
      </c>
      <c r="G24" s="184"/>
      <c r="H24" s="26" t="str">
        <f>+'Order Details Apr23-Mar24'!G24</f>
        <v>Kg</v>
      </c>
      <c r="I24" s="27">
        <f>+'Order Details Apr23-Mar24'!I24</f>
        <v>200</v>
      </c>
      <c r="J24" s="28"/>
      <c r="K24" s="185" t="str">
        <f>+'Order Details Apr23-Mar24'!R24</f>
        <v>PO / NBF / 240423 / 14</v>
      </c>
      <c r="L24" s="186"/>
      <c r="M24" s="187"/>
      <c r="N24" s="100">
        <f>+'Order Details Apr23-Mar24'!F24*'Order Details Apr23-Mar24'!N24</f>
        <v>141000</v>
      </c>
      <c r="O24" s="25"/>
      <c r="P24" s="68" t="s">
        <v>344</v>
      </c>
      <c r="Q24" s="88">
        <v>45</v>
      </c>
      <c r="R24" s="82"/>
      <c r="S24" s="22" t="e">
        <f t="shared" si="0"/>
        <v>#VALUE!</v>
      </c>
      <c r="T24" s="22"/>
      <c r="U24" s="31"/>
      <c r="V24" s="51"/>
    </row>
    <row r="25" spans="1:22" ht="20.100000000000001" customHeight="1" x14ac:dyDescent="0.3">
      <c r="A25" s="44">
        <v>17</v>
      </c>
      <c r="B25" s="22">
        <f>+'Order Details Apr23-Mar24'!P25</f>
        <v>45040</v>
      </c>
      <c r="C25" s="23"/>
      <c r="D25" s="53" t="str">
        <f>+'Order Details Apr23-Mar24'!T25</f>
        <v>Varsha Multitech, Bangallore</v>
      </c>
      <c r="E25" s="25"/>
      <c r="F25" s="183" t="str">
        <f>+'Order Details Apr23-Mar24'!D25</f>
        <v>HEPATOCARE PREMIX (Varsha)</v>
      </c>
      <c r="G25" s="184"/>
      <c r="H25" s="26" t="str">
        <f>+'Order Details Apr23-Mar24'!G25</f>
        <v>Kg</v>
      </c>
      <c r="I25" s="27">
        <f>+'Order Details Apr23-Mar24'!I25</f>
        <v>500</v>
      </c>
      <c r="J25" s="28"/>
      <c r="K25" s="185" t="str">
        <f>+'Order Details Apr23-Mar24'!R25</f>
        <v>PO / NBF / 240423 / 15</v>
      </c>
      <c r="L25" s="186"/>
      <c r="M25" s="187"/>
      <c r="N25" s="100">
        <f>+'Order Details Apr23-Mar24'!F25*'Order Details Apr23-Mar24'!N25</f>
        <v>25000</v>
      </c>
      <c r="O25" s="25"/>
      <c r="P25" s="22"/>
      <c r="Q25" s="26">
        <v>45</v>
      </c>
      <c r="R25" s="82"/>
      <c r="S25" s="22">
        <f t="shared" si="0"/>
        <v>0</v>
      </c>
      <c r="T25" s="22"/>
      <c r="U25" s="31"/>
      <c r="V25" s="51"/>
    </row>
    <row r="26" spans="1:22" ht="20.100000000000001" customHeight="1" x14ac:dyDescent="0.3">
      <c r="A26" s="44">
        <v>18</v>
      </c>
      <c r="B26" s="22">
        <f>+'Order Details Apr23-Mar24'!P26</f>
        <v>45041</v>
      </c>
      <c r="C26" s="23"/>
      <c r="D26" s="53" t="str">
        <f>+'Order Details Apr23-Mar24'!T26</f>
        <v>Healers Associates, Vijayawada</v>
      </c>
      <c r="E26" s="25"/>
      <c r="F26" s="183" t="str">
        <f>+'Order Details Apr23-Mar24'!D26</f>
        <v>TIAMU-MED (Medichem Product)</v>
      </c>
      <c r="G26" s="184"/>
      <c r="H26" s="26" t="str">
        <f>+'Order Details Apr23-Mar24'!G26</f>
        <v>Kg</v>
      </c>
      <c r="I26" s="27">
        <f>+'Order Details Apr23-Mar24'!I26</f>
        <v>200</v>
      </c>
      <c r="J26" s="28"/>
      <c r="K26" s="185" t="str">
        <f>+'Order Details Apr23-Mar24'!R26</f>
        <v>PO / NBF / 250423 / 16</v>
      </c>
      <c r="L26" s="186"/>
      <c r="M26" s="187"/>
      <c r="N26" s="100">
        <f>+'Order Details Apr23-Mar24'!F26*'Order Details Apr23-Mar24'!N26</f>
        <v>135000</v>
      </c>
      <c r="O26" s="25"/>
      <c r="P26" s="22"/>
      <c r="Q26" s="26">
        <v>45</v>
      </c>
      <c r="R26" s="82"/>
      <c r="S26" s="22">
        <f t="shared" si="0"/>
        <v>0</v>
      </c>
      <c r="T26" s="22"/>
      <c r="U26" s="31"/>
      <c r="V26" s="51"/>
    </row>
    <row r="27" spans="1:22" ht="20.100000000000001" customHeight="1" x14ac:dyDescent="0.3">
      <c r="A27" s="44">
        <v>19</v>
      </c>
      <c r="B27" s="22">
        <f>+'Order Details Apr23-Mar24'!P27</f>
        <v>45045</v>
      </c>
      <c r="C27" s="23"/>
      <c r="D27" s="53" t="str">
        <f>+'Order Details Apr23-Mar24'!T27</f>
        <v>Sai Kiran Medical Agencies</v>
      </c>
      <c r="E27" s="25"/>
      <c r="F27" s="183" t="str">
        <f>+'Order Details Apr23-Mar24'!D27</f>
        <v>SALCOCHEK (Ayurvet)</v>
      </c>
      <c r="G27" s="184"/>
      <c r="H27" s="26" t="str">
        <f>+'Order Details Apr23-Mar24'!G27</f>
        <v>Kg</v>
      </c>
      <c r="I27" s="27">
        <f>+'Order Details Apr23-Mar24'!I27</f>
        <v>200</v>
      </c>
      <c r="J27" s="28"/>
      <c r="K27" s="185" t="str">
        <f>+'Order Details Apr23-Mar24'!R27</f>
        <v>PO / NBF / 290423 / 17</v>
      </c>
      <c r="L27" s="186"/>
      <c r="M27" s="187"/>
      <c r="N27" s="100">
        <f>+'Order Details Apr23-Mar24'!F27*'Order Details Apr23-Mar24'!N27</f>
        <v>28672</v>
      </c>
      <c r="O27" s="25"/>
      <c r="P27" s="22"/>
      <c r="Q27" s="26">
        <v>45</v>
      </c>
      <c r="R27" s="82"/>
      <c r="S27" s="22">
        <f t="shared" si="0"/>
        <v>0</v>
      </c>
      <c r="T27" s="22"/>
      <c r="U27" s="31"/>
      <c r="V27" s="51"/>
    </row>
    <row r="28" spans="1:22" ht="20.100000000000001" customHeight="1" x14ac:dyDescent="0.3">
      <c r="A28" s="44">
        <v>20</v>
      </c>
      <c r="B28" s="22">
        <f>+'Order Details Apr23-Mar24'!P28</f>
        <v>45050</v>
      </c>
      <c r="C28" s="23"/>
      <c r="D28" s="53" t="str">
        <f>+'Order Details Apr23-Mar24'!T28</f>
        <v>Trouw Nutrition India Pvt Ltd</v>
      </c>
      <c r="E28" s="25"/>
      <c r="F28" s="183" t="str">
        <f>+'Order Details Apr23-Mar24'!D28</f>
        <v>Breeder Vitamin Premix (Custom)</v>
      </c>
      <c r="G28" s="184"/>
      <c r="H28" s="26" t="str">
        <f>+'Order Details Apr23-Mar24'!G28</f>
        <v>Kg</v>
      </c>
      <c r="I28" s="27">
        <f>+'Order Details Apr23-Mar24'!I28</f>
        <v>500</v>
      </c>
      <c r="J28" s="28"/>
      <c r="K28" s="185" t="str">
        <f>+'Order Details Apr23-Mar24'!R28</f>
        <v>PO / NBF / 040523 / 18</v>
      </c>
      <c r="L28" s="186"/>
      <c r="M28" s="187"/>
      <c r="N28" s="100">
        <f>+'Order Details Apr23-Mar24'!F28*'Order Details Apr23-Mar24'!N28</f>
        <v>292500</v>
      </c>
      <c r="O28" s="25"/>
      <c r="P28" s="22"/>
      <c r="Q28" s="26">
        <v>45</v>
      </c>
      <c r="R28" s="82"/>
      <c r="S28" s="22">
        <f t="shared" si="0"/>
        <v>0</v>
      </c>
      <c r="T28" s="22"/>
      <c r="U28" s="31"/>
      <c r="V28" s="51"/>
    </row>
    <row r="29" spans="1:22" ht="20.100000000000001" customHeight="1" x14ac:dyDescent="0.3">
      <c r="A29" s="44">
        <v>21</v>
      </c>
      <c r="B29" s="22">
        <f>+'Order Details Apr23-Mar24'!P29</f>
        <v>45054</v>
      </c>
      <c r="C29" s="23"/>
      <c r="D29" s="53" t="str">
        <f>+'Order Details Apr23-Mar24'!T29</f>
        <v>Tara Enterprises, Hyderabad</v>
      </c>
      <c r="E29" s="25"/>
      <c r="F29" s="183" t="str">
        <f>+'Order Details Apr23-Mar24'!D29</f>
        <v>Hipraviar Clon H-120 (Hipra)</v>
      </c>
      <c r="G29" s="184"/>
      <c r="H29" s="26" t="str">
        <f>+'Order Details Apr23-Mar24'!G29</f>
        <v>Dose</v>
      </c>
      <c r="I29" s="27">
        <f>+'Order Details Apr23-Mar24'!I29</f>
        <v>250000</v>
      </c>
      <c r="J29" s="28"/>
      <c r="K29" s="185" t="str">
        <f>+'Order Details Apr23-Mar24'!R29</f>
        <v>PO / NBF / 080523 / 19</v>
      </c>
      <c r="L29" s="186"/>
      <c r="M29" s="187"/>
      <c r="N29" s="100">
        <f>+'Order Details Apr23-Mar24'!F29*'Order Details Apr23-Mar24'!N29</f>
        <v>57750</v>
      </c>
      <c r="O29" s="25"/>
      <c r="P29" s="22"/>
      <c r="Q29" s="26">
        <v>45</v>
      </c>
      <c r="R29" s="82"/>
      <c r="S29" s="22">
        <f t="shared" si="0"/>
        <v>0</v>
      </c>
      <c r="T29" s="22"/>
      <c r="U29" s="31"/>
      <c r="V29" s="51"/>
    </row>
    <row r="30" spans="1:22" ht="20.100000000000001" customHeight="1" x14ac:dyDescent="0.3">
      <c r="A30" s="44">
        <v>22</v>
      </c>
      <c r="B30" s="22">
        <f>+'Order Details Apr23-Mar24'!P30</f>
        <v>45057</v>
      </c>
      <c r="C30" s="23"/>
      <c r="D30" s="53" t="str">
        <f>+'Order Details Apr23-Mar24'!T30</f>
        <v>Kemin Industries South Asia</v>
      </c>
      <c r="E30" s="25"/>
      <c r="F30" s="183" t="str">
        <f>+'Order Details Apr23-Mar24'!D30</f>
        <v>CLOSTAT-365 / 12 (Kemin Indus)</v>
      </c>
      <c r="G30" s="184"/>
      <c r="H30" s="26" t="str">
        <f>+'Order Details Apr23-Mar24'!G30</f>
        <v>Kg</v>
      </c>
      <c r="I30" s="27">
        <f>+'Order Details Apr23-Mar24'!I30</f>
        <v>200</v>
      </c>
      <c r="J30" s="28"/>
      <c r="K30" s="185" t="str">
        <f>+'Order Details Apr23-Mar24'!R30</f>
        <v>PO / NBF / 110523 / 20</v>
      </c>
      <c r="L30" s="186"/>
      <c r="M30" s="187"/>
      <c r="N30" s="100">
        <f>+'Order Details Apr23-Mar24'!F30*'Order Details Apr23-Mar24'!N30</f>
        <v>100000</v>
      </c>
      <c r="O30" s="25"/>
      <c r="P30" s="22"/>
      <c r="Q30" s="26">
        <v>45</v>
      </c>
      <c r="R30" s="82"/>
      <c r="S30" s="22">
        <f t="shared" si="0"/>
        <v>0</v>
      </c>
      <c r="T30" s="22"/>
      <c r="U30" s="31"/>
      <c r="V30" s="51"/>
    </row>
    <row r="31" spans="1:22" ht="20.100000000000001" customHeight="1" x14ac:dyDescent="0.3">
      <c r="A31" s="44">
        <v>23</v>
      </c>
      <c r="B31" s="22">
        <f>+'Order Details Apr23-Mar24'!P31</f>
        <v>45061</v>
      </c>
      <c r="C31" s="23"/>
      <c r="D31" s="53" t="str">
        <f>+'Order Details Apr23-Mar24'!T31</f>
        <v>Alivira Animal Health Ltd</v>
      </c>
      <c r="E31" s="25"/>
      <c r="F31" s="183" t="str">
        <f>+'Order Details Apr23-Mar24'!D31</f>
        <v>CITRINAL (Alivira)</v>
      </c>
      <c r="G31" s="184"/>
      <c r="H31" s="26" t="str">
        <f>+'Order Details Apr23-Mar24'!G31</f>
        <v>Kg</v>
      </c>
      <c r="I31" s="27">
        <f>+'Order Details Apr23-Mar24'!I31</f>
        <v>500</v>
      </c>
      <c r="J31" s="28"/>
      <c r="K31" s="185" t="str">
        <f>+'Order Details Apr23-Mar24'!R31</f>
        <v>PO / NBF / 150523 / 21</v>
      </c>
      <c r="L31" s="186"/>
      <c r="M31" s="187"/>
      <c r="N31" s="100">
        <f>+'Order Details Apr23-Mar24'!F31*'Order Details Apr23-Mar24'!N31</f>
        <v>75000</v>
      </c>
      <c r="O31" s="25"/>
      <c r="P31" s="22"/>
      <c r="Q31" s="26">
        <v>45</v>
      </c>
      <c r="R31" s="82"/>
      <c r="S31" s="22">
        <f t="shared" si="0"/>
        <v>0</v>
      </c>
      <c r="T31" s="22"/>
      <c r="U31" s="31"/>
      <c r="V31" s="51"/>
    </row>
    <row r="32" spans="1:22" ht="20.100000000000001" customHeight="1" x14ac:dyDescent="0.3">
      <c r="A32" s="44">
        <v>24</v>
      </c>
      <c r="B32" s="22">
        <f>+'Order Details Apr23-Mar24'!P32</f>
        <v>45060</v>
      </c>
      <c r="C32" s="23"/>
      <c r="D32" s="53" t="str">
        <f>+'Order Details Apr23-Mar24'!T32</f>
        <v>Hester Biosciences Limited</v>
      </c>
      <c r="E32" s="25"/>
      <c r="F32" s="183" t="str">
        <f>+'Order Details Apr23-Mar24'!D32</f>
        <v>ILT(GI- 10000) Live Vaccine</v>
      </c>
      <c r="G32" s="184"/>
      <c r="H32" s="26" t="str">
        <f>+'Order Details Apr23-Mar24'!G32</f>
        <v>Dose</v>
      </c>
      <c r="I32" s="27">
        <f>+'Order Details Apr23-Mar24'!I32</f>
        <v>42000</v>
      </c>
      <c r="J32" s="28"/>
      <c r="K32" s="185" t="str">
        <f>+'Order Details Apr23-Mar24'!R32</f>
        <v>PO / NBF / 150523 / 22</v>
      </c>
      <c r="L32" s="186"/>
      <c r="M32" s="187"/>
      <c r="N32" s="100">
        <f>+'Order Details Apr23-Mar24'!F32*'Order Details Apr23-Mar24'!N32</f>
        <v>66150</v>
      </c>
      <c r="O32" s="25"/>
      <c r="P32" s="22"/>
      <c r="Q32" s="87">
        <v>45</v>
      </c>
      <c r="R32" s="82"/>
      <c r="S32" s="22">
        <f t="shared" si="0"/>
        <v>0</v>
      </c>
      <c r="T32" s="22"/>
      <c r="U32" s="31"/>
      <c r="V32" s="51"/>
    </row>
    <row r="33" spans="1:22" ht="20.100000000000001" customHeight="1" x14ac:dyDescent="0.3">
      <c r="A33" s="44">
        <v>25</v>
      </c>
      <c r="B33" s="22">
        <f>+'Order Details Apr23-Mar24'!P33</f>
        <v>45061</v>
      </c>
      <c r="C33" s="23"/>
      <c r="D33" s="53" t="str">
        <f>+'Order Details Apr23-Mar24'!T33</f>
        <v>Sapience Agribusiness Cons LLP</v>
      </c>
      <c r="E33" s="25"/>
      <c r="F33" s="183" t="str">
        <f>+'Order Details Apr23-Mar24'!D33</f>
        <v>ALPHA D3 PREMIX (Alura)</v>
      </c>
      <c r="G33" s="184"/>
      <c r="H33" s="26" t="str">
        <f>+'Order Details Apr23-Mar24'!G33</f>
        <v>Kg</v>
      </c>
      <c r="I33" s="27">
        <f>+'Order Details Apr23-Mar24'!I33</f>
        <v>120</v>
      </c>
      <c r="J33" s="28"/>
      <c r="K33" s="185" t="str">
        <f>+'Order Details Apr23-Mar24'!R33</f>
        <v>PO / NBF / 150523 / 23</v>
      </c>
      <c r="L33" s="186"/>
      <c r="M33" s="187"/>
      <c r="N33" s="100">
        <f>+'Order Details Apr23-Mar24'!F33*'Order Details Apr23-Mar24'!N33</f>
        <v>105600</v>
      </c>
      <c r="O33" s="25"/>
      <c r="P33" s="22"/>
      <c r="Q33" s="26">
        <v>45</v>
      </c>
      <c r="R33" s="82"/>
      <c r="S33" s="22">
        <f t="shared" si="0"/>
        <v>0</v>
      </c>
      <c r="T33" s="22"/>
      <c r="U33" s="31"/>
      <c r="V33" s="51"/>
    </row>
    <row r="34" spans="1:22" ht="20.100000000000001" customHeight="1" x14ac:dyDescent="0.3">
      <c r="A34" s="44">
        <v>26</v>
      </c>
      <c r="B34" s="22">
        <f>+'Order Details Apr23-Mar24'!P34</f>
        <v>45061</v>
      </c>
      <c r="C34" s="23"/>
      <c r="D34" s="53" t="str">
        <f>+'Order Details Apr23-Mar24'!T34</f>
        <v>Tara Enterprises, Hyderabad</v>
      </c>
      <c r="E34" s="25"/>
      <c r="F34" s="183" t="str">
        <f>+'Order Details Apr23-Mar24'!D34</f>
        <v>Hipraviar Clone-79 (Hipra)</v>
      </c>
      <c r="G34" s="184"/>
      <c r="H34" s="26" t="str">
        <f>+'Order Details Apr23-Mar24'!G34</f>
        <v>Dose</v>
      </c>
      <c r="I34" s="27">
        <f>+'Order Details Apr23-Mar24'!I34</f>
        <v>50000</v>
      </c>
      <c r="J34" s="28"/>
      <c r="K34" s="185" t="str">
        <f>+'Order Details Apr23-Mar24'!R34</f>
        <v>PO / NBF / 150523 / 24</v>
      </c>
      <c r="L34" s="186"/>
      <c r="M34" s="187"/>
      <c r="N34" s="100">
        <f>+'Order Details Apr23-Mar24'!F34*'Order Details Apr23-Mar24'!N34</f>
        <v>6216</v>
      </c>
      <c r="O34" s="25"/>
      <c r="P34" s="22"/>
      <c r="Q34" s="26">
        <v>45</v>
      </c>
      <c r="R34" s="82"/>
      <c r="S34" s="22">
        <f t="shared" si="0"/>
        <v>0</v>
      </c>
      <c r="T34" s="22"/>
      <c r="U34" s="31"/>
      <c r="V34" s="51"/>
    </row>
    <row r="35" spans="1:22" ht="20.100000000000001" customHeight="1" x14ac:dyDescent="0.3">
      <c r="A35" s="44">
        <v>27</v>
      </c>
      <c r="B35" s="22">
        <f>+'Order Details Apr23-Mar24'!P35</f>
        <v>45061</v>
      </c>
      <c r="C35" s="23"/>
      <c r="D35" s="53" t="str">
        <f>+'Order Details Apr23-Mar24'!T35</f>
        <v>Tara Enterprises, Hyderabad</v>
      </c>
      <c r="E35" s="25"/>
      <c r="F35" s="183" t="str">
        <f>+'Order Details Apr23-Mar24'!D35</f>
        <v>Hipraviar Clon H-120 (Hipra)</v>
      </c>
      <c r="G35" s="184"/>
      <c r="H35" s="26" t="str">
        <f>+'Order Details Apr23-Mar24'!G35</f>
        <v>Dose</v>
      </c>
      <c r="I35" s="27">
        <f>+'Order Details Apr23-Mar24'!I35</f>
        <v>100000</v>
      </c>
      <c r="J35" s="28"/>
      <c r="K35" s="185" t="str">
        <f>+'Order Details Apr23-Mar24'!R35</f>
        <v>PO / NBF / 150523 / 24</v>
      </c>
      <c r="L35" s="186"/>
      <c r="M35" s="187"/>
      <c r="N35" s="100">
        <f>+'Order Details Apr23-Mar24'!F35*'Order Details Apr23-Mar24'!N35</f>
        <v>23100</v>
      </c>
      <c r="O35" s="25"/>
      <c r="P35" s="22"/>
      <c r="Q35" s="26">
        <v>45</v>
      </c>
      <c r="R35" s="83"/>
      <c r="S35" s="22">
        <f t="shared" si="0"/>
        <v>0</v>
      </c>
      <c r="T35" s="22"/>
      <c r="U35" s="31"/>
      <c r="V35" s="51"/>
    </row>
    <row r="36" spans="1:22" ht="20.100000000000001" customHeight="1" x14ac:dyDescent="0.3">
      <c r="A36" s="44">
        <v>28</v>
      </c>
      <c r="B36" s="22">
        <f>+'Order Details Apr23-Mar24'!P36</f>
        <v>45062</v>
      </c>
      <c r="C36" s="23"/>
      <c r="D36" s="53" t="str">
        <f>+'Order Details Apr23-Mar24'!T36</f>
        <v>Venkateshwara Hatcheries Ltd</v>
      </c>
      <c r="E36" s="25"/>
      <c r="F36" s="183" t="str">
        <f>+'Order Details Apr23-Mar24'!D36</f>
        <v>Fowl Pox Live Vaccine (Venkys)</v>
      </c>
      <c r="G36" s="184"/>
      <c r="H36" s="26" t="str">
        <f>+'Order Details Apr23-Mar24'!G36</f>
        <v>Dose</v>
      </c>
      <c r="I36" s="27">
        <f>+'Order Details Apr23-Mar24'!I36</f>
        <v>45000</v>
      </c>
      <c r="J36" s="28"/>
      <c r="K36" s="185" t="str">
        <f>+'Order Details Apr23-Mar24'!R36</f>
        <v>PO / NBF / 160523 / 25</v>
      </c>
      <c r="L36" s="186"/>
      <c r="M36" s="187"/>
      <c r="N36" s="100">
        <f>+'Order Details Apr23-Mar24'!F36*'Order Details Apr23-Mar24'!N36</f>
        <v>5906.25</v>
      </c>
      <c r="O36" s="25"/>
      <c r="P36" s="22"/>
      <c r="Q36" s="61">
        <v>45</v>
      </c>
      <c r="R36" s="82"/>
      <c r="S36" s="22">
        <f t="shared" si="0"/>
        <v>0</v>
      </c>
      <c r="T36" s="22"/>
      <c r="U36" s="31"/>
      <c r="V36" s="51"/>
    </row>
    <row r="37" spans="1:22" ht="20.100000000000001" customHeight="1" x14ac:dyDescent="0.3">
      <c r="A37" s="44">
        <v>29</v>
      </c>
      <c r="B37" s="22">
        <f>+'Order Details Apr23-Mar24'!P37</f>
        <v>45062</v>
      </c>
      <c r="C37" s="23"/>
      <c r="D37" s="53" t="str">
        <f>+'Order Details Apr23-Mar24'!T37</f>
        <v>Venkateshwara Hatcheries Ltd</v>
      </c>
      <c r="E37" s="25"/>
      <c r="F37" s="183" t="str">
        <f>+'Order Details Apr23-Mar24'!D37</f>
        <v>AE KILLED VAC (Venkys)</v>
      </c>
      <c r="G37" s="184"/>
      <c r="H37" s="26" t="str">
        <f>+'Order Details Apr23-Mar24'!G37</f>
        <v>Dose</v>
      </c>
      <c r="I37" s="27">
        <f>+'Order Details Apr23-Mar24'!I37</f>
        <v>44000</v>
      </c>
      <c r="J37" s="28"/>
      <c r="K37" s="185" t="str">
        <f>+'Order Details Apr23-Mar24'!R37</f>
        <v>PO / NBF / 160523 / 25</v>
      </c>
      <c r="L37" s="186"/>
      <c r="M37" s="187"/>
      <c r="N37" s="100">
        <f>+'Order Details Apr23-Mar24'!F37*'Order Details Apr23-Mar24'!N37</f>
        <v>92169</v>
      </c>
      <c r="O37" s="25"/>
      <c r="P37" s="22"/>
      <c r="Q37" s="61">
        <v>45</v>
      </c>
      <c r="R37" s="82"/>
      <c r="S37" s="22">
        <f t="shared" si="0"/>
        <v>0</v>
      </c>
      <c r="T37" s="22"/>
      <c r="U37" s="31"/>
      <c r="V37" s="51"/>
    </row>
    <row r="38" spans="1:22" ht="20.100000000000001" customHeight="1" x14ac:dyDescent="0.3">
      <c r="A38" s="44">
        <v>30</v>
      </c>
      <c r="B38" s="22">
        <f>+'Order Details Apr23-Mar24'!P38</f>
        <v>45062</v>
      </c>
      <c r="C38" s="23"/>
      <c r="D38" s="53" t="str">
        <f>+'Order Details Apr23-Mar24'!T38</f>
        <v>Venkateshwara Hatcheries Ltd</v>
      </c>
      <c r="E38" s="25"/>
      <c r="F38" s="183" t="str">
        <f>+'Order Details Apr23-Mar24'!D38</f>
        <v>IBD KILLED VAC (Venkys)</v>
      </c>
      <c r="G38" s="184"/>
      <c r="H38" s="26" t="str">
        <f>+'Order Details Apr23-Mar24'!G38</f>
        <v>Dose</v>
      </c>
      <c r="I38" s="27">
        <f>+'Order Details Apr23-Mar24'!I38</f>
        <v>48000</v>
      </c>
      <c r="J38" s="28"/>
      <c r="K38" s="185" t="str">
        <f>+'Order Details Apr23-Mar24'!R38</f>
        <v>PO / NBF / 160523 / 25</v>
      </c>
      <c r="L38" s="186"/>
      <c r="M38" s="187"/>
      <c r="N38" s="100">
        <f>+'Order Details Apr23-Mar24'!F38*'Order Details Apr23-Mar24'!N38</f>
        <v>112896</v>
      </c>
      <c r="O38" s="25"/>
      <c r="P38" s="22"/>
      <c r="Q38" s="61">
        <v>45</v>
      </c>
      <c r="R38" s="82"/>
      <c r="S38" s="22">
        <f t="shared" si="0"/>
        <v>0</v>
      </c>
      <c r="T38" s="22"/>
      <c r="U38" s="31"/>
      <c r="V38" s="51"/>
    </row>
    <row r="39" spans="1:22" ht="20.100000000000001" customHeight="1" x14ac:dyDescent="0.3">
      <c r="A39" s="44">
        <v>31</v>
      </c>
      <c r="B39" s="22">
        <f>+'Order Details Apr23-Mar24'!P39</f>
        <v>45062</v>
      </c>
      <c r="C39" s="23"/>
      <c r="D39" s="53" t="str">
        <f>+'Order Details Apr23-Mar24'!T39</f>
        <v>Venkateshwara Hatcheries Ltd</v>
      </c>
      <c r="E39" s="25"/>
      <c r="F39" s="183" t="str">
        <f>+'Order Details Apr23-Mar24'!D39</f>
        <v>MG KILLED VAC (Venkys)</v>
      </c>
      <c r="G39" s="184"/>
      <c r="H39" s="26" t="str">
        <f>+'Order Details Apr23-Mar24'!G39</f>
        <v>Dose</v>
      </c>
      <c r="I39" s="27">
        <f>+'Order Details Apr23-Mar24'!I39</f>
        <v>95000</v>
      </c>
      <c r="J39" s="28"/>
      <c r="K39" s="185" t="str">
        <f>+'Order Details Apr23-Mar24'!R39</f>
        <v>PO / NBF / 160523 / 25</v>
      </c>
      <c r="L39" s="186"/>
      <c r="M39" s="187"/>
      <c r="N39" s="100">
        <f>+'Order Details Apr23-Mar24'!F39*'Order Details Apr23-Mar24'!N39</f>
        <v>418950</v>
      </c>
      <c r="O39" s="25"/>
      <c r="P39" s="22"/>
      <c r="Q39" s="61">
        <v>45</v>
      </c>
      <c r="R39" s="82"/>
      <c r="S39" s="22">
        <f t="shared" si="0"/>
        <v>0</v>
      </c>
      <c r="T39" s="22"/>
      <c r="U39" s="31"/>
      <c r="V39" s="51"/>
    </row>
    <row r="40" spans="1:22" ht="20.100000000000001" customHeight="1" x14ac:dyDescent="0.3">
      <c r="A40" s="44">
        <v>32</v>
      </c>
      <c r="B40" s="22">
        <f>+'Order Details Apr23-Mar24'!P40</f>
        <v>45062</v>
      </c>
      <c r="C40" s="23"/>
      <c r="D40" s="53" t="str">
        <f>+'Order Details Apr23-Mar24'!T40</f>
        <v>Venkateshwara Hatcheries Ltd</v>
      </c>
      <c r="E40" s="25"/>
      <c r="F40" s="183" t="str">
        <f>+'Order Details Apr23-Mar24'!D40</f>
        <v>VENNEW BRO KILLED VAC (Venkys)</v>
      </c>
      <c r="G40" s="184"/>
      <c r="H40" s="26" t="str">
        <f>+'Order Details Apr23-Mar24'!G40</f>
        <v>Dose</v>
      </c>
      <c r="I40" s="27">
        <f>+'Order Details Apr23-Mar24'!I40</f>
        <v>48000</v>
      </c>
      <c r="J40" s="28"/>
      <c r="K40" s="185" t="str">
        <f>+'Order Details Apr23-Mar24'!R40</f>
        <v>PO / NBF / 160523 / 25</v>
      </c>
      <c r="L40" s="186"/>
      <c r="M40" s="187"/>
      <c r="N40" s="100">
        <f>+'Order Details Apr23-Mar24'!F40*'Order Details Apr23-Mar24'!N40</f>
        <v>158508</v>
      </c>
      <c r="O40" s="25"/>
      <c r="P40" s="22"/>
      <c r="Q40" s="61">
        <v>45</v>
      </c>
      <c r="R40" s="82"/>
      <c r="S40" s="22">
        <f t="shared" si="0"/>
        <v>0</v>
      </c>
      <c r="T40" s="22"/>
      <c r="U40" s="31"/>
      <c r="V40" s="51"/>
    </row>
    <row r="41" spans="1:22" ht="20.100000000000001" customHeight="1" x14ac:dyDescent="0.3">
      <c r="A41" s="44">
        <v>33</v>
      </c>
      <c r="B41" s="22">
        <f>+'Order Details Apr23-Mar24'!P41</f>
        <v>45062</v>
      </c>
      <c r="C41" s="23"/>
      <c r="D41" s="53" t="str">
        <f>+'Order Details Apr23-Mar24'!T41</f>
        <v>Venkateshwara Hatcheries Ltd</v>
      </c>
      <c r="E41" s="25"/>
      <c r="F41" s="183" t="str">
        <f>+'Order Details Apr23-Mar24'!D41</f>
        <v>SALMONELLA KILLED VAC</v>
      </c>
      <c r="G41" s="184"/>
      <c r="H41" s="26" t="str">
        <f>+'Order Details Apr23-Mar24'!G41</f>
        <v>Dose</v>
      </c>
      <c r="I41" s="27">
        <f>+'Order Details Apr23-Mar24'!I41</f>
        <v>43000</v>
      </c>
      <c r="J41" s="28"/>
      <c r="K41" s="185" t="str">
        <f>+'Order Details Apr23-Mar24'!R41</f>
        <v>PO / NBF / 160523 / 25</v>
      </c>
      <c r="L41" s="186"/>
      <c r="M41" s="187"/>
      <c r="N41" s="100">
        <f>+'Order Details Apr23-Mar24'!F41*'Order Details Apr23-Mar24'!N41</f>
        <v>128000.25</v>
      </c>
      <c r="O41" s="25"/>
      <c r="P41" s="22"/>
      <c r="Q41" s="61">
        <v>45</v>
      </c>
      <c r="R41" s="82"/>
      <c r="S41" s="22">
        <f t="shared" si="0"/>
        <v>0</v>
      </c>
      <c r="T41" s="22"/>
      <c r="U41" s="31"/>
      <c r="V41" s="51"/>
    </row>
    <row r="42" spans="1:22" ht="20.100000000000001" customHeight="1" x14ac:dyDescent="0.3">
      <c r="A42" s="44">
        <v>34</v>
      </c>
      <c r="B42" s="22">
        <f>+'Order Details Apr23-Mar24'!P42</f>
        <v>45062</v>
      </c>
      <c r="C42" s="23"/>
      <c r="D42" s="53" t="str">
        <f>+'Order Details Apr23-Mar24'!T42</f>
        <v>Venkateshwara Hatcheries Ltd</v>
      </c>
      <c r="E42" s="25"/>
      <c r="F42" s="183" t="str">
        <f>+'Order Details Apr23-Mar24'!D42</f>
        <v xml:space="preserve">VH F1C7 (FC+IC) KILLED VAC </v>
      </c>
      <c r="G42" s="184"/>
      <c r="H42" s="26" t="str">
        <f>+'Order Details Apr23-Mar24'!G42</f>
        <v>Dose</v>
      </c>
      <c r="I42" s="27">
        <f>+'Order Details Apr23-Mar24'!I42</f>
        <v>42000</v>
      </c>
      <c r="J42" s="28"/>
      <c r="K42" s="185" t="str">
        <f>+'Order Details Apr23-Mar24'!R42</f>
        <v>PO / NBF / 160523 / 25</v>
      </c>
      <c r="L42" s="186"/>
      <c r="M42" s="187"/>
      <c r="N42" s="100">
        <f>+'Order Details Apr23-Mar24'!F42*'Order Details Apr23-Mar24'!N42</f>
        <v>104208.3</v>
      </c>
      <c r="O42" s="25"/>
      <c r="P42" s="22"/>
      <c r="Q42" s="61">
        <v>45</v>
      </c>
      <c r="R42" s="82"/>
      <c r="S42" s="22">
        <f t="shared" si="0"/>
        <v>0</v>
      </c>
      <c r="T42" s="22"/>
      <c r="U42" s="31"/>
      <c r="V42" s="51"/>
    </row>
    <row r="43" spans="1:22" ht="20.100000000000001" customHeight="1" x14ac:dyDescent="0.3">
      <c r="A43" s="44">
        <v>35</v>
      </c>
      <c r="B43" s="22">
        <f>+'Order Details Apr23-Mar24'!P43</f>
        <v>45062</v>
      </c>
      <c r="C43" s="23"/>
      <c r="D43" s="53" t="str">
        <f>+'Order Details Apr23-Mar24'!T43</f>
        <v>Venkateshwara Hatcheries Ltd</v>
      </c>
      <c r="E43" s="25"/>
      <c r="F43" s="183" t="str">
        <f>+'Order Details Apr23-Mar24'!D43</f>
        <v>Sterile Diluent for Live Vac</v>
      </c>
      <c r="G43" s="184"/>
      <c r="H43" s="26" t="str">
        <f>+'Order Details Apr23-Mar24'!G43</f>
        <v>Ml</v>
      </c>
      <c r="I43" s="27">
        <f>+'Order Details Apr23-Mar24'!I43</f>
        <v>1500</v>
      </c>
      <c r="J43" s="28"/>
      <c r="K43" s="185" t="str">
        <f>+'Order Details Apr23-Mar24'!R43</f>
        <v>PO / NBF / 160523 / 25</v>
      </c>
      <c r="L43" s="186"/>
      <c r="M43" s="187"/>
      <c r="N43" s="100">
        <f>+'Order Details Apr23-Mar24'!F43*'Order Details Apr23-Mar24'!N43</f>
        <v>91.875</v>
      </c>
      <c r="O43" s="25"/>
      <c r="P43" s="22"/>
      <c r="Q43" s="61">
        <v>45</v>
      </c>
      <c r="R43" s="82"/>
      <c r="S43" s="22">
        <f t="shared" si="0"/>
        <v>0</v>
      </c>
      <c r="T43" s="22"/>
      <c r="U43" s="31"/>
      <c r="V43" s="51"/>
    </row>
    <row r="44" spans="1:22" ht="20.100000000000001" customHeight="1" x14ac:dyDescent="0.3">
      <c r="A44" s="44">
        <v>36</v>
      </c>
      <c r="B44" s="22">
        <f>+'Order Details Apr23-Mar24'!P44</f>
        <v>45068</v>
      </c>
      <c r="C44" s="23"/>
      <c r="D44" s="53" t="str">
        <f>+'Order Details Apr23-Mar24'!T44</f>
        <v>B V Biocrop, Hitech Division</v>
      </c>
      <c r="E44" s="25"/>
      <c r="F44" s="183" t="str">
        <f>+'Order Details Apr23-Mar24'!D44</f>
        <v>TRACEMIN BB (BV Biocrop)</v>
      </c>
      <c r="G44" s="184"/>
      <c r="H44" s="26" t="str">
        <f>+'Order Details Apr23-Mar24'!G44</f>
        <v>Kg</v>
      </c>
      <c r="I44" s="27">
        <f>+'Order Details Apr23-Mar24'!I44</f>
        <v>1020</v>
      </c>
      <c r="J44" s="28"/>
      <c r="K44" s="185" t="str">
        <f>+'Order Details Apr23-Mar24'!R44</f>
        <v>PO / NBF / 220523 / 26</v>
      </c>
      <c r="L44" s="186"/>
      <c r="M44" s="187"/>
      <c r="N44" s="100">
        <f>+'Order Details Apr23-Mar24'!F44*'Order Details Apr23-Mar24'!N44</f>
        <v>66538</v>
      </c>
      <c r="O44" s="25"/>
      <c r="P44" s="22"/>
      <c r="Q44" s="61">
        <v>45</v>
      </c>
      <c r="R44" s="82"/>
      <c r="S44" s="22">
        <f t="shared" si="0"/>
        <v>0</v>
      </c>
      <c r="T44" s="22"/>
      <c r="U44" s="31"/>
      <c r="V44" s="51"/>
    </row>
    <row r="45" spans="1:22" ht="20.100000000000001" customHeight="1" x14ac:dyDescent="0.3">
      <c r="A45" s="44">
        <v>37</v>
      </c>
      <c r="B45" s="22">
        <f>+'Order Details Apr23-Mar24'!P45</f>
        <v>45068</v>
      </c>
      <c r="C45" s="23"/>
      <c r="D45" s="53" t="str">
        <f>+'Order Details Apr23-Mar24'!T45</f>
        <v>Crescent Marketing, Hyderabad</v>
      </c>
      <c r="E45" s="25"/>
      <c r="F45" s="183" t="str">
        <f>+'Order Details Apr23-Mar24'!D45</f>
        <v>FLOXLEVO-BH (Zenex-AH)</v>
      </c>
      <c r="G45" s="184"/>
      <c r="H45" s="26" t="str">
        <f>+'Order Details Apr23-Mar24'!G45</f>
        <v>Ltr</v>
      </c>
      <c r="I45" s="27">
        <f>+'Order Details Apr23-Mar24'!I45</f>
        <v>100</v>
      </c>
      <c r="J45" s="28"/>
      <c r="K45" s="185" t="str">
        <f>+'Order Details Apr23-Mar24'!R45</f>
        <v>PO / NBF / 220523 / 27</v>
      </c>
      <c r="L45" s="186"/>
      <c r="M45" s="187"/>
      <c r="N45" s="100">
        <f>+'Order Details Apr23-Mar24'!F45*'Order Details Apr23-Mar24'!N45</f>
        <v>108080</v>
      </c>
      <c r="O45" s="25"/>
      <c r="P45" s="22"/>
      <c r="Q45" s="26">
        <v>45</v>
      </c>
      <c r="R45" s="82"/>
      <c r="S45" s="22">
        <f t="shared" si="0"/>
        <v>0</v>
      </c>
      <c r="T45" s="22"/>
      <c r="U45" s="31"/>
      <c r="V45" s="51"/>
    </row>
    <row r="46" spans="1:22" ht="20.100000000000001" customHeight="1" x14ac:dyDescent="0.3">
      <c r="A46" s="44">
        <v>38</v>
      </c>
      <c r="B46" s="22">
        <f>+'Order Details Apr23-Mar24'!P46</f>
        <v>45068</v>
      </c>
      <c r="C46" s="23"/>
      <c r="D46" s="53" t="str">
        <f>+'Order Details Apr23-Mar24'!T46</f>
        <v>Crescent Marketing, Hyderabad</v>
      </c>
      <c r="E46" s="25"/>
      <c r="F46" s="183" t="str">
        <f>+'Order Details Apr23-Mar24'!D46</f>
        <v>HIVIT Injection (Zenex-AH)</v>
      </c>
      <c r="G46" s="184"/>
      <c r="H46" s="26" t="str">
        <f>+'Order Details Apr23-Mar24'!G46</f>
        <v>Ml</v>
      </c>
      <c r="I46" s="27">
        <f>+'Order Details Apr23-Mar24'!I46</f>
        <v>20000</v>
      </c>
      <c r="J46" s="28"/>
      <c r="K46" s="185" t="str">
        <f>+'Order Details Apr23-Mar24'!R46</f>
        <v>PO / NBF / 220523 / 27</v>
      </c>
      <c r="L46" s="186"/>
      <c r="M46" s="187"/>
      <c r="N46" s="100">
        <f>+'Order Details Apr23-Mar24'!F46*'Order Details Apr23-Mar24'!N46</f>
        <v>21420</v>
      </c>
      <c r="O46" s="25"/>
      <c r="P46" s="22"/>
      <c r="Q46" s="26">
        <v>45</v>
      </c>
      <c r="R46" s="82"/>
      <c r="S46" s="22">
        <f t="shared" si="0"/>
        <v>0</v>
      </c>
      <c r="T46" s="22"/>
      <c r="U46" s="31"/>
      <c r="V46" s="51"/>
    </row>
    <row r="47" spans="1:22" ht="20.100000000000001" customHeight="1" x14ac:dyDescent="0.3">
      <c r="A47" s="44">
        <v>39</v>
      </c>
      <c r="B47" s="22">
        <f>+'Order Details Apr23-Mar24'!P47</f>
        <v>45068</v>
      </c>
      <c r="C47" s="23"/>
      <c r="D47" s="53" t="str">
        <f>+'Order Details Apr23-Mar24'!T47</f>
        <v>Crescent Marketing, Hyderabad</v>
      </c>
      <c r="E47" s="25"/>
      <c r="F47" s="183" t="str">
        <f>+'Order Details Apr23-Mar24'!D47</f>
        <v>RANBAMYCIN Injection (Zenex-AH)</v>
      </c>
      <c r="G47" s="184"/>
      <c r="H47" s="26" t="str">
        <f>+'Order Details Apr23-Mar24'!G47</f>
        <v>Ml</v>
      </c>
      <c r="I47" s="27">
        <f>+'Order Details Apr23-Mar24'!I47</f>
        <v>10000</v>
      </c>
      <c r="J47" s="28"/>
      <c r="K47" s="185" t="str">
        <f>+'Order Details Apr23-Mar24'!R47</f>
        <v>PO / NBF / 220523 / 27</v>
      </c>
      <c r="L47" s="186"/>
      <c r="M47" s="187"/>
      <c r="N47" s="100">
        <f>+'Order Details Apr23-Mar24'!F47*'Order Details Apr23-Mar24'!N47</f>
        <v>12880.000000000002</v>
      </c>
      <c r="O47" s="25"/>
      <c r="P47" s="22"/>
      <c r="Q47" s="26">
        <v>45</v>
      </c>
      <c r="R47" s="82"/>
      <c r="S47" s="22">
        <f t="shared" si="0"/>
        <v>0</v>
      </c>
      <c r="T47" s="22"/>
      <c r="U47" s="31"/>
      <c r="V47" s="51"/>
    </row>
    <row r="48" spans="1:22" ht="20.100000000000001" customHeight="1" x14ac:dyDescent="0.3">
      <c r="A48" s="44">
        <v>40</v>
      </c>
      <c r="B48" s="22">
        <f>+'Order Details Apr23-Mar24'!P48</f>
        <v>45068</v>
      </c>
      <c r="C48" s="23"/>
      <c r="D48" s="53" t="str">
        <f>+'Order Details Apr23-Mar24'!T48</f>
        <v>Crescent Marketing, Hyderabad</v>
      </c>
      <c r="E48" s="25"/>
      <c r="F48" s="183" t="str">
        <f>+'Order Details Apr23-Mar24'!D48</f>
        <v>OXY-LA Injection (Zenex-AH)</v>
      </c>
      <c r="G48" s="184"/>
      <c r="H48" s="26" t="str">
        <f>+'Order Details Apr23-Mar24'!G48</f>
        <v>Ml</v>
      </c>
      <c r="I48" s="27">
        <f>+'Order Details Apr23-Mar24'!I48</f>
        <v>70000</v>
      </c>
      <c r="J48" s="28"/>
      <c r="K48" s="185" t="str">
        <f>+'Order Details Apr23-Mar24'!R48</f>
        <v>PO / NBF / 220523 / 27</v>
      </c>
      <c r="L48" s="186"/>
      <c r="M48" s="187"/>
      <c r="N48" s="100">
        <f>+'Order Details Apr23-Mar24'!F48*'Order Details Apr23-Mar24'!N48</f>
        <v>170520</v>
      </c>
      <c r="O48" s="25"/>
      <c r="P48" s="22"/>
      <c r="Q48" s="26">
        <v>45</v>
      </c>
      <c r="R48" s="82"/>
      <c r="S48" s="22">
        <f t="shared" si="0"/>
        <v>0</v>
      </c>
      <c r="T48" s="22"/>
      <c r="U48" s="31"/>
      <c r="V48" s="51"/>
    </row>
    <row r="49" spans="1:22" ht="20.100000000000001" customHeight="1" x14ac:dyDescent="0.3">
      <c r="A49" s="44">
        <v>41</v>
      </c>
      <c r="B49" s="22">
        <f>+'Order Details Apr23-Mar24'!P49</f>
        <v>45068</v>
      </c>
      <c r="C49" s="23"/>
      <c r="D49" s="53" t="str">
        <f>+'Order Details Apr23-Mar24'!T49</f>
        <v>Venkys India Ltd, AHP Division</v>
      </c>
      <c r="E49" s="25"/>
      <c r="F49" s="183" t="str">
        <f>+'Order Details Apr23-Mar24'!D49</f>
        <v>VENLYTE (AHP-Division)</v>
      </c>
      <c r="G49" s="184"/>
      <c r="H49" s="26" t="str">
        <f>+'Order Details Apr23-Mar24'!G49</f>
        <v>Kg</v>
      </c>
      <c r="I49" s="27">
        <f>+'Order Details Apr23-Mar24'!I49</f>
        <v>100</v>
      </c>
      <c r="J49" s="28"/>
      <c r="K49" s="185" t="str">
        <f>+'Order Details Apr23-Mar24'!R49</f>
        <v>PO / NBF / 220523 / 28</v>
      </c>
      <c r="L49" s="186"/>
      <c r="M49" s="187"/>
      <c r="N49" s="100">
        <f>+'Order Details Apr23-Mar24'!F49*'Order Details Apr23-Mar24'!N49</f>
        <v>13500</v>
      </c>
      <c r="O49" s="25"/>
      <c r="P49" s="22"/>
      <c r="Q49" s="61">
        <v>45</v>
      </c>
      <c r="R49" s="82"/>
      <c r="S49" s="22">
        <f t="shared" si="0"/>
        <v>0</v>
      </c>
      <c r="T49" s="22"/>
      <c r="U49" s="31"/>
      <c r="V49" s="51"/>
    </row>
    <row r="50" spans="1:22" ht="20.100000000000001" customHeight="1" x14ac:dyDescent="0.3">
      <c r="A50" s="44">
        <v>42</v>
      </c>
      <c r="B50" s="22">
        <f>+'Order Details Apr23-Mar24'!P50</f>
        <v>45070</v>
      </c>
      <c r="C50" s="23"/>
      <c r="D50" s="53" t="str">
        <f>+'Order Details Apr23-Mar24'!T50</f>
        <v>Sneha Farms Pvt Ltd, Hyderabad</v>
      </c>
      <c r="E50" s="25"/>
      <c r="F50" s="183" t="str">
        <f>+'Order Details Apr23-Mar24'!D50</f>
        <v>DL Methionine (Evonik)</v>
      </c>
      <c r="G50" s="184"/>
      <c r="H50" s="26" t="str">
        <f>+'Order Details Apr23-Mar24'!G50</f>
        <v>Kg</v>
      </c>
      <c r="I50" s="27">
        <f>+'Order Details Apr23-Mar24'!I50</f>
        <v>500</v>
      </c>
      <c r="J50" s="28"/>
      <c r="K50" s="185" t="str">
        <f>+'Order Details Apr23-Mar24'!R50</f>
        <v>PO / NBF / 240523 / 29</v>
      </c>
      <c r="L50" s="186"/>
      <c r="M50" s="187"/>
      <c r="N50" s="100">
        <f>+'Order Details Apr23-Mar24'!F50*'Order Details Apr23-Mar24'!N50</f>
        <v>109999.59999999999</v>
      </c>
      <c r="O50" s="25"/>
      <c r="P50" s="22"/>
      <c r="Q50" s="26">
        <v>7</v>
      </c>
      <c r="R50" s="82"/>
      <c r="S50" s="22">
        <f t="shared" si="0"/>
        <v>0</v>
      </c>
      <c r="T50" s="22"/>
      <c r="U50" s="31"/>
      <c r="V50" s="51"/>
    </row>
    <row r="51" spans="1:22" ht="20.100000000000001" customHeight="1" x14ac:dyDescent="0.3">
      <c r="A51" s="44">
        <v>43</v>
      </c>
      <c r="B51" s="22">
        <f>+'Order Details Apr23-Mar24'!P51</f>
        <v>45070</v>
      </c>
      <c r="C51" s="23"/>
      <c r="D51" s="53" t="str">
        <f>+'Order Details Apr23-Mar24'!T51</f>
        <v>Sneha Farms Pvt Ltd, Hyderabad</v>
      </c>
      <c r="E51" s="25"/>
      <c r="F51" s="183" t="str">
        <f>+'Order Details Apr23-Mar24'!D51</f>
        <v>Rovimix-E 50% (DSM)</v>
      </c>
      <c r="G51" s="184"/>
      <c r="H51" s="26" t="str">
        <f>+'Order Details Apr23-Mar24'!G51</f>
        <v>Kg</v>
      </c>
      <c r="I51" s="27">
        <f>+'Order Details Apr23-Mar24'!I51</f>
        <v>100</v>
      </c>
      <c r="J51" s="28"/>
      <c r="K51" s="185" t="str">
        <f>+'Order Details Apr23-Mar24'!R51</f>
        <v>PO / NBF / 240523 / 29</v>
      </c>
      <c r="L51" s="186"/>
      <c r="M51" s="187"/>
      <c r="N51" s="100">
        <f>+'Order Details Apr23-Mar24'!F51*'Order Details Apr23-Mar24'!N51</f>
        <v>110000</v>
      </c>
      <c r="O51" s="25"/>
      <c r="P51" s="22"/>
      <c r="Q51" s="26">
        <v>7</v>
      </c>
      <c r="R51" s="82"/>
      <c r="S51" s="22">
        <f t="shared" si="0"/>
        <v>0</v>
      </c>
      <c r="T51" s="22"/>
      <c r="U51" s="31"/>
      <c r="V51" s="51"/>
    </row>
    <row r="52" spans="1:22" ht="20.100000000000001" customHeight="1" x14ac:dyDescent="0.3">
      <c r="A52" s="44">
        <v>44</v>
      </c>
      <c r="B52" s="22">
        <f>+'Order Details Apr23-Mar24'!P52</f>
        <v>45072</v>
      </c>
      <c r="C52" s="23"/>
      <c r="D52" s="53" t="str">
        <f>+'Order Details Apr23-Mar24'!T52</f>
        <v>Quest Agrovest Services Pvt Ltd</v>
      </c>
      <c r="E52" s="25"/>
      <c r="F52" s="183" t="str">
        <f>+'Order Details Apr23-Mar24'!D52</f>
        <v>ALPHA D3 PREMIX (Alura)</v>
      </c>
      <c r="G52" s="184"/>
      <c r="H52" s="26" t="str">
        <f>+'Order Details Apr23-Mar24'!G52</f>
        <v>Kg</v>
      </c>
      <c r="I52" s="27">
        <f>+'Order Details Apr23-Mar24'!I52</f>
        <v>50</v>
      </c>
      <c r="J52" s="28"/>
      <c r="K52" s="185" t="str">
        <f>+'Order Details Apr23-Mar24'!R52</f>
        <v>PO / NBF / 260523 / 30</v>
      </c>
      <c r="L52" s="186"/>
      <c r="M52" s="187"/>
      <c r="N52" s="100">
        <f>+'Order Details Apr23-Mar24'!F52*'Order Details Apr23-Mar24'!N52</f>
        <v>62500</v>
      </c>
      <c r="O52" s="25"/>
      <c r="P52" s="22"/>
      <c r="Q52" s="26">
        <v>30</v>
      </c>
      <c r="R52" s="82"/>
      <c r="S52" s="22">
        <f t="shared" si="0"/>
        <v>0</v>
      </c>
      <c r="T52" s="22"/>
      <c r="U52" s="31"/>
      <c r="V52" s="51"/>
    </row>
    <row r="53" spans="1:22" ht="20.100000000000001" customHeight="1" x14ac:dyDescent="0.3">
      <c r="A53" s="44">
        <v>45</v>
      </c>
      <c r="B53" s="22">
        <f>+'Order Details Apr23-Mar24'!P53</f>
        <v>45078</v>
      </c>
      <c r="C53" s="23"/>
      <c r="D53" s="53" t="str">
        <f>+'Order Details Apr23-Mar24'!T53</f>
        <v>Alltech Biotechnology Pvt Ltd</v>
      </c>
      <c r="E53" s="25"/>
      <c r="F53" s="183" t="str">
        <f>+'Order Details Apr23-Mar24'!D53</f>
        <v>Bioplex Poultry Pak (Alltech)</v>
      </c>
      <c r="G53" s="184"/>
      <c r="H53" s="26" t="str">
        <f>+'Order Details Apr23-Mar24'!G53</f>
        <v>Kg</v>
      </c>
      <c r="I53" s="27">
        <f>+'Order Details Apr23-Mar24'!I53</f>
        <v>500</v>
      </c>
      <c r="J53" s="28"/>
      <c r="K53" s="185" t="str">
        <f>+'Order Details Apr23-Mar24'!R53</f>
        <v>PO / NBF / 010623 / 31</v>
      </c>
      <c r="L53" s="186"/>
      <c r="M53" s="187"/>
      <c r="N53" s="100">
        <f>+'Order Details Apr23-Mar24'!F53*'Order Details Apr23-Mar24'!N53</f>
        <v>110000</v>
      </c>
      <c r="O53" s="25"/>
      <c r="P53" s="22"/>
      <c r="Q53" s="87">
        <v>45</v>
      </c>
      <c r="R53" s="82"/>
      <c r="S53" s="22">
        <f t="shared" si="0"/>
        <v>0</v>
      </c>
      <c r="T53" s="22"/>
      <c r="U53" s="31"/>
      <c r="V53" s="51"/>
    </row>
    <row r="54" spans="1:22" ht="20.100000000000001" customHeight="1" x14ac:dyDescent="0.3">
      <c r="A54" s="44">
        <v>46</v>
      </c>
      <c r="B54" s="22">
        <f>+'Order Details Apr23-Mar24'!P54</f>
        <v>45078</v>
      </c>
      <c r="C54" s="23"/>
      <c r="D54" s="53" t="str">
        <f>+'Order Details Apr23-Mar24'!T54</f>
        <v>Das Drug Centre, Habra</v>
      </c>
      <c r="E54" s="25"/>
      <c r="F54" s="183" t="str">
        <f>+'Order Details Apr23-Mar24'!D54</f>
        <v>HIM-C (Himalaya)</v>
      </c>
      <c r="G54" s="184"/>
      <c r="H54" s="26" t="str">
        <f>+'Order Details Apr23-Mar24'!G54</f>
        <v>Kg</v>
      </c>
      <c r="I54" s="27">
        <f>+'Order Details Apr23-Mar24'!I54</f>
        <v>500</v>
      </c>
      <c r="J54" s="28"/>
      <c r="K54" s="185" t="str">
        <f>+'Order Details Apr23-Mar24'!R54</f>
        <v>PO / NBF / 010623 / 32</v>
      </c>
      <c r="L54" s="186"/>
      <c r="M54" s="187"/>
      <c r="N54" s="100">
        <f>+'Order Details Apr23-Mar24'!F54*'Order Details Apr23-Mar24'!N54</f>
        <v>67500</v>
      </c>
      <c r="O54" s="25"/>
      <c r="P54" s="22"/>
      <c r="Q54" s="26">
        <v>45</v>
      </c>
      <c r="R54" s="82"/>
      <c r="S54" s="22">
        <f t="shared" si="0"/>
        <v>0</v>
      </c>
      <c r="T54" s="22"/>
      <c r="U54" s="31"/>
      <c r="V54" s="51"/>
    </row>
    <row r="55" spans="1:22" ht="20.100000000000001" customHeight="1" x14ac:dyDescent="0.3">
      <c r="A55" s="44">
        <v>47</v>
      </c>
      <c r="B55" s="22">
        <f>+'Order Details Apr23-Mar24'!P55</f>
        <v>45078</v>
      </c>
      <c r="C55" s="23"/>
      <c r="D55" s="53" t="str">
        <f>+'Order Details Apr23-Mar24'!T55</f>
        <v>Das Drug Centre, Habra</v>
      </c>
      <c r="E55" s="25"/>
      <c r="F55" s="183" t="str">
        <f>+'Order Details Apr23-Mar24'!D55</f>
        <v>RUMERIC INJECTION (Virbac)</v>
      </c>
      <c r="G55" s="184"/>
      <c r="H55" s="26" t="str">
        <f>+'Order Details Apr23-Mar24'!G55</f>
        <v>Ml</v>
      </c>
      <c r="I55" s="27">
        <f>+'Order Details Apr23-Mar24'!I55</f>
        <v>10000</v>
      </c>
      <c r="J55" s="28"/>
      <c r="K55" s="185" t="str">
        <f>+'Order Details Apr23-Mar24'!R55</f>
        <v>PO / NBF / 010623 / 32</v>
      </c>
      <c r="L55" s="186"/>
      <c r="M55" s="187"/>
      <c r="N55" s="100">
        <f>+'Order Details Apr23-Mar24'!F55*'Order Details Apr23-Mar24'!N55</f>
        <v>25424</v>
      </c>
      <c r="O55" s="25"/>
      <c r="P55" s="22"/>
      <c r="Q55" s="26">
        <v>45</v>
      </c>
      <c r="R55" s="82"/>
      <c r="S55" s="22">
        <f t="shared" si="0"/>
        <v>0</v>
      </c>
      <c r="T55" s="22"/>
      <c r="U55" s="31"/>
      <c r="V55" s="51"/>
    </row>
    <row r="56" spans="1:22" ht="20.100000000000001" customHeight="1" x14ac:dyDescent="0.3">
      <c r="A56" s="44">
        <v>48</v>
      </c>
      <c r="B56" s="22">
        <f>+'Order Details Apr23-Mar24'!P56</f>
        <v>45078</v>
      </c>
      <c r="C56" s="23"/>
      <c r="D56" s="53" t="str">
        <f>+'Order Details Apr23-Mar24'!T56</f>
        <v>PP &amp; B Mart Pvt Ltd, Habra</v>
      </c>
      <c r="E56" s="25"/>
      <c r="F56" s="183" t="str">
        <f>+'Order Details Apr23-Mar24'!D56</f>
        <v>MASTERSORB (EW Nutrition)</v>
      </c>
      <c r="G56" s="184"/>
      <c r="H56" s="26" t="str">
        <f>+'Order Details Apr23-Mar24'!G56</f>
        <v>Kg</v>
      </c>
      <c r="I56" s="27">
        <f>+'Order Details Apr23-Mar24'!I56</f>
        <v>500</v>
      </c>
      <c r="J56" s="28"/>
      <c r="K56" s="185" t="str">
        <f>+'Order Details Apr23-Mar24'!R56</f>
        <v>PO / NBF / 010623 / 33</v>
      </c>
      <c r="L56" s="186"/>
      <c r="M56" s="187"/>
      <c r="N56" s="100">
        <f>+'Order Details Apr23-Mar24'!F56*'Order Details Apr23-Mar24'!N56</f>
        <v>64000</v>
      </c>
      <c r="O56" s="25"/>
      <c r="P56" s="22"/>
      <c r="Q56" s="26">
        <v>45</v>
      </c>
      <c r="R56" s="82"/>
      <c r="S56" s="22">
        <f t="shared" si="0"/>
        <v>0</v>
      </c>
      <c r="T56" s="22"/>
      <c r="U56" s="31"/>
      <c r="V56" s="51"/>
    </row>
    <row r="57" spans="1:22" ht="20.100000000000001" customHeight="1" x14ac:dyDescent="0.3">
      <c r="A57" s="44">
        <v>49</v>
      </c>
      <c r="B57" s="22">
        <f>+'Order Details Apr23-Mar24'!P57</f>
        <v>45079</v>
      </c>
      <c r="C57" s="23"/>
      <c r="D57" s="53" t="str">
        <f>+'Order Details Apr23-Mar24'!T57</f>
        <v>Stallen South Asia Pvt Ltd</v>
      </c>
      <c r="E57" s="25"/>
      <c r="F57" s="183" t="str">
        <f>+'Order Details Apr23-Mar24'!D57</f>
        <v>STALGRO-8% (Stallen)</v>
      </c>
      <c r="G57" s="184"/>
      <c r="H57" s="26" t="str">
        <f>+'Order Details Apr23-Mar24'!G57</f>
        <v>Kg</v>
      </c>
      <c r="I57" s="27">
        <f>+'Order Details Apr23-Mar24'!I57</f>
        <v>100</v>
      </c>
      <c r="J57" s="28"/>
      <c r="K57" s="185" t="str">
        <f>+'Order Details Apr23-Mar24'!R57</f>
        <v>PO / NBF / 020623 / 34</v>
      </c>
      <c r="L57" s="186"/>
      <c r="M57" s="187"/>
      <c r="N57" s="100">
        <f>+'Order Details Apr23-Mar24'!F57*'Order Details Apr23-Mar24'!N57</f>
        <v>67370</v>
      </c>
      <c r="O57" s="25"/>
      <c r="P57" s="22"/>
      <c r="Q57" s="90">
        <v>45</v>
      </c>
      <c r="R57" s="82"/>
      <c r="S57" s="22">
        <f t="shared" si="0"/>
        <v>0</v>
      </c>
      <c r="T57" s="22"/>
      <c r="U57" s="31"/>
      <c r="V57" s="51"/>
    </row>
    <row r="58" spans="1:22" ht="20.100000000000001" customHeight="1" x14ac:dyDescent="0.3">
      <c r="A58" s="44">
        <v>50</v>
      </c>
      <c r="B58" s="22">
        <f>+'Order Details Apr23-Mar24'!P58</f>
        <v>45080</v>
      </c>
      <c r="C58" s="23"/>
      <c r="D58" s="53" t="str">
        <f>+'Order Details Apr23-Mar24'!T58</f>
        <v>Agrioma Lifesciences, Kolkata</v>
      </c>
      <c r="E58" s="25"/>
      <c r="F58" s="183" t="str">
        <f>+'Order Details Apr23-Mar24'!D58</f>
        <v>LUTAVIT-E 50% (BASF)</v>
      </c>
      <c r="G58" s="184"/>
      <c r="H58" s="26" t="str">
        <f>+'Order Details Apr23-Mar24'!G58</f>
        <v>Kg</v>
      </c>
      <c r="I58" s="27">
        <f>+'Order Details Apr23-Mar24'!I58</f>
        <v>100</v>
      </c>
      <c r="J58" s="28"/>
      <c r="K58" s="185" t="str">
        <f>+'Order Details Apr23-Mar24'!R58</f>
        <v>PO / NBF / 030623 / 35</v>
      </c>
      <c r="L58" s="186"/>
      <c r="M58" s="187"/>
      <c r="N58" s="100">
        <f>+'Order Details Apr23-Mar24'!F58*'Order Details Apr23-Mar24'!N58</f>
        <v>94000</v>
      </c>
      <c r="O58" s="25"/>
      <c r="P58" s="22"/>
      <c r="Q58" s="26">
        <v>7</v>
      </c>
      <c r="R58" s="82"/>
      <c r="S58" s="22">
        <f t="shared" si="0"/>
        <v>0</v>
      </c>
      <c r="T58" s="22"/>
      <c r="U58" s="31"/>
      <c r="V58" s="51"/>
    </row>
    <row r="59" spans="1:22" ht="20.100000000000001" customHeight="1" x14ac:dyDescent="0.3">
      <c r="A59" s="44">
        <v>51</v>
      </c>
      <c r="B59" s="22">
        <f>+'Order Details Apr23-Mar24'!P59</f>
        <v>45082</v>
      </c>
      <c r="C59" s="23"/>
      <c r="D59" s="53" t="str">
        <f>+'Order Details Apr23-Mar24'!T59</f>
        <v>B V Biocrop, Hitech Division</v>
      </c>
      <c r="E59" s="25"/>
      <c r="F59" s="183" t="str">
        <f>+'Order Details Apr23-Mar24'!D59</f>
        <v>AQUAAMAX (B V Biocrop)</v>
      </c>
      <c r="G59" s="184"/>
      <c r="H59" s="26" t="str">
        <f>+'Order Details Apr23-Mar24'!G59</f>
        <v>Ltr</v>
      </c>
      <c r="I59" s="27">
        <f>+'Order Details Apr23-Mar24'!I59</f>
        <v>200</v>
      </c>
      <c r="J59" s="28"/>
      <c r="K59" s="185" t="str">
        <f>+'Order Details Apr23-Mar24'!R59</f>
        <v>PO / NBF / 050623 / 36</v>
      </c>
      <c r="L59" s="186"/>
      <c r="M59" s="187"/>
      <c r="N59" s="100">
        <f>+'Order Details Apr23-Mar24'!F59*'Order Details Apr23-Mar24'!N59</f>
        <v>21570.400000000001</v>
      </c>
      <c r="O59" s="25"/>
      <c r="P59" s="22"/>
      <c r="Q59" s="61">
        <v>45</v>
      </c>
      <c r="R59" s="82"/>
      <c r="S59" s="22">
        <f t="shared" si="0"/>
        <v>0</v>
      </c>
      <c r="T59" s="22"/>
      <c r="U59" s="31"/>
      <c r="V59" s="51"/>
    </row>
    <row r="60" spans="1:22" ht="20.100000000000001" customHeight="1" x14ac:dyDescent="0.3">
      <c r="A60" s="44">
        <v>52</v>
      </c>
      <c r="B60" s="22">
        <f>+'Order Details Apr23-Mar24'!P60</f>
        <v>45082</v>
      </c>
      <c r="C60" s="23"/>
      <c r="D60" s="53" t="str">
        <f>+'Order Details Apr23-Mar24'!T60</f>
        <v>B V Biocrop, Hitech Division</v>
      </c>
      <c r="E60" s="25"/>
      <c r="F60" s="183" t="str">
        <f>+'Order Details Apr23-Mar24'!D60</f>
        <v>B-904 (BV Biocrop)</v>
      </c>
      <c r="G60" s="184"/>
      <c r="H60" s="26" t="str">
        <f>+'Order Details Apr23-Mar24'!G60</f>
        <v>Ltr</v>
      </c>
      <c r="I60" s="27">
        <f>+'Order Details Apr23-Mar24'!I60</f>
        <v>100</v>
      </c>
      <c r="J60" s="28"/>
      <c r="K60" s="185" t="str">
        <f>+'Order Details Apr23-Mar24'!R60</f>
        <v>PO / NBF / 050623 / 36</v>
      </c>
      <c r="L60" s="186"/>
      <c r="M60" s="187"/>
      <c r="N60" s="100">
        <f>+'Order Details Apr23-Mar24'!F60*'Order Details Apr23-Mar24'!N60</f>
        <v>77242.8</v>
      </c>
      <c r="O60" s="25"/>
      <c r="P60" s="22"/>
      <c r="Q60" s="61">
        <v>45</v>
      </c>
      <c r="R60" s="82"/>
      <c r="S60" s="22">
        <f t="shared" si="0"/>
        <v>0</v>
      </c>
      <c r="T60" s="22"/>
      <c r="U60" s="31"/>
      <c r="V60" s="51"/>
    </row>
    <row r="61" spans="1:22" ht="20.100000000000001" customHeight="1" x14ac:dyDescent="0.3">
      <c r="A61" s="44">
        <v>53</v>
      </c>
      <c r="B61" s="22">
        <f>+'Order Details Apr23-Mar24'!P61</f>
        <v>45082</v>
      </c>
      <c r="C61" s="23"/>
      <c r="D61" s="53" t="str">
        <f>+'Order Details Apr23-Mar24'!T61</f>
        <v>B V Biocrop, Hitech Division</v>
      </c>
      <c r="E61" s="25"/>
      <c r="F61" s="183" t="str">
        <f>+'Order Details Apr23-Mar24'!D61</f>
        <v>SAFEGURD (B V Biocrop)</v>
      </c>
      <c r="G61" s="184"/>
      <c r="H61" s="26" t="str">
        <f>+'Order Details Apr23-Mar24'!G61</f>
        <v>Ltr</v>
      </c>
      <c r="I61" s="27">
        <f>+'Order Details Apr23-Mar24'!I61</f>
        <v>100</v>
      </c>
      <c r="J61" s="28"/>
      <c r="K61" s="185" t="str">
        <f>+'Order Details Apr23-Mar24'!R61</f>
        <v>PO / NBF / 050623 / 36</v>
      </c>
      <c r="L61" s="186"/>
      <c r="M61" s="187"/>
      <c r="N61" s="100">
        <f>+'Order Details Apr23-Mar24'!F61*'Order Details Apr23-Mar24'!N61</f>
        <v>26856.799999999999</v>
      </c>
      <c r="O61" s="25"/>
      <c r="P61" s="22"/>
      <c r="Q61" s="61">
        <v>45</v>
      </c>
      <c r="R61" s="82"/>
      <c r="S61" s="22">
        <f t="shared" si="0"/>
        <v>0</v>
      </c>
      <c r="T61" s="22"/>
      <c r="U61" s="31"/>
      <c r="V61" s="51"/>
    </row>
    <row r="62" spans="1:22" ht="20.100000000000001" customHeight="1" x14ac:dyDescent="0.3">
      <c r="A62" s="44">
        <v>54</v>
      </c>
      <c r="B62" s="22">
        <f>+'Order Details Apr23-Mar24'!P62</f>
        <v>45082</v>
      </c>
      <c r="C62" s="23"/>
      <c r="D62" s="53" t="str">
        <f>+'Order Details Apr23-Mar24'!T62</f>
        <v>Das Drug Centre, Habra</v>
      </c>
      <c r="E62" s="25"/>
      <c r="F62" s="183" t="str">
        <f>+'Order Details Apr23-Mar24'!D62</f>
        <v>ENROCIN (Zoetis)</v>
      </c>
      <c r="G62" s="184"/>
      <c r="H62" s="26" t="str">
        <f>+'Order Details Apr23-Mar24'!G62</f>
        <v>Ltr</v>
      </c>
      <c r="I62" s="27">
        <f>+'Order Details Apr23-Mar24'!I62</f>
        <v>100</v>
      </c>
      <c r="J62" s="28"/>
      <c r="K62" s="185" t="str">
        <f>+'Order Details Apr23-Mar24'!R62</f>
        <v>PO / NBF / 050623 / 37</v>
      </c>
      <c r="L62" s="186"/>
      <c r="M62" s="187"/>
      <c r="N62" s="100">
        <f>+'Order Details Apr23-Mar24'!F62*'Order Details Apr23-Mar24'!N62</f>
        <v>57120</v>
      </c>
      <c r="O62" s="25"/>
      <c r="P62" s="22"/>
      <c r="Q62" s="26">
        <v>45</v>
      </c>
      <c r="R62" s="82"/>
      <c r="S62" s="22">
        <f t="shared" si="0"/>
        <v>0</v>
      </c>
      <c r="T62" s="22"/>
      <c r="U62" s="31"/>
      <c r="V62" s="51"/>
    </row>
    <row r="63" spans="1:22" ht="20.100000000000001" customHeight="1" x14ac:dyDescent="0.3">
      <c r="A63" s="44">
        <v>55</v>
      </c>
      <c r="B63" s="22">
        <f>+'Order Details Apr23-Mar24'!P63</f>
        <v>45082</v>
      </c>
      <c r="C63" s="23"/>
      <c r="D63" s="53" t="str">
        <f>+'Order Details Apr23-Mar24'!T63</f>
        <v>Das Drug Centre, Habra</v>
      </c>
      <c r="E63" s="25"/>
      <c r="F63" s="183" t="str">
        <f>+'Order Details Apr23-Mar24'!D63</f>
        <v>EKTOMIN (Elanco)</v>
      </c>
      <c r="G63" s="184"/>
      <c r="H63" s="26" t="str">
        <f>+'Order Details Apr23-Mar24'!G63</f>
        <v>Ltr</v>
      </c>
      <c r="I63" s="27">
        <f>+'Order Details Apr23-Mar24'!I63</f>
        <v>100</v>
      </c>
      <c r="J63" s="28"/>
      <c r="K63" s="185" t="str">
        <f>+'Order Details Apr23-Mar24'!R63</f>
        <v>PO / NBF / 050623 / 37</v>
      </c>
      <c r="L63" s="186"/>
      <c r="M63" s="187"/>
      <c r="N63" s="100">
        <f>+'Order Details Apr23-Mar24'!F63*'Order Details Apr23-Mar24'!N63</f>
        <v>72128</v>
      </c>
      <c r="O63" s="25"/>
      <c r="P63" s="22"/>
      <c r="Q63" s="26">
        <v>45</v>
      </c>
      <c r="R63" s="82"/>
      <c r="S63" s="22">
        <f t="shared" si="0"/>
        <v>0</v>
      </c>
      <c r="T63" s="22"/>
      <c r="U63" s="31"/>
      <c r="V63" s="51"/>
    </row>
    <row r="64" spans="1:22" ht="20.100000000000001" customHeight="1" x14ac:dyDescent="0.3">
      <c r="A64" s="44">
        <v>56</v>
      </c>
      <c r="B64" s="22">
        <f>+'Order Details Apr23-Mar24'!P64</f>
        <v>45082</v>
      </c>
      <c r="C64" s="23"/>
      <c r="D64" s="53" t="str">
        <f>+'Order Details Apr23-Mar24'!T64</f>
        <v>Das Drug Centre, Habra</v>
      </c>
      <c r="E64" s="25"/>
      <c r="F64" s="183" t="str">
        <f>+'Order Details Apr23-Mar24'!D64</f>
        <v>FAMITONE (Zenex AH)</v>
      </c>
      <c r="G64" s="184"/>
      <c r="H64" s="26" t="str">
        <f>+'Order Details Apr23-Mar24'!G64</f>
        <v>Ltr</v>
      </c>
      <c r="I64" s="27">
        <f>+'Order Details Apr23-Mar24'!I64</f>
        <v>96</v>
      </c>
      <c r="J64" s="28"/>
      <c r="K64" s="185" t="str">
        <f>+'Order Details Apr23-Mar24'!R64</f>
        <v>PO / NBF / 050623 / 37</v>
      </c>
      <c r="L64" s="186"/>
      <c r="M64" s="187"/>
      <c r="N64" s="100">
        <f>+'Order Details Apr23-Mar24'!F64*'Order Details Apr23-Mar24'!N64</f>
        <v>55680</v>
      </c>
      <c r="O64" s="25"/>
      <c r="P64" s="22"/>
      <c r="Q64" s="26">
        <v>45</v>
      </c>
      <c r="R64" s="82"/>
      <c r="S64" s="22">
        <f t="shared" si="0"/>
        <v>0</v>
      </c>
      <c r="T64" s="22"/>
      <c r="U64" s="31"/>
      <c r="V64" s="51"/>
    </row>
    <row r="65" spans="1:22" ht="20.100000000000001" customHeight="1" x14ac:dyDescent="0.3">
      <c r="A65" s="44">
        <v>57</v>
      </c>
      <c r="B65" s="22">
        <f>+'Order Details Apr23-Mar24'!P65</f>
        <v>45082</v>
      </c>
      <c r="C65" s="23"/>
      <c r="D65" s="53" t="str">
        <f>+'Order Details Apr23-Mar24'!T65</f>
        <v>Das Drug Centre, Habra</v>
      </c>
      <c r="E65" s="25"/>
      <c r="F65" s="183" t="str">
        <f>+'Order Details Apr23-Mar24'!D65</f>
        <v>PROTEXIN WS (Elanco)</v>
      </c>
      <c r="G65" s="184"/>
      <c r="H65" s="26" t="str">
        <f>+'Order Details Apr23-Mar24'!G65</f>
        <v>Gms</v>
      </c>
      <c r="I65" s="27">
        <f>+'Order Details Apr23-Mar24'!I65</f>
        <v>24000</v>
      </c>
      <c r="J65" s="28"/>
      <c r="K65" s="185" t="str">
        <f>+'Order Details Apr23-Mar24'!R65</f>
        <v>PO / NBF / 050623 / 37</v>
      </c>
      <c r="L65" s="186"/>
      <c r="M65" s="187"/>
      <c r="N65" s="100">
        <f>+'Order Details Apr23-Mar24'!F65*'Order Details Apr23-Mar24'!N65</f>
        <v>52512</v>
      </c>
      <c r="O65" s="25"/>
      <c r="P65" s="22"/>
      <c r="Q65" s="26">
        <v>45</v>
      </c>
      <c r="R65" s="82"/>
      <c r="S65" s="22">
        <f t="shared" si="0"/>
        <v>0</v>
      </c>
      <c r="T65" s="22"/>
      <c r="U65" s="31"/>
      <c r="V65" s="51"/>
    </row>
    <row r="66" spans="1:22" ht="20.100000000000001" customHeight="1" x14ac:dyDescent="0.3">
      <c r="A66" s="44">
        <v>58</v>
      </c>
      <c r="B66" s="22">
        <f>+'Order Details Apr23-Mar24'!P66</f>
        <v>45082</v>
      </c>
      <c r="C66" s="23"/>
      <c r="D66" s="53" t="str">
        <f>+'Order Details Apr23-Mar24'!T66</f>
        <v>Das Drug Centre, Habra</v>
      </c>
      <c r="E66" s="25"/>
      <c r="F66" s="183" t="str">
        <f>+'Order Details Apr23-Mar24'!D66</f>
        <v>SELVO-BH (Alivira)</v>
      </c>
      <c r="G66" s="184"/>
      <c r="H66" s="26" t="str">
        <f>+'Order Details Apr23-Mar24'!G66</f>
        <v>Ltr</v>
      </c>
      <c r="I66" s="27">
        <f>+'Order Details Apr23-Mar24'!I66</f>
        <v>100</v>
      </c>
      <c r="J66" s="28"/>
      <c r="K66" s="185" t="str">
        <f>+'Order Details Apr23-Mar24'!R66</f>
        <v>PO / NBF / 050623 / 37</v>
      </c>
      <c r="L66" s="186"/>
      <c r="M66" s="187"/>
      <c r="N66" s="100">
        <f>+'Order Details Apr23-Mar24'!F66*'Order Details Apr23-Mar24'!N66</f>
        <v>95200</v>
      </c>
      <c r="O66" s="25"/>
      <c r="P66" s="22"/>
      <c r="Q66" s="26">
        <v>45</v>
      </c>
      <c r="R66" s="82"/>
      <c r="S66" s="22">
        <f t="shared" si="0"/>
        <v>0</v>
      </c>
      <c r="T66" s="22"/>
      <c r="U66" s="31"/>
      <c r="V66" s="51"/>
    </row>
    <row r="67" spans="1:22" ht="20.100000000000001" customHeight="1" x14ac:dyDescent="0.3">
      <c r="A67" s="44">
        <v>59</v>
      </c>
      <c r="B67" s="22">
        <f>+'Order Details Apr23-Mar24'!P67</f>
        <v>45082</v>
      </c>
      <c r="C67" s="23"/>
      <c r="D67" s="53" t="str">
        <f>+'Order Details Apr23-Mar24'!T67</f>
        <v>Das Drug Centre, Habra</v>
      </c>
      <c r="E67" s="25"/>
      <c r="F67" s="183" t="str">
        <f>+'Order Details Apr23-Mar24'!D67</f>
        <v>TYLOMAX Injection (Intas)</v>
      </c>
      <c r="G67" s="184"/>
      <c r="H67" s="26" t="str">
        <f>+'Order Details Apr23-Mar24'!G67</f>
        <v>Ml</v>
      </c>
      <c r="I67" s="27">
        <f>+'Order Details Apr23-Mar24'!I67</f>
        <v>5000</v>
      </c>
      <c r="J67" s="28"/>
      <c r="K67" s="185" t="str">
        <f>+'Order Details Apr23-Mar24'!R67</f>
        <v>PO / NBF / 050623 / 37</v>
      </c>
      <c r="L67" s="186"/>
      <c r="M67" s="187"/>
      <c r="N67" s="100">
        <f>+'Order Details Apr23-Mar24'!F67*'Order Details Apr23-Mar24'!N67</f>
        <v>12600</v>
      </c>
      <c r="O67" s="25"/>
      <c r="P67" s="22"/>
      <c r="Q67" s="26">
        <v>45</v>
      </c>
      <c r="R67" s="82"/>
      <c r="S67" s="22">
        <f t="shared" si="0"/>
        <v>0</v>
      </c>
      <c r="T67" s="22"/>
      <c r="U67" s="31"/>
      <c r="V67" s="51"/>
    </row>
    <row r="68" spans="1:22" ht="20.100000000000001" customHeight="1" x14ac:dyDescent="0.3">
      <c r="A68" s="44">
        <v>60</v>
      </c>
      <c r="B68" s="22">
        <f>+'Order Details Apr23-Mar24'!P68</f>
        <v>45082</v>
      </c>
      <c r="C68" s="23"/>
      <c r="D68" s="53" t="str">
        <f>+'Order Details Apr23-Mar24'!T68</f>
        <v>Das Drug Centre, Habra</v>
      </c>
      <c r="E68" s="25"/>
      <c r="F68" s="183" t="str">
        <f>+'Order Details Apr23-Mar24'!D68</f>
        <v>TAMIK Injection (TTK)</v>
      </c>
      <c r="G68" s="184"/>
      <c r="H68" s="26" t="str">
        <f>+'Order Details Apr23-Mar24'!G68</f>
        <v>Ml</v>
      </c>
      <c r="I68" s="27">
        <f>+'Order Details Apr23-Mar24'!I68</f>
        <v>5000</v>
      </c>
      <c r="J68" s="28"/>
      <c r="K68" s="185" t="str">
        <f>+'Order Details Apr23-Mar24'!R68</f>
        <v>PO / NBF / 050623 / 37</v>
      </c>
      <c r="L68" s="186"/>
      <c r="M68" s="187"/>
      <c r="N68" s="100">
        <f>+'Order Details Apr23-Mar24'!F68*'Order Details Apr23-Mar24'!N68</f>
        <v>38482.5</v>
      </c>
      <c r="O68" s="25"/>
      <c r="P68" s="22"/>
      <c r="Q68" s="26">
        <v>45</v>
      </c>
      <c r="R68" s="82"/>
      <c r="S68" s="22">
        <f t="shared" si="0"/>
        <v>0</v>
      </c>
      <c r="T68" s="22"/>
      <c r="U68" s="31"/>
      <c r="V68" s="51"/>
    </row>
    <row r="69" spans="1:22" ht="20.100000000000001" customHeight="1" x14ac:dyDescent="0.3">
      <c r="A69" s="44">
        <v>61</v>
      </c>
      <c r="B69" s="22">
        <f>+'Order Details Apr23-Mar24'!P69</f>
        <v>45082</v>
      </c>
      <c r="C69" s="23"/>
      <c r="D69" s="53" t="str">
        <f>+'Order Details Apr23-Mar24'!T69</f>
        <v>Das Drug Centre, Habra</v>
      </c>
      <c r="E69" s="25"/>
      <c r="F69" s="183" t="str">
        <f>+'Order Details Apr23-Mar24'!D69</f>
        <v>URIMIN Injection (Virbac)</v>
      </c>
      <c r="G69" s="184"/>
      <c r="H69" s="26" t="str">
        <f>+'Order Details Apr23-Mar24'!G69</f>
        <v>Ml</v>
      </c>
      <c r="I69" s="27">
        <f>+'Order Details Apr23-Mar24'!I69</f>
        <v>6000</v>
      </c>
      <c r="J69" s="28"/>
      <c r="K69" s="185" t="str">
        <f>+'Order Details Apr23-Mar24'!R69</f>
        <v>PO / NBF / 050623 / 37</v>
      </c>
      <c r="L69" s="186"/>
      <c r="M69" s="187"/>
      <c r="N69" s="100">
        <f>+'Order Details Apr23-Mar24'!F69*'Order Details Apr23-Mar24'!N69</f>
        <v>21452.928</v>
      </c>
      <c r="O69" s="25"/>
      <c r="P69" s="22"/>
      <c r="Q69" s="26">
        <v>45</v>
      </c>
      <c r="R69" s="82"/>
      <c r="S69" s="22">
        <f t="shared" si="0"/>
        <v>0</v>
      </c>
      <c r="T69" s="22"/>
      <c r="U69" s="31"/>
      <c r="V69" s="51"/>
    </row>
    <row r="70" spans="1:22" ht="20.100000000000001" customHeight="1" x14ac:dyDescent="0.3">
      <c r="A70" s="44">
        <v>62</v>
      </c>
      <c r="B70" s="22">
        <f>+'Order Details Apr23-Mar24'!P70</f>
        <v>45082</v>
      </c>
      <c r="C70" s="23"/>
      <c r="D70" s="53" t="str">
        <f>+'Order Details Apr23-Mar24'!T70</f>
        <v>Healers Associates, Vijayawada</v>
      </c>
      <c r="E70" s="25"/>
      <c r="F70" s="183" t="str">
        <f>+'Order Details Apr23-Mar24'!D70</f>
        <v>SANEXT (Medichem Product)</v>
      </c>
      <c r="G70" s="184"/>
      <c r="H70" s="26" t="str">
        <f>+'Order Details Apr23-Mar24'!G70</f>
        <v>Kg</v>
      </c>
      <c r="I70" s="27">
        <f>+'Order Details Apr23-Mar24'!I70</f>
        <v>10</v>
      </c>
      <c r="J70" s="28"/>
      <c r="K70" s="185" t="str">
        <f>+'Order Details Apr23-Mar24'!R70</f>
        <v>PO / NBF / 050623 / 38</v>
      </c>
      <c r="L70" s="186"/>
      <c r="M70" s="187"/>
      <c r="N70" s="100">
        <f>+'Order Details Apr23-Mar24'!F70*'Order Details Apr23-Mar24'!N70</f>
        <v>30680</v>
      </c>
      <c r="O70" s="25"/>
      <c r="P70" s="22"/>
      <c r="Q70" s="26">
        <v>45</v>
      </c>
      <c r="R70" s="82"/>
      <c r="S70" s="22">
        <f t="shared" si="0"/>
        <v>0</v>
      </c>
      <c r="T70" s="22"/>
      <c r="U70" s="31"/>
      <c r="V70" s="51"/>
    </row>
    <row r="71" spans="1:22" ht="20.100000000000001" customHeight="1" x14ac:dyDescent="0.3">
      <c r="A71" s="44">
        <v>63</v>
      </c>
      <c r="B71" s="22">
        <f>+'Order Details Apr23-Mar24'!P71</f>
        <v>45082</v>
      </c>
      <c r="C71" s="23"/>
      <c r="D71" s="53" t="str">
        <f>+'Order Details Apr23-Mar24'!T71</f>
        <v>Izda Healthcare, Ambala Cantonment</v>
      </c>
      <c r="E71" s="25"/>
      <c r="F71" s="183" t="str">
        <f>+'Order Details Apr23-Mar24'!D71</f>
        <v>Deforce Injection (Izda Healthcare)</v>
      </c>
      <c r="G71" s="184"/>
      <c r="H71" s="26" t="str">
        <f>+'Order Details Apr23-Mar24'!G71</f>
        <v>Ml</v>
      </c>
      <c r="I71" s="27">
        <f>+'Order Details Apr23-Mar24'!I71</f>
        <v>500</v>
      </c>
      <c r="J71" s="28"/>
      <c r="K71" s="185" t="str">
        <f>+'Order Details Apr23-Mar24'!R71</f>
        <v>PO / NBF / 050623 / 39</v>
      </c>
      <c r="L71" s="186"/>
      <c r="M71" s="187"/>
      <c r="N71" s="100">
        <f>+'Order Details Apr23-Mar24'!F71*'Order Details Apr23-Mar24'!N71</f>
        <v>42000</v>
      </c>
      <c r="O71" s="25"/>
      <c r="P71" s="22"/>
      <c r="Q71" s="26">
        <v>45</v>
      </c>
      <c r="R71" s="82"/>
      <c r="S71" s="22">
        <f t="shared" si="0"/>
        <v>0</v>
      </c>
      <c r="T71" s="22"/>
      <c r="U71" s="31"/>
      <c r="V71" s="51"/>
    </row>
    <row r="72" spans="1:22" ht="20.100000000000001" customHeight="1" x14ac:dyDescent="0.3">
      <c r="A72" s="44">
        <v>64</v>
      </c>
      <c r="B72" s="22">
        <f>+'Order Details Apr23-Mar24'!P72</f>
        <v>45082</v>
      </c>
      <c r="C72" s="23"/>
      <c r="D72" s="53" t="str">
        <f>+'Order Details Apr23-Mar24'!T72</f>
        <v>We Care Animal Health, Bengal</v>
      </c>
      <c r="E72" s="25"/>
      <c r="F72" s="183" t="str">
        <f>+'Order Details Apr23-Mar24'!D72</f>
        <v>FLYVIN (We Care Animal Health)</v>
      </c>
      <c r="G72" s="184"/>
      <c r="H72" s="26" t="str">
        <f>+'Order Details Apr23-Mar24'!G72</f>
        <v>Kg</v>
      </c>
      <c r="I72" s="27">
        <f>+'Order Details Apr23-Mar24'!I72</f>
        <v>100</v>
      </c>
      <c r="J72" s="28"/>
      <c r="K72" s="185" t="str">
        <f>+'Order Details Apr23-Mar24'!R72</f>
        <v>PO / NBF / 050623 / 40</v>
      </c>
      <c r="L72" s="186"/>
      <c r="M72" s="187"/>
      <c r="N72" s="100">
        <f>+'Order Details Apr23-Mar24'!F72*'Order Details Apr23-Mar24'!N72</f>
        <v>72000</v>
      </c>
      <c r="O72" s="25"/>
      <c r="P72" s="22"/>
      <c r="Q72" s="26">
        <v>45</v>
      </c>
      <c r="R72" s="82"/>
      <c r="S72" s="22">
        <f t="shared" si="0"/>
        <v>0</v>
      </c>
      <c r="T72" s="22"/>
      <c r="U72" s="31"/>
      <c r="V72" s="51"/>
    </row>
    <row r="73" spans="1:22" ht="20.100000000000001" customHeight="1" x14ac:dyDescent="0.3">
      <c r="A73" s="44">
        <v>65</v>
      </c>
      <c r="B73" s="22">
        <f>+'Order Details Apr23-Mar24'!P73</f>
        <v>45084</v>
      </c>
      <c r="C73" s="23"/>
      <c r="D73" s="53" t="str">
        <f>+'Order Details Apr23-Mar24'!T73</f>
        <v>Hester Biosciences Limited</v>
      </c>
      <c r="E73" s="25"/>
      <c r="F73" s="183" t="str">
        <f>+'Order Details Apr23-Mar24'!D73</f>
        <v>INACTIVATED EDS VACCINE</v>
      </c>
      <c r="G73" s="184"/>
      <c r="H73" s="26" t="str">
        <f>+'Order Details Apr23-Mar24'!G73</f>
        <v>Dose</v>
      </c>
      <c r="I73" s="27">
        <f>+'Order Details Apr23-Mar24'!I73</f>
        <v>42000</v>
      </c>
      <c r="J73" s="28"/>
      <c r="K73" s="185" t="str">
        <f>+'Order Details Apr23-Mar24'!R73</f>
        <v>PO / NBF / 070623 / 41</v>
      </c>
      <c r="L73" s="186"/>
      <c r="M73" s="187"/>
      <c r="N73" s="100">
        <f>+'Order Details Apr23-Mar24'!F73*'Order Details Apr23-Mar24'!N73</f>
        <v>50715</v>
      </c>
      <c r="O73" s="25"/>
      <c r="P73" s="22"/>
      <c r="Q73" s="87">
        <v>45</v>
      </c>
      <c r="R73" s="82"/>
      <c r="S73" s="22">
        <f t="shared" si="0"/>
        <v>0</v>
      </c>
      <c r="T73" s="22"/>
      <c r="U73" s="31"/>
      <c r="V73" s="51"/>
    </row>
    <row r="74" spans="1:22" ht="20.100000000000001" customHeight="1" x14ac:dyDescent="0.3">
      <c r="A74" s="44">
        <v>66</v>
      </c>
      <c r="B74" s="22">
        <f>+'Order Details Apr23-Mar24'!P74</f>
        <v>45084</v>
      </c>
      <c r="C74" s="23"/>
      <c r="D74" s="53" t="str">
        <f>+'Order Details Apr23-Mar24'!T74</f>
        <v>Hester Biosciences Limited</v>
      </c>
      <c r="E74" s="25"/>
      <c r="F74" s="183" t="str">
        <f>+'Order Details Apr23-Mar24'!D74</f>
        <v>INACTIVATED PULLET ND (HPAI)</v>
      </c>
      <c r="G74" s="184"/>
      <c r="H74" s="26" t="str">
        <f>+'Order Details Apr23-Mar24'!G74</f>
        <v>Dose</v>
      </c>
      <c r="I74" s="27">
        <f>+'Order Details Apr23-Mar24'!I74</f>
        <v>39000</v>
      </c>
      <c r="J74" s="28"/>
      <c r="K74" s="185" t="str">
        <f>+'Order Details Apr23-Mar24'!R74</f>
        <v>PO / NBF / 070623 / 41</v>
      </c>
      <c r="L74" s="186"/>
      <c r="M74" s="187"/>
      <c r="N74" s="100">
        <f>+'Order Details Apr23-Mar24'!F74*'Order Details Apr23-Mar24'!N74</f>
        <v>99723.487499999988</v>
      </c>
      <c r="O74" s="25"/>
      <c r="P74" s="22"/>
      <c r="Q74" s="87">
        <v>45</v>
      </c>
      <c r="R74" s="82"/>
      <c r="S74" s="22">
        <f t="shared" ref="S74:S137" si="1">P74+R74</f>
        <v>0</v>
      </c>
      <c r="T74" s="22"/>
      <c r="U74" s="31"/>
      <c r="V74" s="51"/>
    </row>
    <row r="75" spans="1:22" ht="20.100000000000001" customHeight="1" x14ac:dyDescent="0.3">
      <c r="A75" s="44">
        <v>67</v>
      </c>
      <c r="B75" s="22">
        <f>+'Order Details Apr23-Mar24'!P75</f>
        <v>45084</v>
      </c>
      <c r="C75" s="23"/>
      <c r="D75" s="53" t="str">
        <f>+'Order Details Apr23-Mar24'!T75</f>
        <v>Venkateshwara Hatcheries Ltd</v>
      </c>
      <c r="E75" s="25"/>
      <c r="F75" s="183" t="str">
        <f>+'Order Details Apr23-Mar24'!D75</f>
        <v>IBD KILLED VAC (Venkys)</v>
      </c>
      <c r="G75" s="184"/>
      <c r="H75" s="26" t="str">
        <f>+'Order Details Apr23-Mar24'!G75</f>
        <v>Dose</v>
      </c>
      <c r="I75" s="27">
        <f>+'Order Details Apr23-Mar24'!I75</f>
        <v>70000</v>
      </c>
      <c r="J75" s="28"/>
      <c r="K75" s="185" t="str">
        <f>+'Order Details Apr23-Mar24'!R75</f>
        <v>PO / NBF / 070623 / 42</v>
      </c>
      <c r="L75" s="186"/>
      <c r="M75" s="187"/>
      <c r="N75" s="100">
        <f>+'Order Details Apr23-Mar24'!F75*'Order Details Apr23-Mar24'!N75</f>
        <v>65856</v>
      </c>
      <c r="O75" s="25"/>
      <c r="P75" s="22"/>
      <c r="Q75" s="61">
        <v>45</v>
      </c>
      <c r="R75" s="82"/>
      <c r="S75" s="22">
        <f t="shared" si="1"/>
        <v>0</v>
      </c>
      <c r="T75" s="22"/>
      <c r="U75" s="31"/>
      <c r="V75" s="51"/>
    </row>
    <row r="76" spans="1:22" ht="20.100000000000001" customHeight="1" x14ac:dyDescent="0.3">
      <c r="A76" s="44">
        <v>68</v>
      </c>
      <c r="B76" s="22">
        <f>+'Order Details Apr23-Mar24'!P76</f>
        <v>45084</v>
      </c>
      <c r="C76" s="23"/>
      <c r="D76" s="53" t="str">
        <f>+'Order Details Apr23-Mar24'!T76</f>
        <v>Venkateshwara Hatcheries Ltd</v>
      </c>
      <c r="E76" s="25"/>
      <c r="F76" s="183" t="str">
        <f>+'Order Details Apr23-Mar24'!D76</f>
        <v>IB ASTRO (AEIBH) KILLED VAC</v>
      </c>
      <c r="G76" s="184"/>
      <c r="H76" s="26" t="str">
        <f>+'Order Details Apr23-Mar24'!G76</f>
        <v>Dose</v>
      </c>
      <c r="I76" s="27">
        <f>+'Order Details Apr23-Mar24'!I76</f>
        <v>42000</v>
      </c>
      <c r="J76" s="28"/>
      <c r="K76" s="185" t="str">
        <f>+'Order Details Apr23-Mar24'!R76</f>
        <v>PO / NBF / 070623 / 42</v>
      </c>
      <c r="L76" s="186"/>
      <c r="M76" s="187"/>
      <c r="N76" s="100">
        <f>+'Order Details Apr23-Mar24'!F76*'Order Details Apr23-Mar24'!N76</f>
        <v>143545.5</v>
      </c>
      <c r="O76" s="25"/>
      <c r="P76" s="22"/>
      <c r="Q76" s="61">
        <v>45</v>
      </c>
      <c r="R76" s="82"/>
      <c r="S76" s="22">
        <f t="shared" si="1"/>
        <v>0</v>
      </c>
      <c r="T76" s="22"/>
      <c r="U76" s="31"/>
      <c r="V76" s="51"/>
    </row>
    <row r="77" spans="1:22" ht="20.100000000000001" customHeight="1" x14ac:dyDescent="0.3">
      <c r="A77" s="44">
        <v>69</v>
      </c>
      <c r="B77" s="22">
        <f>+'Order Details Apr23-Mar24'!P77</f>
        <v>45084</v>
      </c>
      <c r="C77" s="23"/>
      <c r="D77" s="53" t="str">
        <f>+'Order Details Apr23-Mar24'!T77</f>
        <v>Venkateshwara Hatcheries Ltd</v>
      </c>
      <c r="E77" s="25"/>
      <c r="F77" s="183" t="str">
        <f>+'Order Details Apr23-Mar24'!D77</f>
        <v>VH V-4K (4-Way) KILLED VAC</v>
      </c>
      <c r="G77" s="184"/>
      <c r="H77" s="26" t="str">
        <f>+'Order Details Apr23-Mar24'!G77</f>
        <v>Dose</v>
      </c>
      <c r="I77" s="27">
        <f>+'Order Details Apr23-Mar24'!I77</f>
        <v>37000</v>
      </c>
      <c r="J77" s="28"/>
      <c r="K77" s="185" t="str">
        <f>+'Order Details Apr23-Mar24'!R77</f>
        <v>PO / NBF / 070623 / 42</v>
      </c>
      <c r="L77" s="186"/>
      <c r="M77" s="187"/>
      <c r="N77" s="100">
        <f>+'Order Details Apr23-Mar24'!F77*'Order Details Apr23-Mar24'!N77</f>
        <v>203962.5</v>
      </c>
      <c r="O77" s="25"/>
      <c r="P77" s="22"/>
      <c r="Q77" s="61">
        <v>45</v>
      </c>
      <c r="R77" s="82"/>
      <c r="S77" s="22">
        <f t="shared" si="1"/>
        <v>0</v>
      </c>
      <c r="T77" s="22"/>
      <c r="U77" s="31"/>
      <c r="V77" s="51"/>
    </row>
    <row r="78" spans="1:22" ht="20.100000000000001" customHeight="1" x14ac:dyDescent="0.3">
      <c r="A78" s="44">
        <v>70</v>
      </c>
      <c r="B78" s="22">
        <f>+'Order Details Apr23-Mar24'!P78</f>
        <v>45158</v>
      </c>
      <c r="C78" s="23"/>
      <c r="D78" s="53" t="str">
        <f>+'Order Details Apr23-Mar24'!T78</f>
        <v>Kemin Industries South Asia</v>
      </c>
      <c r="E78" s="25"/>
      <c r="F78" s="183" t="str">
        <f>+'Order Details Apr23-Mar24'!D78</f>
        <v>KEMZYME-XPF (Kemin Indus.)</v>
      </c>
      <c r="G78" s="184"/>
      <c r="H78" s="26" t="str">
        <f>+'Order Details Apr23-Mar24'!G78</f>
        <v>Kg</v>
      </c>
      <c r="I78" s="27">
        <f>+'Order Details Apr23-Mar24'!I78</f>
        <v>200</v>
      </c>
      <c r="J78" s="28"/>
      <c r="K78" s="185" t="str">
        <f>+'Order Details Apr23-Mar24'!R78</f>
        <v>PO / NBF / 200623 / 43</v>
      </c>
      <c r="L78" s="186"/>
      <c r="M78" s="187"/>
      <c r="N78" s="100">
        <f>+'Order Details Apr23-Mar24'!F78*'Order Details Apr23-Mar24'!N78</f>
        <v>52000</v>
      </c>
      <c r="O78" s="25"/>
      <c r="P78" s="22"/>
      <c r="Q78" s="26">
        <v>45</v>
      </c>
      <c r="R78" s="82"/>
      <c r="S78" s="22">
        <f t="shared" si="1"/>
        <v>0</v>
      </c>
      <c r="T78" s="22"/>
      <c r="U78" s="31"/>
      <c r="V78" s="51"/>
    </row>
    <row r="79" spans="1:22" ht="20.100000000000001" customHeight="1" x14ac:dyDescent="0.3">
      <c r="A79" s="44">
        <v>71</v>
      </c>
      <c r="B79" s="22">
        <f>+'Order Details Apr23-Mar24'!P79</f>
        <v>45158</v>
      </c>
      <c r="C79" s="23"/>
      <c r="D79" s="53" t="str">
        <f>+'Order Details Apr23-Mar24'!T79</f>
        <v>Sneha Farms Pvt Ltd, Hyderabad</v>
      </c>
      <c r="E79" s="25"/>
      <c r="F79" s="183" t="str">
        <f>+'Order Details Apr23-Mar24'!D79</f>
        <v>Lysine HCL (Meihua)</v>
      </c>
      <c r="G79" s="184"/>
      <c r="H79" s="26" t="str">
        <f>+'Order Details Apr23-Mar24'!G79</f>
        <v>Kg</v>
      </c>
      <c r="I79" s="27">
        <f>+'Order Details Apr23-Mar24'!I79</f>
        <v>500</v>
      </c>
      <c r="J79" s="28"/>
      <c r="K79" s="185" t="str">
        <f>+'Order Details Apr23-Mar24'!R79</f>
        <v>PO / NBF / 200623 / 44</v>
      </c>
      <c r="L79" s="186"/>
      <c r="M79" s="187"/>
      <c r="N79" s="100">
        <f>+'Order Details Apr23-Mar24'!F79*'Order Details Apr23-Mar24'!N79</f>
        <v>72499.90800000001</v>
      </c>
      <c r="O79" s="25"/>
      <c r="P79" s="22"/>
      <c r="Q79" s="26">
        <v>7</v>
      </c>
      <c r="R79" s="82"/>
      <c r="S79" s="22">
        <f t="shared" si="1"/>
        <v>0</v>
      </c>
      <c r="T79" s="22"/>
      <c r="U79" s="31"/>
      <c r="V79" s="51"/>
    </row>
    <row r="80" spans="1:22" ht="20.100000000000001" customHeight="1" x14ac:dyDescent="0.3">
      <c r="A80" s="44">
        <v>72</v>
      </c>
      <c r="B80" s="22">
        <f>+'Order Details Apr23-Mar24'!P80</f>
        <v>45158</v>
      </c>
      <c r="C80" s="23"/>
      <c r="D80" s="53" t="str">
        <f>+'Order Details Apr23-Mar24'!T80</f>
        <v>Varsha Multitech, Bangallore</v>
      </c>
      <c r="E80" s="25"/>
      <c r="F80" s="183" t="str">
        <f>+'Order Details Apr23-Mar24'!D80</f>
        <v>HEPATOCARE PREMIX (Varsha)</v>
      </c>
      <c r="G80" s="184"/>
      <c r="H80" s="26" t="str">
        <f>+'Order Details Apr23-Mar24'!G80</f>
        <v>Kg</v>
      </c>
      <c r="I80" s="27">
        <f>+'Order Details Apr23-Mar24'!I80</f>
        <v>500</v>
      </c>
      <c r="J80" s="28"/>
      <c r="K80" s="185" t="str">
        <f>+'Order Details Apr23-Mar24'!R80</f>
        <v>PO / NBF / 200623 / 45</v>
      </c>
      <c r="L80" s="186"/>
      <c r="M80" s="187"/>
      <c r="N80" s="100">
        <f>+'Order Details Apr23-Mar24'!F80*'Order Details Apr23-Mar24'!N80</f>
        <v>25000</v>
      </c>
      <c r="O80" s="25"/>
      <c r="P80" s="22"/>
      <c r="Q80" s="26">
        <v>45</v>
      </c>
      <c r="R80" s="82"/>
      <c r="S80" s="22">
        <f t="shared" si="1"/>
        <v>0</v>
      </c>
      <c r="T80" s="22"/>
      <c r="U80" s="31"/>
      <c r="V80" s="51"/>
    </row>
    <row r="81" spans="1:22" ht="20.100000000000001" customHeight="1" x14ac:dyDescent="0.3">
      <c r="A81" s="44">
        <v>73</v>
      </c>
      <c r="B81" s="22">
        <f>+'Order Details Apr23-Mar24'!P81</f>
        <v>45099</v>
      </c>
      <c r="C81" s="23"/>
      <c r="D81" s="53" t="str">
        <f>+'Order Details Apr23-Mar24'!T81</f>
        <v>Zeus Biotech Pvt Ltd, Mysore</v>
      </c>
      <c r="E81" s="25"/>
      <c r="F81" s="183" t="str">
        <f>+'Order Details Apr23-Mar24'!D81</f>
        <v>SELCON FORTE (Zeus Biotech)</v>
      </c>
      <c r="G81" s="184"/>
      <c r="H81" s="26" t="str">
        <f>+'Order Details Apr23-Mar24'!G81</f>
        <v>Kg</v>
      </c>
      <c r="I81" s="27">
        <f>+'Order Details Apr23-Mar24'!I81</f>
        <v>200</v>
      </c>
      <c r="J81" s="28"/>
      <c r="K81" s="185" t="str">
        <f>+'Order Details Apr23-Mar24'!R81</f>
        <v>PO / NBF / 220623 / 46</v>
      </c>
      <c r="L81" s="186"/>
      <c r="M81" s="187"/>
      <c r="N81" s="100">
        <f>+'Order Details Apr23-Mar24'!F81*'Order Details Apr23-Mar24'!N81</f>
        <v>80000</v>
      </c>
      <c r="O81" s="25"/>
      <c r="P81" s="22"/>
      <c r="Q81" s="87">
        <v>45</v>
      </c>
      <c r="R81" s="82"/>
      <c r="S81" s="22">
        <f t="shared" si="1"/>
        <v>0</v>
      </c>
      <c r="T81" s="22"/>
      <c r="U81" s="31"/>
      <c r="V81" s="51"/>
    </row>
    <row r="82" spans="1:22" ht="20.100000000000001" customHeight="1" x14ac:dyDescent="0.3">
      <c r="A82" s="44">
        <v>74</v>
      </c>
      <c r="B82" s="22">
        <f>+'Order Details Apr23-Mar24'!P82</f>
        <v>45100</v>
      </c>
      <c r="C82" s="23"/>
      <c r="D82" s="53" t="str">
        <f>+'Order Details Apr23-Mar24'!T82</f>
        <v>Trouw Nutrition India Pvt Ltd</v>
      </c>
      <c r="E82" s="25"/>
      <c r="F82" s="183" t="str">
        <f>+'Order Details Apr23-Mar24'!D82</f>
        <v>Breeder Vitamin Premix (Custom)</v>
      </c>
      <c r="G82" s="184"/>
      <c r="H82" s="26" t="str">
        <f>+'Order Details Apr23-Mar24'!G82</f>
        <v>Kg</v>
      </c>
      <c r="I82" s="27">
        <f>+'Order Details Apr23-Mar24'!I82</f>
        <v>1000</v>
      </c>
      <c r="J82" s="28"/>
      <c r="K82" s="185" t="str">
        <f>+'Order Details Apr23-Mar24'!R82</f>
        <v>PO / NBF / 230623 / 47</v>
      </c>
      <c r="L82" s="186"/>
      <c r="M82" s="187"/>
      <c r="N82" s="100">
        <f>+'Order Details Apr23-Mar24'!F82*'Order Details Apr23-Mar24'!N82</f>
        <v>545000</v>
      </c>
      <c r="O82" s="25"/>
      <c r="P82" s="22"/>
      <c r="Q82" s="26">
        <v>45</v>
      </c>
      <c r="R82" s="82"/>
      <c r="S82" s="22">
        <f t="shared" si="1"/>
        <v>0</v>
      </c>
      <c r="T82" s="22"/>
      <c r="U82" s="31"/>
      <c r="V82" s="51"/>
    </row>
    <row r="83" spans="1:22" ht="20.100000000000001" customHeight="1" x14ac:dyDescent="0.3">
      <c r="A83" s="44">
        <v>75</v>
      </c>
      <c r="B83" s="22">
        <f>+'Order Details Apr23-Mar24'!P83</f>
        <v>45104</v>
      </c>
      <c r="C83" s="23"/>
      <c r="D83" s="53" t="str">
        <f>+'Order Details Apr23-Mar24'!T83</f>
        <v>Healers Associates, Vijayawada</v>
      </c>
      <c r="E83" s="25"/>
      <c r="F83" s="183" t="str">
        <f>+'Order Details Apr23-Mar24'!D83</f>
        <v>TIAMU-MED (Medichem Product)</v>
      </c>
      <c r="G83" s="184"/>
      <c r="H83" s="26" t="str">
        <f>+'Order Details Apr23-Mar24'!G83</f>
        <v>Kg</v>
      </c>
      <c r="I83" s="27">
        <f>+'Order Details Apr23-Mar24'!I83</f>
        <v>200</v>
      </c>
      <c r="J83" s="28"/>
      <c r="K83" s="185" t="str">
        <f>+'Order Details Apr23-Mar24'!R83</f>
        <v>PO / NBF / 270623 / 48</v>
      </c>
      <c r="L83" s="186"/>
      <c r="M83" s="187"/>
      <c r="N83" s="100">
        <f>+'Order Details Apr23-Mar24'!F83*'Order Details Apr23-Mar24'!N83</f>
        <v>135000</v>
      </c>
      <c r="O83" s="25"/>
      <c r="P83" s="22"/>
      <c r="Q83" s="26">
        <v>45</v>
      </c>
      <c r="R83" s="82"/>
      <c r="S83" s="22">
        <f t="shared" si="1"/>
        <v>0</v>
      </c>
      <c r="T83" s="22"/>
      <c r="U83" s="31"/>
      <c r="V83" s="51"/>
    </row>
    <row r="84" spans="1:22" ht="20.100000000000001" customHeight="1" x14ac:dyDescent="0.3">
      <c r="A84" s="44">
        <v>76</v>
      </c>
      <c r="B84" s="22">
        <f>+'Order Details Apr23-Mar24'!P84</f>
        <v>45113</v>
      </c>
      <c r="C84" s="23"/>
      <c r="D84" s="53" t="str">
        <f>+'Order Details Apr23-Mar24'!T84</f>
        <v>Alivira Animal Health Ltd</v>
      </c>
      <c r="E84" s="25"/>
      <c r="F84" s="183" t="str">
        <f>+'Order Details Apr23-Mar24'!D84</f>
        <v>CITRINAL (Alivira)</v>
      </c>
      <c r="G84" s="184"/>
      <c r="H84" s="26" t="str">
        <f>+'Order Details Apr23-Mar24'!G84</f>
        <v>Kg</v>
      </c>
      <c r="I84" s="27">
        <f>+'Order Details Apr23-Mar24'!I84</f>
        <v>500</v>
      </c>
      <c r="J84" s="28"/>
      <c r="K84" s="185" t="str">
        <f>+'Order Details Apr23-Mar24'!R84</f>
        <v>PO / NBF / 060723 / 49</v>
      </c>
      <c r="L84" s="186"/>
      <c r="M84" s="187"/>
      <c r="N84" s="100">
        <f>+'Order Details Apr23-Mar24'!F84*'Order Details Apr23-Mar24'!N84</f>
        <v>75000</v>
      </c>
      <c r="O84" s="25"/>
      <c r="P84" s="22"/>
      <c r="Q84" s="26">
        <v>45</v>
      </c>
      <c r="R84" s="82"/>
      <c r="S84" s="22">
        <f t="shared" si="1"/>
        <v>0</v>
      </c>
      <c r="T84" s="22"/>
      <c r="U84" s="31"/>
      <c r="V84" s="51"/>
    </row>
    <row r="85" spans="1:22" ht="20.100000000000001" customHeight="1" x14ac:dyDescent="0.3">
      <c r="A85" s="44">
        <v>77</v>
      </c>
      <c r="B85" s="22">
        <f>+'Order Details Apr23-Mar24'!P85</f>
        <v>45113</v>
      </c>
      <c r="C85" s="23"/>
      <c r="D85" s="53" t="str">
        <f>+'Order Details Apr23-Mar24'!T85</f>
        <v>Das Drug Centre, Habra</v>
      </c>
      <c r="E85" s="25"/>
      <c r="F85" s="183" t="str">
        <f>+'Order Details Apr23-Mar24'!D85</f>
        <v>STODI (Natural Remedies)</v>
      </c>
      <c r="G85" s="184"/>
      <c r="H85" s="26" t="str">
        <f>+'Order Details Apr23-Mar24'!G85</f>
        <v>Kg</v>
      </c>
      <c r="I85" s="27">
        <f>+'Order Details Apr23-Mar24'!I85</f>
        <v>300</v>
      </c>
      <c r="J85" s="28"/>
      <c r="K85" s="185" t="str">
        <f>+'Order Details Apr23-Mar24'!R85</f>
        <v>PO / NBF / 060723 / 50</v>
      </c>
      <c r="L85" s="186"/>
      <c r="M85" s="187"/>
      <c r="N85" s="100">
        <f>+'Order Details Apr23-Mar24'!F85*'Order Details Apr23-Mar24'!N85</f>
        <v>21300</v>
      </c>
      <c r="O85" s="25"/>
      <c r="P85" s="22"/>
      <c r="Q85" s="26">
        <v>45</v>
      </c>
      <c r="R85" s="82"/>
      <c r="S85" s="22">
        <f t="shared" si="1"/>
        <v>0</v>
      </c>
      <c r="T85" s="22"/>
      <c r="U85" s="31"/>
      <c r="V85" s="51"/>
    </row>
    <row r="86" spans="1:22" ht="20.100000000000001" customHeight="1" x14ac:dyDescent="0.3">
      <c r="A86" s="44">
        <v>78</v>
      </c>
      <c r="B86" s="22">
        <f>+'Order Details Apr23-Mar24'!P86</f>
        <v>45113</v>
      </c>
      <c r="C86" s="23"/>
      <c r="D86" s="53" t="str">
        <f>+'Order Details Apr23-Mar24'!T86</f>
        <v>Sai Kiran Medical Agencies</v>
      </c>
      <c r="E86" s="25"/>
      <c r="F86" s="183" t="str">
        <f>+'Order Details Apr23-Mar24'!D86</f>
        <v>SALCOCHEK (Ayurvet)</v>
      </c>
      <c r="G86" s="184"/>
      <c r="H86" s="26" t="str">
        <f>+'Order Details Apr23-Mar24'!G86</f>
        <v>Kg</v>
      </c>
      <c r="I86" s="27">
        <f>+'Order Details Apr23-Mar24'!I86</f>
        <v>300</v>
      </c>
      <c r="J86" s="28"/>
      <c r="K86" s="185" t="str">
        <f>+'Order Details Apr23-Mar24'!R86</f>
        <v>PO / NBF / 060723 / 51</v>
      </c>
      <c r="L86" s="186"/>
      <c r="M86" s="187"/>
      <c r="N86" s="100">
        <f>+'Order Details Apr23-Mar24'!F86*'Order Details Apr23-Mar24'!N86</f>
        <v>43008</v>
      </c>
      <c r="O86" s="25"/>
      <c r="P86" s="22"/>
      <c r="Q86" s="26">
        <v>45</v>
      </c>
      <c r="R86" s="82"/>
      <c r="S86" s="22">
        <f t="shared" si="1"/>
        <v>0</v>
      </c>
      <c r="T86" s="22"/>
      <c r="U86" s="31"/>
      <c r="V86" s="51"/>
    </row>
    <row r="87" spans="1:22" ht="20.100000000000001" customHeight="1" x14ac:dyDescent="0.3">
      <c r="A87" s="44">
        <v>79</v>
      </c>
      <c r="B87" s="22">
        <f>+'Order Details Apr23-Mar24'!P87</f>
        <v>45113</v>
      </c>
      <c r="C87" s="23"/>
      <c r="D87" s="53" t="str">
        <f>+'Order Details Apr23-Mar24'!T87</f>
        <v>Ves Spa, Barasat, West Bengal</v>
      </c>
      <c r="E87" s="25"/>
      <c r="F87" s="183" t="str">
        <f>+'Order Details Apr23-Mar24'!D87</f>
        <v>VES CHOL 60% (Vesper)</v>
      </c>
      <c r="G87" s="184"/>
      <c r="H87" s="26" t="str">
        <f>+'Order Details Apr23-Mar24'!G87</f>
        <v>Kg</v>
      </c>
      <c r="I87" s="27">
        <f>+'Order Details Apr23-Mar24'!I87</f>
        <v>1000</v>
      </c>
      <c r="J87" s="28"/>
      <c r="K87" s="185" t="str">
        <f>+'Order Details Apr23-Mar24'!R87</f>
        <v>PO / NBF / 060723 / 52</v>
      </c>
      <c r="L87" s="186"/>
      <c r="M87" s="187"/>
      <c r="N87" s="100">
        <f>+'Order Details Apr23-Mar24'!F87*'Order Details Apr23-Mar24'!N87</f>
        <v>90000</v>
      </c>
      <c r="O87" s="25"/>
      <c r="P87" s="22"/>
      <c r="Q87" s="26">
        <v>45</v>
      </c>
      <c r="R87" s="82"/>
      <c r="S87" s="22">
        <f t="shared" si="1"/>
        <v>0</v>
      </c>
      <c r="T87" s="22"/>
      <c r="U87" s="31"/>
      <c r="V87" s="51"/>
    </row>
    <row r="88" spans="1:22" ht="20.100000000000001" customHeight="1" x14ac:dyDescent="0.3">
      <c r="A88" s="44">
        <v>80</v>
      </c>
      <c r="B88" s="22">
        <f>+'Order Details Apr23-Mar24'!P88</f>
        <v>45118</v>
      </c>
      <c r="C88" s="23"/>
      <c r="D88" s="53" t="str">
        <f>+'Order Details Apr23-Mar24'!T88</f>
        <v>ABP Enterprises, W. Bengal</v>
      </c>
      <c r="E88" s="25"/>
      <c r="F88" s="183" t="str">
        <f>+'Order Details Apr23-Mar24'!D88</f>
        <v>ALPHA D-3 PREVIT (Chembond)</v>
      </c>
      <c r="G88" s="184"/>
      <c r="H88" s="26" t="str">
        <f>+'Order Details Apr23-Mar24'!G88</f>
        <v>Kg</v>
      </c>
      <c r="I88" s="27">
        <f>+'Order Details Apr23-Mar24'!I88</f>
        <v>100</v>
      </c>
      <c r="J88" s="28"/>
      <c r="K88" s="185" t="str">
        <f>+'Order Details Apr23-Mar24'!R88</f>
        <v>PO / NBF / 110723 / 53</v>
      </c>
      <c r="L88" s="186"/>
      <c r="M88" s="187"/>
      <c r="N88" s="100">
        <f>+'Order Details Apr23-Mar24'!F88*'Order Details Apr23-Mar24'!N88</f>
        <v>79000</v>
      </c>
      <c r="O88" s="25"/>
      <c r="P88" s="22"/>
      <c r="Q88" s="26">
        <v>30</v>
      </c>
      <c r="R88" s="82"/>
      <c r="S88" s="22">
        <f t="shared" si="1"/>
        <v>0</v>
      </c>
      <c r="T88" s="22"/>
      <c r="U88" s="31"/>
      <c r="V88" s="51"/>
    </row>
    <row r="89" spans="1:22" ht="20.100000000000001" customHeight="1" x14ac:dyDescent="0.3">
      <c r="A89" s="44">
        <v>81</v>
      </c>
      <c r="B89" s="22">
        <f>+'Order Details Apr23-Mar24'!P89</f>
        <v>45124</v>
      </c>
      <c r="C89" s="23"/>
      <c r="D89" s="53" t="str">
        <f>+'Order Details Apr23-Mar24'!T89</f>
        <v>Izda Healthcare, Ambala Cantonment</v>
      </c>
      <c r="E89" s="25"/>
      <c r="F89" s="183" t="str">
        <f>+'Order Details Apr23-Mar24'!D89</f>
        <v>OVASTIM (Izda Healthcare)</v>
      </c>
      <c r="G89" s="184"/>
      <c r="H89" s="26" t="str">
        <f>+'Order Details Apr23-Mar24'!G89</f>
        <v>Ml</v>
      </c>
      <c r="I89" s="27">
        <f>+'Order Details Apr23-Mar24'!I89</f>
        <v>500</v>
      </c>
      <c r="J89" s="28"/>
      <c r="K89" s="185" t="str">
        <f>+'Order Details Apr23-Mar24'!R89</f>
        <v>PO / NBF / 170723 / 54</v>
      </c>
      <c r="L89" s="186"/>
      <c r="M89" s="187"/>
      <c r="N89" s="100">
        <f>+'Order Details Apr23-Mar24'!F89*'Order Details Apr23-Mar24'!N89</f>
        <v>200000</v>
      </c>
      <c r="O89" s="25"/>
      <c r="P89" s="22"/>
      <c r="Q89" s="26">
        <v>45</v>
      </c>
      <c r="R89" s="82"/>
      <c r="S89" s="22">
        <f t="shared" si="1"/>
        <v>0</v>
      </c>
      <c r="T89" s="22"/>
      <c r="U89" s="31"/>
      <c r="V89" s="51"/>
    </row>
    <row r="90" spans="1:22" ht="20.100000000000001" customHeight="1" x14ac:dyDescent="0.3">
      <c r="A90" s="44">
        <v>82</v>
      </c>
      <c r="B90" s="22">
        <f>+'Order Details Apr23-Mar24'!P90</f>
        <v>45124</v>
      </c>
      <c r="C90" s="23"/>
      <c r="D90" s="53" t="str">
        <f>+'Order Details Apr23-Mar24'!T90</f>
        <v>Stallen South Asia Pvt Ltd</v>
      </c>
      <c r="E90" s="25"/>
      <c r="F90" s="183" t="str">
        <f>+'Order Details Apr23-Mar24'!D90</f>
        <v>STALGRO-8% (Stallen)</v>
      </c>
      <c r="G90" s="184"/>
      <c r="H90" s="26" t="str">
        <f>+'Order Details Apr23-Mar24'!G90</f>
        <v>Kg</v>
      </c>
      <c r="I90" s="27">
        <f>+'Order Details Apr23-Mar24'!I90</f>
        <v>200</v>
      </c>
      <c r="J90" s="28"/>
      <c r="K90" s="185" t="str">
        <f>+'Order Details Apr23-Mar24'!R90</f>
        <v>PO / NBF / 170723 / 55</v>
      </c>
      <c r="L90" s="186"/>
      <c r="M90" s="187"/>
      <c r="N90" s="100">
        <f>+'Order Details Apr23-Mar24'!F90*'Order Details Apr23-Mar24'!N90</f>
        <v>134740</v>
      </c>
      <c r="O90" s="25"/>
      <c r="P90" s="22"/>
      <c r="Q90" s="26">
        <v>45</v>
      </c>
      <c r="R90" s="82"/>
      <c r="S90" s="22">
        <f t="shared" si="1"/>
        <v>0</v>
      </c>
      <c r="T90" s="22"/>
      <c r="U90" s="31"/>
      <c r="V90" s="51"/>
    </row>
    <row r="91" spans="1:22" ht="20.100000000000001" customHeight="1" x14ac:dyDescent="0.3">
      <c r="A91" s="44">
        <v>83</v>
      </c>
      <c r="B91" s="22">
        <f>+'Order Details Apr23-Mar24'!P91</f>
        <v>45136</v>
      </c>
      <c r="C91" s="23"/>
      <c r="D91" s="53" t="str">
        <f>+'Order Details Apr23-Mar24'!T91</f>
        <v>PP &amp; B Mart Pvt Ltd, Habra</v>
      </c>
      <c r="E91" s="25"/>
      <c r="F91" s="183" t="str">
        <f>+'Order Details Apr23-Mar24'!D91</f>
        <v>MASTERSORB (EW Nutrition)</v>
      </c>
      <c r="G91" s="184"/>
      <c r="H91" s="26" t="str">
        <f>+'Order Details Apr23-Mar24'!G91</f>
        <v>Kg</v>
      </c>
      <c r="I91" s="27">
        <f>+'Order Details Apr23-Mar24'!I91</f>
        <v>500</v>
      </c>
      <c r="J91" s="28"/>
      <c r="K91" s="185" t="str">
        <f>+'Order Details Apr23-Mar24'!R91</f>
        <v>PO / NBF / 290723 / 56</v>
      </c>
      <c r="L91" s="186"/>
      <c r="M91" s="187"/>
      <c r="N91" s="100">
        <f>+'Order Details Apr23-Mar24'!F91*'Order Details Apr23-Mar24'!N91</f>
        <v>64000</v>
      </c>
      <c r="O91" s="25"/>
      <c r="P91" s="22"/>
      <c r="Q91" s="26">
        <v>45</v>
      </c>
      <c r="R91" s="82"/>
      <c r="S91" s="22">
        <f t="shared" si="1"/>
        <v>0</v>
      </c>
      <c r="T91" s="22"/>
      <c r="U91" s="31"/>
      <c r="V91" s="51"/>
    </row>
    <row r="92" spans="1:22" ht="20.100000000000001" customHeight="1" x14ac:dyDescent="0.3">
      <c r="A92" s="44">
        <v>84</v>
      </c>
      <c r="B92" s="22">
        <f>+'Order Details Apr23-Mar24'!P92</f>
        <v>45140</v>
      </c>
      <c r="C92" s="23"/>
      <c r="D92" s="53" t="str">
        <f>+'Order Details Apr23-Mar24'!T92</f>
        <v>APC Nutrients Limited</v>
      </c>
      <c r="E92" s="25"/>
      <c r="F92" s="183" t="str">
        <f>+'Order Details Apr23-Mar24'!D92</f>
        <v>VOLAMEL (Nukamel)</v>
      </c>
      <c r="G92" s="184"/>
      <c r="H92" s="26" t="str">
        <f>+'Order Details Apr23-Mar24'!G92</f>
        <v>Kg</v>
      </c>
      <c r="I92" s="27">
        <f>+'Order Details Apr23-Mar24'!I92</f>
        <v>500</v>
      </c>
      <c r="J92" s="28"/>
      <c r="K92" s="185" t="str">
        <f>+'Order Details Apr23-Mar24'!R92</f>
        <v>PO / NBF / 020823 / 57</v>
      </c>
      <c r="L92" s="186"/>
      <c r="M92" s="187"/>
      <c r="N92" s="100">
        <f>+'Order Details Apr23-Mar24'!F92*'Order Details Apr23-Mar24'!N92</f>
        <v>285000</v>
      </c>
      <c r="O92" s="25"/>
      <c r="P92" s="22"/>
      <c r="Q92" s="26">
        <v>7</v>
      </c>
      <c r="R92" s="82"/>
      <c r="S92" s="22">
        <f t="shared" si="1"/>
        <v>0</v>
      </c>
      <c r="T92" s="22"/>
      <c r="U92" s="31"/>
      <c r="V92" s="51"/>
    </row>
    <row r="93" spans="1:22" ht="20.100000000000001" customHeight="1" x14ac:dyDescent="0.3">
      <c r="A93" s="44">
        <v>85</v>
      </c>
      <c r="B93" s="22">
        <f>+'Order Details Apr23-Mar24'!P93</f>
        <v>45140</v>
      </c>
      <c r="C93" s="23"/>
      <c r="D93" s="53" t="str">
        <f>+'Order Details Apr23-Mar24'!T93</f>
        <v>Izda Healthcare, Ambala Cantonment</v>
      </c>
      <c r="E93" s="25"/>
      <c r="F93" s="183" t="str">
        <f>+'Order Details Apr23-Mar24'!D93</f>
        <v>Deforce Injection (Izda Healthcare)</v>
      </c>
      <c r="G93" s="184"/>
      <c r="H93" s="26" t="str">
        <f>+'Order Details Apr23-Mar24'!G93</f>
        <v>Ml</v>
      </c>
      <c r="I93" s="27">
        <f>+'Order Details Apr23-Mar24'!I93</f>
        <v>500</v>
      </c>
      <c r="J93" s="28"/>
      <c r="K93" s="185" t="str">
        <f>+'Order Details Apr23-Mar24'!R93</f>
        <v>PO / NBF / 020823 / 58</v>
      </c>
      <c r="L93" s="186"/>
      <c r="M93" s="187"/>
      <c r="N93" s="100">
        <f>+'Order Details Apr23-Mar24'!F93*'Order Details Apr23-Mar24'!N93</f>
        <v>42000</v>
      </c>
      <c r="O93" s="25"/>
      <c r="P93" s="22"/>
      <c r="Q93" s="26">
        <v>45</v>
      </c>
      <c r="R93" s="82"/>
      <c r="S93" s="22">
        <f t="shared" si="1"/>
        <v>0</v>
      </c>
      <c r="T93" s="22"/>
      <c r="U93" s="31"/>
      <c r="V93" s="51"/>
    </row>
    <row r="94" spans="1:22" ht="20.100000000000001" customHeight="1" x14ac:dyDescent="0.3">
      <c r="A94" s="44">
        <v>86</v>
      </c>
      <c r="B94" s="22">
        <f>+'Order Details Apr23-Mar24'!P94</f>
        <v>45140</v>
      </c>
      <c r="C94" s="23"/>
      <c r="D94" s="53" t="str">
        <f>+'Order Details Apr23-Mar24'!T94</f>
        <v>We Care Animal Health, Bengal</v>
      </c>
      <c r="E94" s="25"/>
      <c r="F94" s="183" t="str">
        <f>+'Order Details Apr23-Mar24'!D94</f>
        <v>FLYVIN (We Care Animal Health)</v>
      </c>
      <c r="G94" s="184"/>
      <c r="H94" s="26" t="str">
        <f>+'Order Details Apr23-Mar24'!G94</f>
        <v>Kg</v>
      </c>
      <c r="I94" s="27">
        <f>+'Order Details Apr23-Mar24'!I94</f>
        <v>100</v>
      </c>
      <c r="J94" s="28"/>
      <c r="K94" s="185" t="str">
        <f>+'Order Details Apr23-Mar24'!R94</f>
        <v>PO / NBF / 020823 / 59</v>
      </c>
      <c r="L94" s="186"/>
      <c r="M94" s="187"/>
      <c r="N94" s="100">
        <f>+'Order Details Apr23-Mar24'!F94*'Order Details Apr23-Mar24'!N94</f>
        <v>72000</v>
      </c>
      <c r="O94" s="25"/>
      <c r="P94" s="22"/>
      <c r="Q94" s="26">
        <v>45</v>
      </c>
      <c r="R94" s="82"/>
      <c r="S94" s="22">
        <f t="shared" si="1"/>
        <v>0</v>
      </c>
      <c r="T94" s="22"/>
      <c r="U94" s="31"/>
      <c r="V94" s="51"/>
    </row>
    <row r="95" spans="1:22" ht="20.100000000000001" customHeight="1" x14ac:dyDescent="0.3">
      <c r="A95" s="44">
        <v>87</v>
      </c>
      <c r="B95" s="22">
        <f>+'Order Details Apr23-Mar24'!P95</f>
        <v>45148</v>
      </c>
      <c r="C95" s="23"/>
      <c r="D95" s="53" t="str">
        <f>+'Order Details Apr23-Mar24'!T95</f>
        <v>Sneha Farms Pvt Ltd, Hyderabad</v>
      </c>
      <c r="E95" s="25"/>
      <c r="F95" s="183" t="str">
        <f>+'Order Details Apr23-Mar24'!D95</f>
        <v>DL Methionine (Evonik)</v>
      </c>
      <c r="G95" s="184"/>
      <c r="H95" s="26" t="str">
        <f>+'Order Details Apr23-Mar24'!G95</f>
        <v>Kg</v>
      </c>
      <c r="I95" s="27">
        <f>+'Order Details Apr23-Mar24'!I95</f>
        <v>500</v>
      </c>
      <c r="J95" s="28"/>
      <c r="K95" s="185" t="str">
        <f>+'Order Details Apr23-Mar24'!R95</f>
        <v>PO / NBF / 100823 / 60</v>
      </c>
      <c r="L95" s="186"/>
      <c r="M95" s="187"/>
      <c r="N95" s="100">
        <f>+'Order Details Apr23-Mar24'!F95*'Order Details Apr23-Mar24'!N95</f>
        <v>107000.04</v>
      </c>
      <c r="O95" s="25"/>
      <c r="P95" s="22"/>
      <c r="Q95" s="26">
        <v>7</v>
      </c>
      <c r="R95" s="82"/>
      <c r="S95" s="22">
        <f t="shared" si="1"/>
        <v>0</v>
      </c>
      <c r="T95" s="22"/>
      <c r="U95" s="31"/>
      <c r="V95" s="51"/>
    </row>
    <row r="96" spans="1:22" ht="20.100000000000001" customHeight="1" x14ac:dyDescent="0.3">
      <c r="A96" s="44">
        <v>88</v>
      </c>
      <c r="B96" s="22">
        <f>+'Order Details Apr23-Mar24'!P96</f>
        <v>45148</v>
      </c>
      <c r="C96" s="23"/>
      <c r="D96" s="53" t="str">
        <f>+'Order Details Apr23-Mar24'!T96</f>
        <v>Varsha Multitech, Bangallore</v>
      </c>
      <c r="E96" s="25"/>
      <c r="F96" s="183" t="str">
        <f>+'Order Details Apr23-Mar24'!D96</f>
        <v>HEPATOCARE PREMIX (Varsha)</v>
      </c>
      <c r="G96" s="184"/>
      <c r="H96" s="26" t="str">
        <f>+'Order Details Apr23-Mar24'!G96</f>
        <v>Kg</v>
      </c>
      <c r="I96" s="27">
        <f>+'Order Details Apr23-Mar24'!I96</f>
        <v>500</v>
      </c>
      <c r="J96" s="28"/>
      <c r="K96" s="185" t="str">
        <f>+'Order Details Apr23-Mar24'!R96</f>
        <v>PO / NBF / 100823 / 61</v>
      </c>
      <c r="L96" s="186"/>
      <c r="M96" s="187"/>
      <c r="N96" s="100">
        <f>+'Order Details Apr23-Mar24'!F96*'Order Details Apr23-Mar24'!N96</f>
        <v>25000</v>
      </c>
      <c r="O96" s="25"/>
      <c r="P96" s="22"/>
      <c r="Q96" s="26">
        <v>45</v>
      </c>
      <c r="R96" s="82"/>
      <c r="S96" s="22">
        <f t="shared" si="1"/>
        <v>0</v>
      </c>
      <c r="T96" s="22"/>
      <c r="U96" s="31"/>
      <c r="V96" s="51"/>
    </row>
    <row r="97" spans="1:22" ht="20.100000000000001" customHeight="1" x14ac:dyDescent="0.3">
      <c r="A97" s="44">
        <v>89</v>
      </c>
      <c r="B97" s="22">
        <f>+'Order Details Apr23-Mar24'!P97</f>
        <v>45149</v>
      </c>
      <c r="C97" s="23"/>
      <c r="D97" s="53" t="str">
        <f>+'Order Details Apr23-Mar24'!T97</f>
        <v>Shwetha Enterprises, Hyderabad</v>
      </c>
      <c r="E97" s="25"/>
      <c r="F97" s="183" t="str">
        <f>+'Order Details Apr23-Mar24'!D97</f>
        <v>PROTEXIN WS (Elanco)</v>
      </c>
      <c r="G97" s="184"/>
      <c r="H97" s="26" t="str">
        <f>+'Order Details Apr23-Mar24'!G97</f>
        <v>Gms</v>
      </c>
      <c r="I97" s="27">
        <f>+'Order Details Apr23-Mar24'!I97</f>
        <v>12000</v>
      </c>
      <c r="J97" s="28"/>
      <c r="K97" s="185" t="str">
        <f>+'Order Details Apr23-Mar24'!R97</f>
        <v>PO / NBF / 110823 / 62</v>
      </c>
      <c r="L97" s="186"/>
      <c r="M97" s="187"/>
      <c r="N97" s="100">
        <f>+'Order Details Apr23-Mar24'!F97*'Order Details Apr23-Mar24'!N97</f>
        <v>27000</v>
      </c>
      <c r="O97" s="25"/>
      <c r="P97" s="22"/>
      <c r="Q97" s="26">
        <v>7</v>
      </c>
      <c r="R97" s="82"/>
      <c r="S97" s="22">
        <f t="shared" si="1"/>
        <v>0</v>
      </c>
      <c r="T97" s="22"/>
      <c r="U97" s="31"/>
      <c r="V97" s="51"/>
    </row>
    <row r="98" spans="1:22" ht="20.100000000000001" customHeight="1" x14ac:dyDescent="0.3">
      <c r="A98" s="44">
        <v>90</v>
      </c>
      <c r="B98" s="22">
        <f>+'Order Details Apr23-Mar24'!P98</f>
        <v>45152</v>
      </c>
      <c r="C98" s="23"/>
      <c r="D98" s="53" t="str">
        <f>+'Order Details Apr23-Mar24'!T98</f>
        <v>Shwetha Enterprises, Hyderabad</v>
      </c>
      <c r="E98" s="25"/>
      <c r="F98" s="183" t="str">
        <f>+'Order Details Apr23-Mar24'!D98</f>
        <v>PROTEXIN WS (Elanco)</v>
      </c>
      <c r="G98" s="184"/>
      <c r="H98" s="26" t="str">
        <f>+'Order Details Apr23-Mar24'!G98</f>
        <v>Gms</v>
      </c>
      <c r="I98" s="27">
        <f>+'Order Details Apr23-Mar24'!I98</f>
        <v>36000</v>
      </c>
      <c r="J98" s="28"/>
      <c r="K98" s="185" t="str">
        <f>+'Order Details Apr23-Mar24'!R98</f>
        <v>PO / NBF / 140823 / 63</v>
      </c>
      <c r="L98" s="186"/>
      <c r="M98" s="187"/>
      <c r="N98" s="100">
        <f>+'Order Details Apr23-Mar24'!F98*'Order Details Apr23-Mar24'!N98</f>
        <v>81000</v>
      </c>
      <c r="O98" s="25"/>
      <c r="P98" s="22"/>
      <c r="Q98" s="26">
        <v>7</v>
      </c>
      <c r="R98" s="82"/>
      <c r="S98" s="22">
        <f t="shared" si="1"/>
        <v>0</v>
      </c>
      <c r="T98" s="22"/>
      <c r="U98" s="31"/>
      <c r="V98" s="51"/>
    </row>
    <row r="99" spans="1:22" ht="20.100000000000001" customHeight="1" x14ac:dyDescent="0.3">
      <c r="A99" s="44">
        <v>91</v>
      </c>
      <c r="B99" s="22">
        <f>+'Order Details Apr23-Mar24'!P99</f>
        <v>45152</v>
      </c>
      <c r="C99" s="23"/>
      <c r="D99" s="53" t="str">
        <f>+'Order Details Apr23-Mar24'!T99</f>
        <v>Alltech Biotechnology Pvt Ltd</v>
      </c>
      <c r="E99" s="25"/>
      <c r="F99" s="183" t="str">
        <f>+'Order Details Apr23-Mar24'!D99</f>
        <v>Bioplex Poultry Pak (Alltech)</v>
      </c>
      <c r="G99" s="184"/>
      <c r="H99" s="26" t="str">
        <f>+'Order Details Apr23-Mar24'!G99</f>
        <v>Kg</v>
      </c>
      <c r="I99" s="27">
        <f>+'Order Details Apr23-Mar24'!I99</f>
        <v>500</v>
      </c>
      <c r="J99" s="28"/>
      <c r="K99" s="185" t="str">
        <f>+'Order Details Apr23-Mar24'!R99</f>
        <v>PO / NBF / 140823 / 64</v>
      </c>
      <c r="L99" s="186"/>
      <c r="M99" s="187"/>
      <c r="N99" s="100">
        <f>+'Order Details Apr23-Mar24'!F99*'Order Details Apr23-Mar24'!N99</f>
        <v>110000</v>
      </c>
      <c r="O99" s="25"/>
      <c r="P99" s="22"/>
      <c r="Q99" s="87">
        <v>45</v>
      </c>
      <c r="R99" s="82"/>
      <c r="S99" s="22">
        <f t="shared" si="1"/>
        <v>0</v>
      </c>
      <c r="T99" s="22"/>
      <c r="U99" s="31"/>
      <c r="V99" s="51"/>
    </row>
    <row r="100" spans="1:22" ht="20.100000000000001" customHeight="1" x14ac:dyDescent="0.3">
      <c r="A100" s="44">
        <v>92</v>
      </c>
      <c r="B100" s="22">
        <f>+'Order Details Apr23-Mar24'!P100</f>
        <v>45152</v>
      </c>
      <c r="C100" s="23"/>
      <c r="D100" s="53" t="str">
        <f>+'Order Details Apr23-Mar24'!T100</f>
        <v>B V Biocrop, Hitech Division</v>
      </c>
      <c r="E100" s="25"/>
      <c r="F100" s="183" t="str">
        <f>+'Order Details Apr23-Mar24'!D100</f>
        <v>TRACEMIN BB (BV Biocrop)</v>
      </c>
      <c r="G100" s="184"/>
      <c r="H100" s="26" t="str">
        <f>+'Order Details Apr23-Mar24'!G100</f>
        <v>Kg</v>
      </c>
      <c r="I100" s="27">
        <f>+'Order Details Apr23-Mar24'!I100</f>
        <v>510</v>
      </c>
      <c r="J100" s="28"/>
      <c r="K100" s="185" t="str">
        <f>+'Order Details Apr23-Mar24'!R100</f>
        <v>PO / NBF / 140823 / 65</v>
      </c>
      <c r="L100" s="186"/>
      <c r="M100" s="187"/>
      <c r="N100" s="100">
        <f>+'Order Details Apr23-Mar24'!F100*'Order Details Apr23-Mar24'!N100</f>
        <v>33269</v>
      </c>
      <c r="O100" s="25"/>
      <c r="P100" s="22"/>
      <c r="Q100" s="61">
        <v>45</v>
      </c>
      <c r="R100" s="82"/>
      <c r="S100" s="22">
        <f t="shared" si="1"/>
        <v>0</v>
      </c>
      <c r="T100" s="22"/>
      <c r="U100" s="31"/>
      <c r="V100" s="51"/>
    </row>
    <row r="101" spans="1:22" ht="20.100000000000001" customHeight="1" x14ac:dyDescent="0.3">
      <c r="A101" s="44">
        <v>93</v>
      </c>
      <c r="B101" s="22">
        <f>+'Order Details Apr23-Mar24'!P101</f>
        <v>45152</v>
      </c>
      <c r="C101" s="23"/>
      <c r="D101" s="53" t="str">
        <f>+'Order Details Apr23-Mar24'!T101</f>
        <v>Das Drug Centre, Habra</v>
      </c>
      <c r="E101" s="25"/>
      <c r="F101" s="183" t="str">
        <f>+'Order Details Apr23-Mar24'!D101</f>
        <v>HIM-C (Himalaya)</v>
      </c>
      <c r="G101" s="184"/>
      <c r="H101" s="26" t="str">
        <f>+'Order Details Apr23-Mar24'!G101</f>
        <v>Kg</v>
      </c>
      <c r="I101" s="27">
        <f>+'Order Details Apr23-Mar24'!I101</f>
        <v>500</v>
      </c>
      <c r="J101" s="28"/>
      <c r="K101" s="185" t="str">
        <f>+'Order Details Apr23-Mar24'!R101</f>
        <v>PO / NBF / 140823 / 66</v>
      </c>
      <c r="L101" s="186"/>
      <c r="M101" s="187"/>
      <c r="N101" s="100">
        <f>+'Order Details Apr23-Mar24'!F101*'Order Details Apr23-Mar24'!N101</f>
        <v>67500</v>
      </c>
      <c r="O101" s="25"/>
      <c r="P101" s="22"/>
      <c r="Q101" s="26">
        <v>45</v>
      </c>
      <c r="R101" s="82"/>
      <c r="S101" s="22">
        <f t="shared" si="1"/>
        <v>0</v>
      </c>
      <c r="T101" s="22"/>
      <c r="U101" s="31"/>
      <c r="V101" s="51"/>
    </row>
    <row r="102" spans="1:22" ht="20.100000000000001" customHeight="1" x14ac:dyDescent="0.3">
      <c r="A102" s="44">
        <v>94</v>
      </c>
      <c r="B102" s="22">
        <f>+'Order Details Apr23-Mar24'!P102</f>
        <v>45152</v>
      </c>
      <c r="C102" s="23"/>
      <c r="D102" s="53" t="str">
        <f>+'Order Details Apr23-Mar24'!T102</f>
        <v>Das Drug Centre, Habra</v>
      </c>
      <c r="E102" s="25"/>
      <c r="F102" s="183" t="str">
        <f>+'Order Details Apr23-Mar24'!D102</f>
        <v>PROTEXIN WS (Elanco)</v>
      </c>
      <c r="G102" s="184"/>
      <c r="H102" s="26" t="str">
        <f>+'Order Details Apr23-Mar24'!G102</f>
        <v>Gms</v>
      </c>
      <c r="I102" s="27">
        <f>+'Order Details Apr23-Mar24'!I102</f>
        <v>12000</v>
      </c>
      <c r="J102" s="28"/>
      <c r="K102" s="185" t="str">
        <f>+'Order Details Apr23-Mar24'!R102</f>
        <v>PO / NBF / 140823 / 66</v>
      </c>
      <c r="L102" s="186"/>
      <c r="M102" s="187"/>
      <c r="N102" s="100">
        <f>+'Order Details Apr23-Mar24'!F102*'Order Details Apr23-Mar24'!N102</f>
        <v>26256</v>
      </c>
      <c r="O102" s="25"/>
      <c r="P102" s="22"/>
      <c r="Q102" s="26">
        <v>45</v>
      </c>
      <c r="R102" s="82"/>
      <c r="S102" s="22">
        <f t="shared" si="1"/>
        <v>0</v>
      </c>
      <c r="T102" s="22"/>
      <c r="U102" s="31"/>
      <c r="V102" s="51"/>
    </row>
    <row r="103" spans="1:22" ht="20.100000000000001" customHeight="1" x14ac:dyDescent="0.3">
      <c r="A103" s="44">
        <v>95</v>
      </c>
      <c r="B103" s="22">
        <f>+'Order Details Apr23-Mar24'!P103</f>
        <v>45152</v>
      </c>
      <c r="C103" s="23"/>
      <c r="D103" s="53" t="str">
        <f>+'Order Details Apr23-Mar24'!T103</f>
        <v>Kemin Industries South Asia</v>
      </c>
      <c r="E103" s="25"/>
      <c r="F103" s="183" t="str">
        <f>+'Order Details Apr23-Mar24'!D103</f>
        <v>CLOSTAT-365 / 12 (Kemin Indus)</v>
      </c>
      <c r="G103" s="184"/>
      <c r="H103" s="26" t="str">
        <f>+'Order Details Apr23-Mar24'!G103</f>
        <v>Kg</v>
      </c>
      <c r="I103" s="27">
        <f>+'Order Details Apr23-Mar24'!I103</f>
        <v>200</v>
      </c>
      <c r="J103" s="28"/>
      <c r="K103" s="185" t="str">
        <f>+'Order Details Apr23-Mar24'!R103</f>
        <v>PO / NBF / 140823 / 67</v>
      </c>
      <c r="L103" s="186"/>
      <c r="M103" s="187"/>
      <c r="N103" s="100">
        <f>+'Order Details Apr23-Mar24'!F103*'Order Details Apr23-Mar24'!N103</f>
        <v>100000</v>
      </c>
      <c r="O103" s="25"/>
      <c r="P103" s="22"/>
      <c r="Q103" s="26">
        <v>45</v>
      </c>
      <c r="R103" s="82"/>
      <c r="S103" s="22">
        <f t="shared" si="1"/>
        <v>0</v>
      </c>
      <c r="T103" s="22"/>
      <c r="U103" s="31"/>
      <c r="V103" s="51"/>
    </row>
    <row r="104" spans="1:22" ht="20.100000000000001" customHeight="1" x14ac:dyDescent="0.3">
      <c r="A104" s="44">
        <v>96</v>
      </c>
      <c r="B104" s="22">
        <f>+'Order Details Apr23-Mar24'!P104</f>
        <v>45162</v>
      </c>
      <c r="C104" s="23"/>
      <c r="D104" s="53" t="str">
        <f>+'Order Details Apr23-Mar24'!T104</f>
        <v>B V Biocrop, Hitech Division</v>
      </c>
      <c r="E104" s="25"/>
      <c r="F104" s="183" t="str">
        <f>+'Order Details Apr23-Mar24'!D104</f>
        <v>SAFEGARD (B V Biocrop)</v>
      </c>
      <c r="G104" s="184"/>
      <c r="H104" s="26" t="str">
        <f>+'Order Details Apr23-Mar24'!G104</f>
        <v>Ltr</v>
      </c>
      <c r="I104" s="27">
        <f>+'Order Details Apr23-Mar24'!I104</f>
        <v>60</v>
      </c>
      <c r="J104" s="28"/>
      <c r="K104" s="185" t="str">
        <f>+'Order Details Apr23-Mar24'!R104</f>
        <v>PO / NBF / 240823 / 68</v>
      </c>
      <c r="L104" s="186"/>
      <c r="M104" s="187"/>
      <c r="N104" s="100">
        <f>+'Order Details Apr23-Mar24'!F104*'Order Details Apr23-Mar24'!N104</f>
        <v>16114.079999999998</v>
      </c>
      <c r="O104" s="25"/>
      <c r="P104" s="22"/>
      <c r="Q104" s="61">
        <v>45</v>
      </c>
      <c r="R104" s="82"/>
      <c r="S104" s="22">
        <f t="shared" si="1"/>
        <v>0</v>
      </c>
      <c r="T104" s="22"/>
      <c r="U104" s="31"/>
      <c r="V104" s="51"/>
    </row>
    <row r="105" spans="1:22" ht="20.100000000000001" customHeight="1" x14ac:dyDescent="0.3">
      <c r="A105" s="44">
        <v>97</v>
      </c>
      <c r="B105" s="22">
        <f>+'Order Details Apr23-Mar24'!P105</f>
        <v>45162</v>
      </c>
      <c r="C105" s="23"/>
      <c r="D105" s="53" t="str">
        <f>+'Order Details Apr23-Mar24'!T105</f>
        <v>B V Biocrop, Hitech Division</v>
      </c>
      <c r="E105" s="25"/>
      <c r="F105" s="183" t="str">
        <f>+'Order Details Apr23-Mar24'!D105</f>
        <v>VACCSURE 20 Gms (B V Biocrop)</v>
      </c>
      <c r="G105" s="184"/>
      <c r="H105" s="26" t="str">
        <f>+'Order Details Apr23-Mar24'!G105</f>
        <v>Pcs</v>
      </c>
      <c r="I105" s="27">
        <f>+'Order Details Apr23-Mar24'!I105</f>
        <v>200</v>
      </c>
      <c r="J105" s="28"/>
      <c r="K105" s="185" t="str">
        <f>+'Order Details Apr23-Mar24'!R105</f>
        <v>PO / NBF / 240823 / 68</v>
      </c>
      <c r="L105" s="186"/>
      <c r="M105" s="187"/>
      <c r="N105" s="100">
        <f>+'Order Details Apr23-Mar24'!F105*'Order Details Apr23-Mar24'!N105</f>
        <v>12752</v>
      </c>
      <c r="O105" s="25"/>
      <c r="P105" s="22"/>
      <c r="Q105" s="61">
        <v>45</v>
      </c>
      <c r="R105" s="82"/>
      <c r="S105" s="22">
        <f t="shared" si="1"/>
        <v>0</v>
      </c>
      <c r="T105" s="22"/>
      <c r="U105" s="31"/>
      <c r="V105" s="51"/>
    </row>
    <row r="106" spans="1:22" ht="20.100000000000001" customHeight="1" x14ac:dyDescent="0.3">
      <c r="A106" s="44">
        <v>98</v>
      </c>
      <c r="B106" s="22">
        <f>+'Order Details Apr23-Mar24'!P106</f>
        <v>45162</v>
      </c>
      <c r="C106" s="23"/>
      <c r="D106" s="53" t="str">
        <f>+'Order Details Apr23-Mar24'!T106</f>
        <v>Venkys India Ltd, AHP Division</v>
      </c>
      <c r="E106" s="25"/>
      <c r="F106" s="183" t="str">
        <f>+'Order Details Apr23-Mar24'!D106</f>
        <v>ELMIN-8 (AHP-Division)</v>
      </c>
      <c r="G106" s="184"/>
      <c r="H106" s="26" t="str">
        <f>+'Order Details Apr23-Mar24'!G106</f>
        <v>Ltr</v>
      </c>
      <c r="I106" s="27">
        <f>+'Order Details Apr23-Mar24'!I106</f>
        <v>60</v>
      </c>
      <c r="J106" s="28"/>
      <c r="K106" s="185" t="str">
        <f>+'Order Details Apr23-Mar24'!R106</f>
        <v>PO / NBF / 240823 / 69</v>
      </c>
      <c r="L106" s="186"/>
      <c r="M106" s="187"/>
      <c r="N106" s="100">
        <f>+'Order Details Apr23-Mar24'!F106*'Order Details Apr23-Mar24'!N106</f>
        <v>13140</v>
      </c>
      <c r="O106" s="25"/>
      <c r="P106" s="22"/>
      <c r="Q106" s="61">
        <v>45</v>
      </c>
      <c r="R106" s="82"/>
      <c r="S106" s="22">
        <f t="shared" si="1"/>
        <v>0</v>
      </c>
      <c r="T106" s="22"/>
      <c r="U106" s="31"/>
      <c r="V106" s="51"/>
    </row>
    <row r="107" spans="1:22" ht="20.100000000000001" customHeight="1" x14ac:dyDescent="0.3">
      <c r="A107" s="44">
        <v>99</v>
      </c>
      <c r="B107" s="22">
        <f>+'Order Details Apr23-Mar24'!P107</f>
        <v>45162</v>
      </c>
      <c r="C107" s="23"/>
      <c r="D107" s="53" t="str">
        <f>+'Order Details Apr23-Mar24'!T107</f>
        <v>Venkys India Ltd, AHP Division</v>
      </c>
      <c r="E107" s="25"/>
      <c r="F107" s="183" t="str">
        <f>+'Order Details Apr23-Mar24'!D107</f>
        <v>SOLUCAL (AHP-Division)</v>
      </c>
      <c r="G107" s="184"/>
      <c r="H107" s="26" t="str">
        <f>+'Order Details Apr23-Mar24'!G107</f>
        <v>Ltr</v>
      </c>
      <c r="I107" s="27">
        <f>+'Order Details Apr23-Mar24'!I107</f>
        <v>100</v>
      </c>
      <c r="J107" s="28"/>
      <c r="K107" s="185" t="str">
        <f>+'Order Details Apr23-Mar24'!R107</f>
        <v>PO / NBF / 240823 / 69</v>
      </c>
      <c r="L107" s="186"/>
      <c r="M107" s="187"/>
      <c r="N107" s="100">
        <f>+'Order Details Apr23-Mar24'!F107*'Order Details Apr23-Mar24'!N107</f>
        <v>13840</v>
      </c>
      <c r="O107" s="25"/>
      <c r="P107" s="22"/>
      <c r="Q107" s="61">
        <v>45</v>
      </c>
      <c r="R107" s="82"/>
      <c r="S107" s="22">
        <f t="shared" si="1"/>
        <v>0</v>
      </c>
      <c r="T107" s="22"/>
      <c r="U107" s="31"/>
      <c r="V107" s="51"/>
    </row>
    <row r="108" spans="1:22" ht="20.100000000000001" customHeight="1" x14ac:dyDescent="0.3">
      <c r="A108" s="44">
        <v>100</v>
      </c>
      <c r="B108" s="22">
        <f>+'Order Details Apr23-Mar24'!P108</f>
        <v>45162</v>
      </c>
      <c r="C108" s="23"/>
      <c r="D108" s="53" t="str">
        <f>+'Order Details Apr23-Mar24'!T108</f>
        <v>Venkateshwara Hatcheries Ltd</v>
      </c>
      <c r="E108" s="25"/>
      <c r="F108" s="183" t="str">
        <f>+'Order Details Apr23-Mar24'!D108</f>
        <v>IB ASTRO (AEIBH) KILLED VAC</v>
      </c>
      <c r="G108" s="184"/>
      <c r="H108" s="26" t="str">
        <f>+'Order Details Apr23-Mar24'!G108</f>
        <v>Dose</v>
      </c>
      <c r="I108" s="27">
        <f>+'Order Details Apr23-Mar24'!I108</f>
        <v>22000</v>
      </c>
      <c r="J108" s="28"/>
      <c r="K108" s="185" t="str">
        <f>+'Order Details Apr23-Mar24'!R108</f>
        <v>PO / NBF / 240823 / 70</v>
      </c>
      <c r="L108" s="186"/>
      <c r="M108" s="187"/>
      <c r="N108" s="100">
        <f>+'Order Details Apr23-Mar24'!F108*'Order Details Apr23-Mar24'!N108</f>
        <v>75190.5</v>
      </c>
      <c r="O108" s="25"/>
      <c r="P108" s="22"/>
      <c r="Q108" s="61">
        <v>45</v>
      </c>
      <c r="R108" s="82"/>
      <c r="S108" s="22">
        <f t="shared" si="1"/>
        <v>0</v>
      </c>
      <c r="T108" s="22"/>
      <c r="U108" s="31"/>
      <c r="V108" s="51"/>
    </row>
    <row r="109" spans="1:22" ht="20.100000000000001" customHeight="1" x14ac:dyDescent="0.3">
      <c r="A109" s="44">
        <v>101</v>
      </c>
      <c r="B109" s="22">
        <f>+'Order Details Apr23-Mar24'!P109</f>
        <v>45162</v>
      </c>
      <c r="C109" s="23"/>
      <c r="D109" s="53" t="str">
        <f>+'Order Details Apr23-Mar24'!T109</f>
        <v>Venkateshwara Hatcheries Ltd</v>
      </c>
      <c r="E109" s="25"/>
      <c r="F109" s="183" t="str">
        <f>+'Order Details Apr23-Mar24'!D109</f>
        <v>IBD KILLED VAC</v>
      </c>
      <c r="G109" s="184"/>
      <c r="H109" s="26" t="str">
        <f>+'Order Details Apr23-Mar24'!G109</f>
        <v>Dose</v>
      </c>
      <c r="I109" s="27">
        <f>+'Order Details Apr23-Mar24'!I109</f>
        <v>8000</v>
      </c>
      <c r="J109" s="28"/>
      <c r="K109" s="185" t="str">
        <f>+'Order Details Apr23-Mar24'!R109</f>
        <v>PO / NBF / 240823 / 70</v>
      </c>
      <c r="L109" s="186"/>
      <c r="M109" s="187"/>
      <c r="N109" s="100">
        <f>+'Order Details Apr23-Mar24'!F109*'Order Details Apr23-Mar24'!N109</f>
        <v>18790.8</v>
      </c>
      <c r="O109" s="25"/>
      <c r="P109" s="22"/>
      <c r="Q109" s="61">
        <v>45</v>
      </c>
      <c r="R109" s="82"/>
      <c r="S109" s="22">
        <f t="shared" si="1"/>
        <v>0</v>
      </c>
      <c r="T109" s="22"/>
      <c r="U109" s="31"/>
      <c r="V109" s="51"/>
    </row>
    <row r="110" spans="1:22" ht="20.100000000000001" customHeight="1" x14ac:dyDescent="0.3">
      <c r="A110" s="44">
        <v>102</v>
      </c>
      <c r="B110" s="22">
        <f>+'Order Details Apr23-Mar24'!P110</f>
        <v>45162</v>
      </c>
      <c r="C110" s="23"/>
      <c r="D110" s="53" t="str">
        <f>+'Order Details Apr23-Mar24'!T110</f>
        <v>Venkateshwara Hatcheries Ltd</v>
      </c>
      <c r="E110" s="25"/>
      <c r="F110" s="183" t="str">
        <f>+'Order Details Apr23-Mar24'!D110</f>
        <v>IBH KILLED VAC</v>
      </c>
      <c r="G110" s="184"/>
      <c r="H110" s="26" t="str">
        <f>+'Order Details Apr23-Mar24'!G110</f>
        <v>Dose</v>
      </c>
      <c r="I110" s="27">
        <f>+'Order Details Apr23-Mar24'!I110</f>
        <v>28000</v>
      </c>
      <c r="J110" s="28"/>
      <c r="K110" s="185" t="str">
        <f>+'Order Details Apr23-Mar24'!R110</f>
        <v>PO / NBF / 240823 / 70</v>
      </c>
      <c r="L110" s="186"/>
      <c r="M110" s="187"/>
      <c r="N110" s="100">
        <f>+'Order Details Apr23-Mar24'!F110*'Order Details Apr23-Mar24'!N110</f>
        <v>46305</v>
      </c>
      <c r="O110" s="25"/>
      <c r="P110" s="22"/>
      <c r="Q110" s="61">
        <v>45</v>
      </c>
      <c r="R110" s="82"/>
      <c r="S110" s="22">
        <f t="shared" si="1"/>
        <v>0</v>
      </c>
      <c r="T110" s="22"/>
      <c r="U110" s="31"/>
      <c r="V110" s="51"/>
    </row>
    <row r="111" spans="1:22" ht="20.100000000000001" customHeight="1" x14ac:dyDescent="0.3">
      <c r="A111" s="44">
        <v>103</v>
      </c>
      <c r="B111" s="22">
        <f>+'Order Details Apr23-Mar24'!P111</f>
        <v>45162</v>
      </c>
      <c r="C111" s="23"/>
      <c r="D111" s="53" t="str">
        <f>+'Order Details Apr23-Mar24'!T111</f>
        <v>Venkateshwara Hatcheries Ltd</v>
      </c>
      <c r="E111" s="25"/>
      <c r="F111" s="183" t="str">
        <f>+'Order Details Apr23-Mar24'!D111</f>
        <v>VH V-4K (4-Way) KILLED VAC</v>
      </c>
      <c r="G111" s="184"/>
      <c r="H111" s="26" t="str">
        <f>+'Order Details Apr23-Mar24'!G111</f>
        <v>Dose</v>
      </c>
      <c r="I111" s="27">
        <f>+'Order Details Apr23-Mar24'!I111</f>
        <v>22000</v>
      </c>
      <c r="J111" s="28"/>
      <c r="K111" s="185" t="str">
        <f>+'Order Details Apr23-Mar24'!R111</f>
        <v>PO / NBF / 240823 / 70</v>
      </c>
      <c r="L111" s="186"/>
      <c r="M111" s="187"/>
      <c r="N111" s="100">
        <f>+'Order Details Apr23-Mar24'!F111*'Order Details Apr23-Mar24'!N111</f>
        <v>121275</v>
      </c>
      <c r="O111" s="25"/>
      <c r="P111" s="22"/>
      <c r="Q111" s="61">
        <v>45</v>
      </c>
      <c r="R111" s="82"/>
      <c r="S111" s="22">
        <f t="shared" si="1"/>
        <v>0</v>
      </c>
      <c r="T111" s="22"/>
      <c r="U111" s="31"/>
      <c r="V111" s="51"/>
    </row>
    <row r="112" spans="1:22" ht="20.100000000000001" customHeight="1" x14ac:dyDescent="0.3">
      <c r="A112" s="44">
        <v>104</v>
      </c>
      <c r="B112" s="22">
        <f>+'Order Details Apr23-Mar24'!P112</f>
        <v>45162</v>
      </c>
      <c r="C112" s="23"/>
      <c r="D112" s="53" t="str">
        <f>+'Order Details Apr23-Mar24'!T112</f>
        <v>Bhavani Veterinary Medical</v>
      </c>
      <c r="E112" s="25"/>
      <c r="F112" s="183" t="str">
        <f>+'Order Details Apr23-Mar24'!D112</f>
        <v>RECEPTOL (MSD)</v>
      </c>
      <c r="G112" s="184"/>
      <c r="H112" s="26" t="str">
        <f>+'Order Details Apr23-Mar24'!G112</f>
        <v>Ml</v>
      </c>
      <c r="I112" s="27">
        <f>+'Order Details Apr23-Mar24'!I112</f>
        <v>600</v>
      </c>
      <c r="J112" s="28"/>
      <c r="K112" s="185" t="str">
        <f>+'Order Details Apr23-Mar24'!R112</f>
        <v>PO / NBF / 240823 / 71</v>
      </c>
      <c r="L112" s="186"/>
      <c r="M112" s="187"/>
      <c r="N112" s="100">
        <f>+'Order Details Apr23-Mar24'!F112*'Order Details Apr23-Mar24'!N112</f>
        <v>42000</v>
      </c>
      <c r="O112" s="25"/>
      <c r="P112" s="22"/>
      <c r="Q112" s="26">
        <v>30</v>
      </c>
      <c r="R112" s="82"/>
      <c r="S112" s="22">
        <f t="shared" si="1"/>
        <v>0</v>
      </c>
      <c r="T112" s="22"/>
      <c r="U112" s="31"/>
      <c r="V112" s="51"/>
    </row>
    <row r="113" spans="1:22" ht="20.100000000000001" customHeight="1" x14ac:dyDescent="0.3">
      <c r="A113" s="44">
        <v>105</v>
      </c>
      <c r="B113" s="22">
        <f>+'Order Details Apr23-Mar24'!P113</f>
        <v>45162</v>
      </c>
      <c r="C113" s="23"/>
      <c r="D113" s="53" t="str">
        <f>+'Order Details Apr23-Mar24'!T113</f>
        <v>Das Drug Centre, Habra</v>
      </c>
      <c r="E113" s="25"/>
      <c r="F113" s="183" t="str">
        <f>+'Order Details Apr23-Mar24'!D113</f>
        <v>SELVO-BH (Alivira)</v>
      </c>
      <c r="G113" s="184"/>
      <c r="H113" s="26" t="str">
        <f>+'Order Details Apr23-Mar24'!G113</f>
        <v>Ltr</v>
      </c>
      <c r="I113" s="27">
        <f>+'Order Details Apr23-Mar24'!I113</f>
        <v>100</v>
      </c>
      <c r="J113" s="28"/>
      <c r="K113" s="185" t="str">
        <f>+'Order Details Apr23-Mar24'!R113</f>
        <v>PO / NBF / 240823 / 72</v>
      </c>
      <c r="L113" s="186"/>
      <c r="M113" s="187"/>
      <c r="N113" s="100">
        <f>+'Order Details Apr23-Mar24'!F113*'Order Details Apr23-Mar24'!N113</f>
        <v>103488.00000000001</v>
      </c>
      <c r="O113" s="25"/>
      <c r="P113" s="22"/>
      <c r="Q113" s="26">
        <v>45</v>
      </c>
      <c r="R113" s="82"/>
      <c r="S113" s="22">
        <f t="shared" si="1"/>
        <v>0</v>
      </c>
      <c r="T113" s="22"/>
      <c r="U113" s="31"/>
      <c r="V113" s="51"/>
    </row>
    <row r="114" spans="1:22" ht="20.100000000000001" customHeight="1" x14ac:dyDescent="0.3">
      <c r="A114" s="44">
        <v>106</v>
      </c>
      <c r="B114" s="22">
        <f>+'Order Details Apr23-Mar24'!P114</f>
        <v>45162</v>
      </c>
      <c r="C114" s="23"/>
      <c r="D114" s="53" t="str">
        <f>+'Order Details Apr23-Mar24'!T114</f>
        <v>Hester Biosciences Limited</v>
      </c>
      <c r="E114" s="25"/>
      <c r="F114" s="183" t="str">
        <f>+'Order Details Apr23-Mar24'!D114</f>
        <v>INACTIVATED PULLET ND (HPAI)</v>
      </c>
      <c r="G114" s="184"/>
      <c r="H114" s="26" t="str">
        <f>+'Order Details Apr23-Mar24'!G114</f>
        <v>Dose</v>
      </c>
      <c r="I114" s="27">
        <f>+'Order Details Apr23-Mar24'!I114</f>
        <v>22000</v>
      </c>
      <c r="J114" s="28"/>
      <c r="K114" s="185" t="str">
        <f>+'Order Details Apr23-Mar24'!R114</f>
        <v>PO / NBF / 240823 / 73</v>
      </c>
      <c r="L114" s="186"/>
      <c r="M114" s="187"/>
      <c r="N114" s="100">
        <f>+'Order Details Apr23-Mar24'!F114*'Order Details Apr23-Mar24'!N114</f>
        <v>56254.274999999994</v>
      </c>
      <c r="O114" s="25"/>
      <c r="P114" s="22"/>
      <c r="Q114" s="87">
        <v>45</v>
      </c>
      <c r="R114" s="82"/>
      <c r="S114" s="22">
        <f t="shared" si="1"/>
        <v>0</v>
      </c>
      <c r="T114" s="22"/>
      <c r="U114" s="31"/>
      <c r="V114" s="51"/>
    </row>
    <row r="115" spans="1:22" ht="20.100000000000001" customHeight="1" x14ac:dyDescent="0.3">
      <c r="A115" s="44">
        <v>107</v>
      </c>
      <c r="B115" s="22">
        <f>+'Order Details Apr23-Mar24'!P115</f>
        <v>45162</v>
      </c>
      <c r="C115" s="23"/>
      <c r="D115" s="53" t="str">
        <f>+'Order Details Apr23-Mar24'!T115</f>
        <v>Tara Enterprises, Hyderabad</v>
      </c>
      <c r="E115" s="25"/>
      <c r="F115" s="183" t="str">
        <f>+'Order Details Apr23-Mar24'!D115</f>
        <v>Hipraviar Clon H-120 (Hipra)</v>
      </c>
      <c r="G115" s="184"/>
      <c r="H115" s="26" t="str">
        <f>+'Order Details Apr23-Mar24'!G115</f>
        <v>Dose</v>
      </c>
      <c r="I115" s="27">
        <f>+'Order Details Apr23-Mar24'!I115</f>
        <v>150000</v>
      </c>
      <c r="J115" s="28"/>
      <c r="K115" s="185" t="str">
        <f>+'Order Details Apr23-Mar24'!R115</f>
        <v>PO / NBF / 240823 / 74</v>
      </c>
      <c r="L115" s="186"/>
      <c r="M115" s="187"/>
      <c r="N115" s="100">
        <f>+'Order Details Apr23-Mar24'!F115*'Order Details Apr23-Mar24'!N115</f>
        <v>34650</v>
      </c>
      <c r="O115" s="25"/>
      <c r="P115" s="22"/>
      <c r="Q115" s="26">
        <v>45</v>
      </c>
      <c r="R115" s="82"/>
      <c r="S115" s="22">
        <f t="shared" si="1"/>
        <v>0</v>
      </c>
      <c r="T115" s="22"/>
      <c r="U115" s="31"/>
      <c r="V115" s="51"/>
    </row>
    <row r="116" spans="1:22" ht="20.100000000000001" customHeight="1" x14ac:dyDescent="0.3">
      <c r="A116" s="44">
        <v>108</v>
      </c>
      <c r="B116" s="22">
        <f>+'Order Details Apr23-Mar24'!P116</f>
        <v>45163</v>
      </c>
      <c r="C116" s="23"/>
      <c r="D116" s="53" t="str">
        <f>+'Order Details Apr23-Mar24'!T116</f>
        <v>Das Drug Centre, Habra</v>
      </c>
      <c r="E116" s="25"/>
      <c r="F116" s="183" t="str">
        <f>+'Order Details Apr23-Mar24'!D116</f>
        <v>STODI (Natural Remedies)</v>
      </c>
      <c r="G116" s="184"/>
      <c r="H116" s="26" t="str">
        <f>+'Order Details Apr23-Mar24'!G116</f>
        <v>Kg</v>
      </c>
      <c r="I116" s="27">
        <f>+'Order Details Apr23-Mar24'!I116</f>
        <v>500</v>
      </c>
      <c r="J116" s="28"/>
      <c r="K116" s="185" t="str">
        <f>+'Order Details Apr23-Mar24'!R116</f>
        <v>PO / NBF / 250823 / 75</v>
      </c>
      <c r="L116" s="186"/>
      <c r="M116" s="187"/>
      <c r="N116" s="100">
        <f>+'Order Details Apr23-Mar24'!F116*'Order Details Apr23-Mar24'!N116</f>
        <v>35500</v>
      </c>
      <c r="O116" s="25"/>
      <c r="P116" s="22"/>
      <c r="Q116" s="26">
        <v>45</v>
      </c>
      <c r="R116" s="82"/>
      <c r="S116" s="22">
        <f t="shared" si="1"/>
        <v>0</v>
      </c>
      <c r="T116" s="22"/>
      <c r="U116" s="31"/>
      <c r="V116" s="51"/>
    </row>
    <row r="117" spans="1:22" ht="20.100000000000001" customHeight="1" x14ac:dyDescent="0.3">
      <c r="A117" s="44">
        <v>109</v>
      </c>
      <c r="B117" s="22">
        <f>+'Order Details Apr23-Mar24'!P117</f>
        <v>45163</v>
      </c>
      <c r="C117" s="23"/>
      <c r="D117" s="53" t="str">
        <f>+'Order Details Apr23-Mar24'!T117</f>
        <v>Sai Kiran Medical Agencies</v>
      </c>
      <c r="E117" s="25"/>
      <c r="F117" s="183" t="str">
        <f>+'Order Details Apr23-Mar24'!D117</f>
        <v>SALCOCHEK (Ayurvet)</v>
      </c>
      <c r="G117" s="184"/>
      <c r="H117" s="26" t="str">
        <f>+'Order Details Apr23-Mar24'!G117</f>
        <v>Kg</v>
      </c>
      <c r="I117" s="27">
        <f>+'Order Details Apr23-Mar24'!I117</f>
        <v>300</v>
      </c>
      <c r="J117" s="28"/>
      <c r="K117" s="185" t="str">
        <f>+'Order Details Apr23-Mar24'!R117</f>
        <v>PO / NBF / 250823 / 76</v>
      </c>
      <c r="L117" s="186"/>
      <c r="M117" s="187"/>
      <c r="N117" s="100">
        <f>+'Order Details Apr23-Mar24'!F117*'Order Details Apr23-Mar24'!N117</f>
        <v>43008</v>
      </c>
      <c r="O117" s="25"/>
      <c r="P117" s="22"/>
      <c r="Q117" s="26">
        <v>45</v>
      </c>
      <c r="R117" s="82"/>
      <c r="S117" s="22">
        <f t="shared" si="1"/>
        <v>0</v>
      </c>
      <c r="T117" s="22"/>
      <c r="U117" s="31"/>
      <c r="V117" s="51"/>
    </row>
    <row r="118" spans="1:22" ht="20.100000000000001" customHeight="1" x14ac:dyDescent="0.3">
      <c r="A118" s="44">
        <v>110</v>
      </c>
      <c r="B118" s="22">
        <f>+'Order Details Apr23-Mar24'!P118</f>
        <v>45163</v>
      </c>
      <c r="C118" s="23"/>
      <c r="D118" s="53" t="str">
        <f>+'Order Details Apr23-Mar24'!T118</f>
        <v>Stallen South Asia Pvt Ltd</v>
      </c>
      <c r="E118" s="25"/>
      <c r="F118" s="183" t="str">
        <f>+'Order Details Apr23-Mar24'!D118</f>
        <v>FORLUTIN-10% (Stallen)</v>
      </c>
      <c r="G118" s="184"/>
      <c r="H118" s="26" t="str">
        <f>+'Order Details Apr23-Mar24'!G118</f>
        <v>Kg</v>
      </c>
      <c r="I118" s="27">
        <f>+'Order Details Apr23-Mar24'!I118</f>
        <v>200</v>
      </c>
      <c r="J118" s="28"/>
      <c r="K118" s="185" t="str">
        <f>+'Order Details Apr23-Mar24'!R118</f>
        <v>PO / NBF / 250823 / 77</v>
      </c>
      <c r="L118" s="186"/>
      <c r="M118" s="187"/>
      <c r="N118" s="100">
        <f>+'Order Details Apr23-Mar24'!F118*'Order Details Apr23-Mar24'!N118</f>
        <v>141000</v>
      </c>
      <c r="O118" s="25"/>
      <c r="P118" s="22"/>
      <c r="Q118" s="26">
        <v>45</v>
      </c>
      <c r="R118" s="82"/>
      <c r="S118" s="22">
        <f t="shared" si="1"/>
        <v>0</v>
      </c>
      <c r="T118" s="22"/>
      <c r="U118" s="31"/>
      <c r="V118" s="51"/>
    </row>
    <row r="119" spans="1:22" ht="20.100000000000001" customHeight="1" x14ac:dyDescent="0.3">
      <c r="A119" s="44">
        <v>111</v>
      </c>
      <c r="B119" s="22">
        <f>+'Order Details Apr23-Mar24'!P119</f>
        <v>45168</v>
      </c>
      <c r="C119" s="23"/>
      <c r="D119" s="53" t="str">
        <f>+'Order Details Apr23-Mar24'!T119</f>
        <v>Das Drug Centre, Habra</v>
      </c>
      <c r="E119" s="25"/>
      <c r="F119" s="183" t="str">
        <f>+'Order Details Apr23-Mar24'!D119</f>
        <v>FARMQUAT (Neogen)</v>
      </c>
      <c r="G119" s="184"/>
      <c r="H119" s="26" t="str">
        <f>+'Order Details Apr23-Mar24'!G119</f>
        <v>Ltr</v>
      </c>
      <c r="I119" s="27">
        <f>+'Order Details Apr23-Mar24'!I119</f>
        <v>100</v>
      </c>
      <c r="J119" s="28"/>
      <c r="K119" s="185" t="str">
        <f>+'Order Details Apr23-Mar24'!R119</f>
        <v>PO / NBF / 300823 / 78</v>
      </c>
      <c r="L119" s="186"/>
      <c r="M119" s="187"/>
      <c r="N119" s="100">
        <f>+'Order Details Apr23-Mar24'!F119*'Order Details Apr23-Mar24'!N119</f>
        <v>55460</v>
      </c>
      <c r="O119" s="25"/>
      <c r="P119" s="22"/>
      <c r="Q119" s="26">
        <v>45</v>
      </c>
      <c r="R119" s="82"/>
      <c r="S119" s="22">
        <f t="shared" si="1"/>
        <v>0</v>
      </c>
      <c r="T119" s="22"/>
      <c r="U119" s="31"/>
      <c r="V119" s="51"/>
    </row>
    <row r="120" spans="1:22" ht="20.100000000000001" customHeight="1" x14ac:dyDescent="0.3">
      <c r="A120" s="44">
        <v>112</v>
      </c>
      <c r="B120" s="22">
        <f>+'Order Details Apr23-Mar24'!P120</f>
        <v>45168</v>
      </c>
      <c r="C120" s="23"/>
      <c r="D120" s="53" t="str">
        <f>+'Order Details Apr23-Mar24'!T120</f>
        <v>Das Drug Centre, Habra</v>
      </c>
      <c r="E120" s="25"/>
      <c r="F120" s="183" t="str">
        <f>+'Order Details Apr23-Mar24'!D120</f>
        <v>SELVO-BH (Alivira)</v>
      </c>
      <c r="G120" s="184"/>
      <c r="H120" s="26" t="str">
        <f>+'Order Details Apr23-Mar24'!G120</f>
        <v>Ltr</v>
      </c>
      <c r="I120" s="27">
        <f>+'Order Details Apr23-Mar24'!I120</f>
        <v>100</v>
      </c>
      <c r="J120" s="28"/>
      <c r="K120" s="185" t="str">
        <f>+'Order Details Apr23-Mar24'!R120</f>
        <v>PO / NBF / 300823 / 78</v>
      </c>
      <c r="L120" s="186"/>
      <c r="M120" s="187"/>
      <c r="N120" s="100">
        <f>+'Order Details Apr23-Mar24'!F120*'Order Details Apr23-Mar24'!N120</f>
        <v>103488.00000000001</v>
      </c>
      <c r="O120" s="25"/>
      <c r="P120" s="22"/>
      <c r="Q120" s="26">
        <v>45</v>
      </c>
      <c r="R120" s="82"/>
      <c r="S120" s="22">
        <f t="shared" si="1"/>
        <v>0</v>
      </c>
      <c r="T120" s="22"/>
      <c r="U120" s="31"/>
      <c r="V120" s="51"/>
    </row>
    <row r="121" spans="1:22" ht="20.100000000000001" customHeight="1" x14ac:dyDescent="0.3">
      <c r="A121" s="44">
        <v>113</v>
      </c>
      <c r="B121" s="22">
        <f>+'Order Details Apr23-Mar24'!P121</f>
        <v>45168</v>
      </c>
      <c r="C121" s="23"/>
      <c r="D121" s="53" t="str">
        <f>+'Order Details Apr23-Mar24'!T121</f>
        <v>Provimi Animal Nutrition India</v>
      </c>
      <c r="E121" s="25"/>
      <c r="F121" s="183" t="str">
        <f>+'Order Details Apr23-Mar24'!D121</f>
        <v>Breeder Vitamin Premix (Custom)</v>
      </c>
      <c r="G121" s="184"/>
      <c r="H121" s="26" t="str">
        <f>+'Order Details Apr23-Mar24'!G121</f>
        <v>Kg</v>
      </c>
      <c r="I121" s="27">
        <f>+'Order Details Apr23-Mar24'!I121</f>
        <v>750</v>
      </c>
      <c r="J121" s="28"/>
      <c r="K121" s="185" t="str">
        <f>+'Order Details Apr23-Mar24'!R121</f>
        <v>PO / NBF / 300823 / 79</v>
      </c>
      <c r="L121" s="186"/>
      <c r="M121" s="187"/>
      <c r="N121" s="100">
        <f>+'Order Details Apr23-Mar24'!F121*'Order Details Apr23-Mar24'!N121</f>
        <v>397500</v>
      </c>
      <c r="O121" s="25"/>
      <c r="P121" s="22"/>
      <c r="Q121" s="26">
        <v>45</v>
      </c>
      <c r="R121" s="82"/>
      <c r="S121" s="22">
        <f t="shared" si="1"/>
        <v>0</v>
      </c>
      <c r="T121" s="22"/>
      <c r="U121" s="31"/>
      <c r="V121" s="51"/>
    </row>
    <row r="122" spans="1:22" ht="20.100000000000001" customHeight="1" x14ac:dyDescent="0.3">
      <c r="A122" s="44">
        <v>114</v>
      </c>
      <c r="B122" s="22">
        <f>+'Order Details Apr23-Mar24'!P122</f>
        <v>45176</v>
      </c>
      <c r="C122" s="23"/>
      <c r="D122" s="53" t="str">
        <f>+'Order Details Apr23-Mar24'!T122</f>
        <v>ABP Enterprises, W. Bengal</v>
      </c>
      <c r="E122" s="25"/>
      <c r="F122" s="183" t="str">
        <f>+'Order Details Apr23-Mar24'!D122</f>
        <v>ALPHA D-3 PREVIT (Chembond)</v>
      </c>
      <c r="G122" s="184"/>
      <c r="H122" s="26" t="str">
        <f>+'Order Details Apr23-Mar24'!G122</f>
        <v>Kg</v>
      </c>
      <c r="I122" s="27">
        <f>+'Order Details Apr23-Mar24'!I122</f>
        <v>100</v>
      </c>
      <c r="J122" s="28"/>
      <c r="K122" s="185" t="str">
        <f>+'Order Details Apr23-Mar24'!R122</f>
        <v>PO / NBF / 070923 / 80</v>
      </c>
      <c r="L122" s="186"/>
      <c r="M122" s="187"/>
      <c r="N122" s="100">
        <f>+'Order Details Apr23-Mar24'!F122*'Order Details Apr23-Mar24'!N122</f>
        <v>79000</v>
      </c>
      <c r="O122" s="25"/>
      <c r="P122" s="22"/>
      <c r="Q122" s="26">
        <v>30</v>
      </c>
      <c r="R122" s="82"/>
      <c r="S122" s="22">
        <f t="shared" si="1"/>
        <v>0</v>
      </c>
      <c r="T122" s="22"/>
      <c r="U122" s="31"/>
      <c r="V122" s="51"/>
    </row>
    <row r="123" spans="1:22" ht="20.100000000000001" customHeight="1" x14ac:dyDescent="0.3">
      <c r="A123" s="44">
        <v>115</v>
      </c>
      <c r="B123" s="22">
        <f>+'Order Details Apr23-Mar24'!P123</f>
        <v>45176</v>
      </c>
      <c r="C123" s="23"/>
      <c r="D123" s="53" t="str">
        <f>+'Order Details Apr23-Mar24'!T123</f>
        <v>Das Drug Centre, Habra</v>
      </c>
      <c r="E123" s="25"/>
      <c r="F123" s="183" t="str">
        <f>+'Order Details Apr23-Mar24'!D123</f>
        <v>KOLIN PLUS (Natural Remedies)</v>
      </c>
      <c r="G123" s="184"/>
      <c r="H123" s="26" t="str">
        <f>+'Order Details Apr23-Mar24'!G123</f>
        <v>Kg</v>
      </c>
      <c r="I123" s="27">
        <f>+'Order Details Apr23-Mar24'!I123</f>
        <v>500</v>
      </c>
      <c r="J123" s="28"/>
      <c r="K123" s="185" t="str">
        <f>+'Order Details Apr23-Mar24'!R123</f>
        <v>PO / NBF / 070923 / 81</v>
      </c>
      <c r="L123" s="186"/>
      <c r="M123" s="187"/>
      <c r="N123" s="100">
        <f>+'Order Details Apr23-Mar24'!F123*'Order Details Apr23-Mar24'!N123</f>
        <v>35000</v>
      </c>
      <c r="O123" s="25"/>
      <c r="P123" s="22"/>
      <c r="Q123" s="26">
        <v>45</v>
      </c>
      <c r="R123" s="82"/>
      <c r="S123" s="22">
        <f t="shared" si="1"/>
        <v>0</v>
      </c>
      <c r="T123" s="22"/>
      <c r="U123" s="31"/>
      <c r="V123" s="51"/>
    </row>
    <row r="124" spans="1:22" ht="20.100000000000001" customHeight="1" x14ac:dyDescent="0.3">
      <c r="A124" s="44">
        <v>116</v>
      </c>
      <c r="B124" s="22">
        <f>+'Order Details Apr23-Mar24'!P124</f>
        <v>45176</v>
      </c>
      <c r="C124" s="23"/>
      <c r="D124" s="53" t="str">
        <f>+'Order Details Apr23-Mar24'!T124</f>
        <v>Kemin Industries South Asia</v>
      </c>
      <c r="E124" s="25"/>
      <c r="F124" s="183" t="str">
        <f>+'Order Details Apr23-Mar24'!D124</f>
        <v>KEMZYME-XPF (Kemin Indus.)</v>
      </c>
      <c r="G124" s="184"/>
      <c r="H124" s="26" t="str">
        <f>+'Order Details Apr23-Mar24'!G124</f>
        <v>Kg</v>
      </c>
      <c r="I124" s="27">
        <f>+'Order Details Apr23-Mar24'!I124</f>
        <v>250</v>
      </c>
      <c r="J124" s="28"/>
      <c r="K124" s="185" t="str">
        <f>+'Order Details Apr23-Mar24'!R124</f>
        <v>PO / NBF / 070923 / 82</v>
      </c>
      <c r="L124" s="186"/>
      <c r="M124" s="187"/>
      <c r="N124" s="100">
        <f>+'Order Details Apr23-Mar24'!F124*'Order Details Apr23-Mar24'!N124</f>
        <v>60500</v>
      </c>
      <c r="O124" s="25"/>
      <c r="P124" s="22"/>
      <c r="Q124" s="26">
        <v>45</v>
      </c>
      <c r="R124" s="82"/>
      <c r="S124" s="22">
        <f t="shared" si="1"/>
        <v>0</v>
      </c>
      <c r="T124" s="22"/>
      <c r="U124" s="31"/>
      <c r="V124" s="51"/>
    </row>
    <row r="125" spans="1:22" ht="20.100000000000001" customHeight="1" x14ac:dyDescent="0.3">
      <c r="A125" s="44">
        <v>117</v>
      </c>
      <c r="B125" s="22">
        <f>+'Order Details Apr23-Mar24'!P125</f>
        <v>45177</v>
      </c>
      <c r="C125" s="23"/>
      <c r="D125" s="53" t="str">
        <f>+'Order Details Apr23-Mar24'!T125</f>
        <v>Sneha Farms Pvt Ltd, Hyderabad</v>
      </c>
      <c r="E125" s="25"/>
      <c r="F125" s="183" t="str">
        <f>+'Order Details Apr23-Mar24'!D125</f>
        <v>Rovimix-E 50% (DSM)</v>
      </c>
      <c r="G125" s="184"/>
      <c r="H125" s="26" t="str">
        <f>+'Order Details Apr23-Mar24'!G125</f>
        <v>Kg</v>
      </c>
      <c r="I125" s="27">
        <f>+'Order Details Apr23-Mar24'!I125</f>
        <v>200</v>
      </c>
      <c r="J125" s="28"/>
      <c r="K125" s="185" t="str">
        <f>+'Order Details Apr23-Mar24'!R125</f>
        <v>PO / NBF / 080923 / 83</v>
      </c>
      <c r="L125" s="186"/>
      <c r="M125" s="187"/>
      <c r="N125" s="100">
        <f>+'Order Details Apr23-Mar24'!F125*'Order Details Apr23-Mar24'!N125</f>
        <v>200000</v>
      </c>
      <c r="O125" s="25"/>
      <c r="P125" s="22"/>
      <c r="Q125" s="26">
        <v>7</v>
      </c>
      <c r="R125" s="82"/>
      <c r="S125" s="22">
        <f t="shared" si="1"/>
        <v>0</v>
      </c>
      <c r="T125" s="22"/>
      <c r="U125" s="31"/>
      <c r="V125" s="51"/>
    </row>
    <row r="126" spans="1:22" ht="20.100000000000001" customHeight="1" x14ac:dyDescent="0.3">
      <c r="A126" s="44">
        <v>118</v>
      </c>
      <c r="B126" s="22">
        <f>+'Order Details Apr23-Mar24'!P126</f>
        <v>45181</v>
      </c>
      <c r="C126" s="23"/>
      <c r="D126" s="53" t="str">
        <f>+'Order Details Apr23-Mar24'!T126</f>
        <v>Sneha Farms Pvt Ltd, Hyderabad</v>
      </c>
      <c r="E126" s="25"/>
      <c r="F126" s="183" t="str">
        <f>+'Order Details Apr23-Mar24'!D126</f>
        <v>DLM (Evonic)</v>
      </c>
      <c r="G126" s="184"/>
      <c r="H126" s="26" t="str">
        <f>+'Order Details Apr23-Mar24'!G126</f>
        <v>Kg</v>
      </c>
      <c r="I126" s="27">
        <f>+'Order Details Apr23-Mar24'!I126</f>
        <v>250</v>
      </c>
      <c r="J126" s="28"/>
      <c r="K126" s="185" t="str">
        <f>+'Order Details Apr23-Mar24'!R126</f>
        <v>PO / NBF / 120923 / 84</v>
      </c>
      <c r="L126" s="186"/>
      <c r="M126" s="187"/>
      <c r="N126" s="100">
        <f>+'Order Details Apr23-Mar24'!F126*'Order Details Apr23-Mar24'!N126</f>
        <v>54999.799999999996</v>
      </c>
      <c r="O126" s="25"/>
      <c r="P126" s="22"/>
      <c r="Q126" s="26">
        <v>7</v>
      </c>
      <c r="R126" s="82"/>
      <c r="S126" s="22">
        <f t="shared" si="1"/>
        <v>0</v>
      </c>
      <c r="T126" s="22"/>
      <c r="U126" s="31"/>
      <c r="V126" s="51"/>
    </row>
    <row r="127" spans="1:22" ht="20.100000000000001" customHeight="1" x14ac:dyDescent="0.3">
      <c r="A127" s="44">
        <v>119</v>
      </c>
      <c r="B127" s="22">
        <f>+'Order Details Apr23-Mar24'!P127</f>
        <v>45181</v>
      </c>
      <c r="C127" s="23"/>
      <c r="D127" s="53" t="str">
        <f>+'Order Details Apr23-Mar24'!T127</f>
        <v>Sneha Farms Pvt Ltd, Hyderabad</v>
      </c>
      <c r="E127" s="25"/>
      <c r="F127" s="183" t="str">
        <f>+'Order Details Apr23-Mar24'!D127</f>
        <v>Lysine HCL (Meihua)</v>
      </c>
      <c r="G127" s="184"/>
      <c r="H127" s="26" t="str">
        <f>+'Order Details Apr23-Mar24'!G127</f>
        <v>Kg</v>
      </c>
      <c r="I127" s="27">
        <f>+'Order Details Apr23-Mar24'!I127</f>
        <v>250</v>
      </c>
      <c r="J127" s="28"/>
      <c r="K127" s="185" t="str">
        <f>+'Order Details Apr23-Mar24'!R127</f>
        <v>PO / NBF / 120923 / 84</v>
      </c>
      <c r="L127" s="186"/>
      <c r="M127" s="187"/>
      <c r="N127" s="100">
        <f>+'Order Details Apr23-Mar24'!F127*'Order Details Apr23-Mar24'!N127</f>
        <v>39500.5</v>
      </c>
      <c r="O127" s="25"/>
      <c r="P127" s="22"/>
      <c r="Q127" s="26">
        <v>7</v>
      </c>
      <c r="R127" s="82"/>
      <c r="S127" s="22">
        <f t="shared" si="1"/>
        <v>0</v>
      </c>
      <c r="T127" s="22"/>
      <c r="U127" s="31"/>
      <c r="V127" s="51"/>
    </row>
    <row r="128" spans="1:22" ht="20.100000000000001" customHeight="1" x14ac:dyDescent="0.3">
      <c r="A128" s="44">
        <v>120</v>
      </c>
      <c r="B128" s="22">
        <f>+'Order Details Apr23-Mar24'!P128</f>
        <v>45183</v>
      </c>
      <c r="C128" s="23"/>
      <c r="D128" s="53" t="str">
        <f>+'Order Details Apr23-Mar24'!T128</f>
        <v>Healers Associates, Vijayawada</v>
      </c>
      <c r="E128" s="25"/>
      <c r="F128" s="183" t="str">
        <f>+'Order Details Apr23-Mar24'!D128</f>
        <v>SPERMED (Medichem Product)</v>
      </c>
      <c r="G128" s="184"/>
      <c r="H128" s="26" t="str">
        <f>+'Order Details Apr23-Mar24'!G128</f>
        <v>Kg</v>
      </c>
      <c r="I128" s="27">
        <f>+'Order Details Apr23-Mar24'!I128</f>
        <v>40</v>
      </c>
      <c r="J128" s="28"/>
      <c r="K128" s="185" t="str">
        <f>+'Order Details Apr23-Mar24'!R128</f>
        <v>PO / NBF / 140923 / 85</v>
      </c>
      <c r="L128" s="186"/>
      <c r="M128" s="187"/>
      <c r="N128" s="100">
        <f>+'Order Details Apr23-Mar24'!F128*'Order Details Apr23-Mar24'!N128</f>
        <v>140000</v>
      </c>
      <c r="O128" s="25"/>
      <c r="P128" s="22"/>
      <c r="Q128" s="26">
        <v>45</v>
      </c>
      <c r="R128" s="82"/>
      <c r="S128" s="22">
        <f t="shared" si="1"/>
        <v>0</v>
      </c>
      <c r="T128" s="22"/>
      <c r="U128" s="31"/>
      <c r="V128" s="51"/>
    </row>
    <row r="129" spans="1:22" ht="20.100000000000001" customHeight="1" x14ac:dyDescent="0.3">
      <c r="A129" s="44">
        <v>121</v>
      </c>
      <c r="B129" s="22">
        <f>+'Order Details Apr23-Mar24'!P129</f>
        <v>45184</v>
      </c>
      <c r="C129" s="23"/>
      <c r="D129" s="53" t="str">
        <f>+'Order Details Apr23-Mar24'!T129</f>
        <v>Alivira Animal Health Ltd</v>
      </c>
      <c r="E129" s="25"/>
      <c r="F129" s="183" t="str">
        <f>+'Order Details Apr23-Mar24'!D129</f>
        <v>CITRINAL (Alivira)</v>
      </c>
      <c r="G129" s="184"/>
      <c r="H129" s="26" t="str">
        <f>+'Order Details Apr23-Mar24'!G129</f>
        <v>Kg</v>
      </c>
      <c r="I129" s="27">
        <f>+'Order Details Apr23-Mar24'!I129</f>
        <v>500</v>
      </c>
      <c r="J129" s="28"/>
      <c r="K129" s="185" t="str">
        <f>+'Order Details Apr23-Mar24'!R129</f>
        <v>PO / NBF / 150923 / 86</v>
      </c>
      <c r="L129" s="186"/>
      <c r="M129" s="187"/>
      <c r="N129" s="100">
        <f>+'Order Details Apr23-Mar24'!F129*'Order Details Apr23-Mar24'!N129</f>
        <v>75000</v>
      </c>
      <c r="O129" s="25"/>
      <c r="P129" s="22"/>
      <c r="Q129" s="26">
        <v>45</v>
      </c>
      <c r="R129" s="82"/>
      <c r="S129" s="22">
        <f t="shared" si="1"/>
        <v>0</v>
      </c>
      <c r="T129" s="22"/>
      <c r="U129" s="31"/>
      <c r="V129" s="51"/>
    </row>
    <row r="130" spans="1:22" ht="20.100000000000001" customHeight="1" x14ac:dyDescent="0.3">
      <c r="A130" s="44">
        <v>122</v>
      </c>
      <c r="B130" s="22">
        <f>+'Order Details Apr23-Mar24'!P130</f>
        <v>45188</v>
      </c>
      <c r="C130" s="23"/>
      <c r="D130" s="53" t="str">
        <f>+'Order Details Apr23-Mar24'!T130</f>
        <v>Das Drug Centre, Habra</v>
      </c>
      <c r="E130" s="25"/>
      <c r="F130" s="183" t="str">
        <f>+'Order Details Apr23-Mar24'!D130</f>
        <v>HIM-C (Himalaya)</v>
      </c>
      <c r="G130" s="184"/>
      <c r="H130" s="26" t="str">
        <f>+'Order Details Apr23-Mar24'!G130</f>
        <v>Kg</v>
      </c>
      <c r="I130" s="27">
        <f>+'Order Details Apr23-Mar24'!I130</f>
        <v>504</v>
      </c>
      <c r="J130" s="28"/>
      <c r="K130" s="185" t="str">
        <f>+'Order Details Apr23-Mar24'!R130</f>
        <v>PO / NBF / 190923 / 87</v>
      </c>
      <c r="L130" s="186"/>
      <c r="M130" s="187"/>
      <c r="N130" s="100">
        <f>+'Order Details Apr23-Mar24'!F130*'Order Details Apr23-Mar24'!N130</f>
        <v>302400</v>
      </c>
      <c r="O130" s="25"/>
      <c r="P130" s="22"/>
      <c r="Q130" s="26">
        <v>45</v>
      </c>
      <c r="R130" s="82"/>
      <c r="S130" s="22">
        <f t="shared" si="1"/>
        <v>0</v>
      </c>
      <c r="T130" s="22"/>
      <c r="U130" s="31"/>
      <c r="V130" s="51"/>
    </row>
    <row r="131" spans="1:22" ht="20.100000000000001" customHeight="1" x14ac:dyDescent="0.3">
      <c r="A131" s="44">
        <v>123</v>
      </c>
      <c r="B131" s="22">
        <f>+'Order Details Apr23-Mar24'!P131</f>
        <v>45188</v>
      </c>
      <c r="C131" s="23"/>
      <c r="D131" s="53" t="str">
        <f>+'Order Details Apr23-Mar24'!T131</f>
        <v>PP &amp; B Mart Pvt Ltd, Habra</v>
      </c>
      <c r="E131" s="25"/>
      <c r="F131" s="183" t="str">
        <f>+'Order Details Apr23-Mar24'!D131</f>
        <v>MASTERSORB (EW Nutrition)</v>
      </c>
      <c r="G131" s="184"/>
      <c r="H131" s="26" t="str">
        <f>+'Order Details Apr23-Mar24'!G131</f>
        <v>Kg</v>
      </c>
      <c r="I131" s="27">
        <f>+'Order Details Apr23-Mar24'!I131</f>
        <v>500</v>
      </c>
      <c r="J131" s="28"/>
      <c r="K131" s="185" t="str">
        <f>+'Order Details Apr23-Mar24'!R131</f>
        <v>PO / NBF / 190923 / 88</v>
      </c>
      <c r="L131" s="186"/>
      <c r="M131" s="187"/>
      <c r="N131" s="100">
        <f>+'Order Details Apr23-Mar24'!F131*'Order Details Apr23-Mar24'!N131</f>
        <v>64000</v>
      </c>
      <c r="O131" s="25"/>
      <c r="P131" s="22"/>
      <c r="Q131" s="26">
        <v>45</v>
      </c>
      <c r="R131" s="82"/>
      <c r="S131" s="22">
        <f t="shared" si="1"/>
        <v>0</v>
      </c>
      <c r="T131" s="22"/>
      <c r="U131" s="31"/>
      <c r="V131" s="51"/>
    </row>
    <row r="132" spans="1:22" ht="20.100000000000001" customHeight="1" x14ac:dyDescent="0.3">
      <c r="A132" s="44">
        <v>124</v>
      </c>
      <c r="B132" s="22">
        <f>+'Order Details Apr23-Mar24'!P132</f>
        <v>45194</v>
      </c>
      <c r="C132" s="23"/>
      <c r="D132" s="53" t="str">
        <f>+'Order Details Apr23-Mar24'!T132</f>
        <v>Sai Kiran Medical Agencies</v>
      </c>
      <c r="E132" s="25"/>
      <c r="F132" s="183" t="str">
        <f>+'Order Details Apr23-Mar24'!D132</f>
        <v>SALCOCHEK (Ayurvet)</v>
      </c>
      <c r="G132" s="184"/>
      <c r="H132" s="26" t="str">
        <f>+'Order Details Apr23-Mar24'!G132</f>
        <v>Kg</v>
      </c>
      <c r="I132" s="27">
        <f>+'Order Details Apr23-Mar24'!I132</f>
        <v>300</v>
      </c>
      <c r="J132" s="28"/>
      <c r="K132" s="185" t="str">
        <f>+'Order Details Apr23-Mar24'!R132</f>
        <v>PO / NBF / 250923 / 89</v>
      </c>
      <c r="L132" s="186"/>
      <c r="M132" s="187"/>
      <c r="N132" s="100">
        <f>+'Order Details Apr23-Mar24'!F132*'Order Details Apr23-Mar24'!N132</f>
        <v>43008</v>
      </c>
      <c r="O132" s="25"/>
      <c r="P132" s="22"/>
      <c r="Q132" s="26">
        <v>45</v>
      </c>
      <c r="R132" s="82"/>
      <c r="S132" s="22">
        <f t="shared" si="1"/>
        <v>0</v>
      </c>
      <c r="T132" s="22"/>
      <c r="U132" s="31"/>
      <c r="V132" s="51"/>
    </row>
    <row r="133" spans="1:22" ht="20.100000000000001" customHeight="1" x14ac:dyDescent="0.3">
      <c r="A133" s="44">
        <v>125</v>
      </c>
      <c r="B133" s="22">
        <f>+'Order Details Apr23-Mar24'!P133</f>
        <v>45194</v>
      </c>
      <c r="C133" s="23"/>
      <c r="D133" s="53" t="str">
        <f>+'Order Details Apr23-Mar24'!T133</f>
        <v>Das Drug Centre, Habra</v>
      </c>
      <c r="E133" s="25"/>
      <c r="F133" s="183" t="str">
        <f>+'Order Details Apr23-Mar24'!D133</f>
        <v>HIM-C (Himalaya)</v>
      </c>
      <c r="G133" s="184"/>
      <c r="H133" s="26" t="str">
        <f>+'Order Details Apr23-Mar24'!G133</f>
        <v>Kg</v>
      </c>
      <c r="I133" s="27">
        <f>+'Order Details Apr23-Mar24'!I133</f>
        <v>500</v>
      </c>
      <c r="J133" s="28"/>
      <c r="K133" s="185" t="str">
        <f>+'Order Details Apr23-Mar24'!R133</f>
        <v>PO / NBF / 250923 / 90</v>
      </c>
      <c r="L133" s="186"/>
      <c r="M133" s="187"/>
      <c r="N133" s="100">
        <f>+'Order Details Apr23-Mar24'!F133*'Order Details Apr23-Mar24'!N133</f>
        <v>67500</v>
      </c>
      <c r="O133" s="25"/>
      <c r="P133" s="22"/>
      <c r="Q133" s="26">
        <v>45</v>
      </c>
      <c r="R133" s="82"/>
      <c r="S133" s="22">
        <f t="shared" si="1"/>
        <v>0</v>
      </c>
      <c r="T133" s="22"/>
      <c r="U133" s="31"/>
      <c r="V133" s="51"/>
    </row>
    <row r="134" spans="1:22" ht="20.100000000000001" customHeight="1" x14ac:dyDescent="0.3">
      <c r="A134" s="44">
        <v>126</v>
      </c>
      <c r="B134" s="22">
        <f>+'Order Details Apr23-Mar24'!P134</f>
        <v>45198</v>
      </c>
      <c r="C134" s="23"/>
      <c r="D134" s="53" t="str">
        <f>+'Order Details Apr23-Mar24'!T134</f>
        <v>Stallen South Asia Pvt Ltd</v>
      </c>
      <c r="E134" s="25"/>
      <c r="F134" s="183" t="str">
        <f>+'Order Details Apr23-Mar24'!D134</f>
        <v>FORLUTIN 10% (Stallen)</v>
      </c>
      <c r="G134" s="184"/>
      <c r="H134" s="26" t="str">
        <f>+'Order Details Apr23-Mar24'!G134</f>
        <v>Kg</v>
      </c>
      <c r="I134" s="27">
        <f>+'Order Details Apr23-Mar24'!I134</f>
        <v>300</v>
      </c>
      <c r="J134" s="28"/>
      <c r="K134" s="185" t="str">
        <f>+'Order Details Apr23-Mar24'!R134</f>
        <v>PO / NBF / 290923 / 91</v>
      </c>
      <c r="L134" s="186"/>
      <c r="M134" s="187"/>
      <c r="N134" s="100">
        <f>+'Order Details Apr23-Mar24'!F134*'Order Details Apr23-Mar24'!N134</f>
        <v>211500</v>
      </c>
      <c r="O134" s="25"/>
      <c r="P134" s="68" t="s">
        <v>344</v>
      </c>
      <c r="Q134" s="90">
        <v>45</v>
      </c>
      <c r="R134" s="82"/>
      <c r="S134" s="22" t="e">
        <f t="shared" si="1"/>
        <v>#VALUE!</v>
      </c>
      <c r="T134" s="22"/>
      <c r="U134" s="31"/>
      <c r="V134" s="51"/>
    </row>
    <row r="135" spans="1:22" ht="20.100000000000001" customHeight="1" x14ac:dyDescent="0.3">
      <c r="A135" s="44">
        <v>127</v>
      </c>
      <c r="B135" s="22">
        <f>+'Order Details Apr23-Mar24'!P135</f>
        <v>45198</v>
      </c>
      <c r="C135" s="23"/>
      <c r="D135" s="53" t="str">
        <f>+'Order Details Apr23-Mar24'!T135</f>
        <v>Varsha Multitech, Bangallore</v>
      </c>
      <c r="E135" s="25"/>
      <c r="F135" s="183" t="str">
        <f>+'Order Details Apr23-Mar24'!D135</f>
        <v>HEPATOCARE PREMIX (Varsha)</v>
      </c>
      <c r="G135" s="184"/>
      <c r="H135" s="26" t="str">
        <f>+'Order Details Apr23-Mar24'!G135</f>
        <v>Kg</v>
      </c>
      <c r="I135" s="27">
        <f>+'Order Details Apr23-Mar24'!I135</f>
        <v>500</v>
      </c>
      <c r="J135" s="28"/>
      <c r="K135" s="185" t="str">
        <f>+'Order Details Apr23-Mar24'!R135</f>
        <v>PO / NBF / 290923 / 92</v>
      </c>
      <c r="L135" s="186"/>
      <c r="M135" s="187"/>
      <c r="N135" s="100">
        <f>+'Order Details Apr23-Mar24'!F135*'Order Details Apr23-Mar24'!N135</f>
        <v>25000</v>
      </c>
      <c r="O135" s="25"/>
      <c r="P135" s="22"/>
      <c r="Q135" s="26">
        <v>45</v>
      </c>
      <c r="R135" s="82"/>
      <c r="S135" s="22">
        <f t="shared" si="1"/>
        <v>0</v>
      </c>
      <c r="T135" s="22"/>
      <c r="U135" s="31"/>
      <c r="V135" s="51"/>
    </row>
    <row r="136" spans="1:22" ht="20.100000000000001" customHeight="1" x14ac:dyDescent="0.3">
      <c r="A136" s="44">
        <v>128</v>
      </c>
      <c r="B136" s="22">
        <f>+'Order Details Apr23-Mar24'!P136</f>
        <v>45198</v>
      </c>
      <c r="C136" s="23"/>
      <c r="D136" s="53" t="str">
        <f>+'Order Details Apr23-Mar24'!T136</f>
        <v>Ves Spa, Barasat, West Bengal</v>
      </c>
      <c r="E136" s="25"/>
      <c r="F136" s="183" t="str">
        <f>+'Order Details Apr23-Mar24'!D136</f>
        <v>VES CHOL 60% (Vesper)</v>
      </c>
      <c r="G136" s="184"/>
      <c r="H136" s="26" t="str">
        <f>+'Order Details Apr23-Mar24'!G136</f>
        <v>Kg</v>
      </c>
      <c r="I136" s="27">
        <f>+'Order Details Apr23-Mar24'!I136</f>
        <v>1000</v>
      </c>
      <c r="J136" s="28"/>
      <c r="K136" s="185" t="str">
        <f>+'Order Details Apr23-Mar24'!R136</f>
        <v>PO / NBF / 290923 / 93</v>
      </c>
      <c r="L136" s="186"/>
      <c r="M136" s="187"/>
      <c r="N136" s="100">
        <f>+'Order Details Apr23-Mar24'!F136*'Order Details Apr23-Mar24'!N136</f>
        <v>90000</v>
      </c>
      <c r="O136" s="25"/>
      <c r="P136" s="22"/>
      <c r="Q136" s="26">
        <v>45</v>
      </c>
      <c r="R136" s="82"/>
      <c r="S136" s="22">
        <f t="shared" si="1"/>
        <v>0</v>
      </c>
      <c r="T136" s="22"/>
      <c r="U136" s="31"/>
      <c r="V136" s="51"/>
    </row>
    <row r="137" spans="1:22" ht="20.100000000000001" customHeight="1" x14ac:dyDescent="0.3">
      <c r="A137" s="44">
        <v>129</v>
      </c>
      <c r="B137" s="22">
        <f>+'Order Details Apr23-Mar24'!P137</f>
        <v>45198</v>
      </c>
      <c r="C137" s="23"/>
      <c r="D137" s="53" t="str">
        <f>+'Order Details Apr23-Mar24'!T137</f>
        <v>Zeus Biotech Pvt Ltd, Mysore</v>
      </c>
      <c r="E137" s="25"/>
      <c r="F137" s="183" t="str">
        <f>+'Order Details Apr23-Mar24'!D137</f>
        <v>SELCON FORTE (Zeus Biotech)</v>
      </c>
      <c r="G137" s="184"/>
      <c r="H137" s="26" t="str">
        <f>+'Order Details Apr23-Mar24'!G137</f>
        <v>Kg</v>
      </c>
      <c r="I137" s="27">
        <f>+'Order Details Apr23-Mar24'!I137</f>
        <v>150</v>
      </c>
      <c r="J137" s="28"/>
      <c r="K137" s="185" t="str">
        <f>+'Order Details Apr23-Mar24'!R137</f>
        <v>PO / NBF / 290923 / 94</v>
      </c>
      <c r="L137" s="186"/>
      <c r="M137" s="187"/>
      <c r="N137" s="100">
        <f>+'Order Details Apr23-Mar24'!F137*'Order Details Apr23-Mar24'!N137</f>
        <v>60000</v>
      </c>
      <c r="O137" s="25"/>
      <c r="P137" s="22"/>
      <c r="Q137" s="87">
        <v>45</v>
      </c>
      <c r="R137" s="82"/>
      <c r="S137" s="22">
        <f t="shared" si="1"/>
        <v>0</v>
      </c>
      <c r="T137" s="22"/>
      <c r="U137" s="31"/>
      <c r="V137" s="51"/>
    </row>
    <row r="138" spans="1:22" ht="20.100000000000001" customHeight="1" x14ac:dyDescent="0.3">
      <c r="A138" s="44">
        <v>130</v>
      </c>
      <c r="B138" s="22">
        <f>+'Order Details Apr23-Mar24'!P138</f>
        <v>45198</v>
      </c>
      <c r="C138" s="23"/>
      <c r="D138" s="53" t="str">
        <f>+'Order Details Apr23-Mar24'!T138</f>
        <v>Healers Associates, Vijayawada</v>
      </c>
      <c r="E138" s="25"/>
      <c r="F138" s="183" t="str">
        <f>+'Order Details Apr23-Mar24'!D138</f>
        <v>TIAMU-MED (Medichem Product)</v>
      </c>
      <c r="G138" s="184"/>
      <c r="H138" s="26" t="str">
        <f>+'Order Details Apr23-Mar24'!G138</f>
        <v>Kg</v>
      </c>
      <c r="I138" s="27">
        <f>+'Order Details Apr23-Mar24'!I138</f>
        <v>300</v>
      </c>
      <c r="J138" s="28"/>
      <c r="K138" s="185" t="str">
        <f>+'Order Details Apr23-Mar24'!R138</f>
        <v>PO / NBF / 290923 / 95</v>
      </c>
      <c r="L138" s="186"/>
      <c r="M138" s="187"/>
      <c r="N138" s="100">
        <f>+'Order Details Apr23-Mar24'!F138*'Order Details Apr23-Mar24'!N138</f>
        <v>202500</v>
      </c>
      <c r="O138" s="25"/>
      <c r="P138" s="22"/>
      <c r="Q138" s="26">
        <v>45</v>
      </c>
      <c r="R138" s="82"/>
      <c r="S138" s="22">
        <f t="shared" ref="S138:S201" si="2">P138+R138</f>
        <v>0</v>
      </c>
      <c r="T138" s="22"/>
      <c r="U138" s="31"/>
      <c r="V138" s="51"/>
    </row>
    <row r="139" spans="1:22" ht="20.100000000000001" customHeight="1" x14ac:dyDescent="0.3">
      <c r="A139" s="44">
        <v>131</v>
      </c>
      <c r="B139" s="22">
        <f>+'Order Details Apr23-Mar24'!P139</f>
        <v>45204</v>
      </c>
      <c r="C139" s="23"/>
      <c r="D139" s="53" t="str">
        <f>+'Order Details Apr23-Mar24'!T139</f>
        <v>Venkys India Ltd, AHP Division</v>
      </c>
      <c r="E139" s="25"/>
      <c r="F139" s="183" t="str">
        <f>+'Order Details Apr23-Mar24'!D139</f>
        <v>TRACEMIN BB (BV Biocrop)</v>
      </c>
      <c r="G139" s="184"/>
      <c r="H139" s="26" t="str">
        <f>+'Order Details Apr23-Mar24'!G139</f>
        <v>Kg</v>
      </c>
      <c r="I139" s="27">
        <f>+'Order Details Apr23-Mar24'!I139</f>
        <v>1020</v>
      </c>
      <c r="J139" s="28"/>
      <c r="K139" s="185" t="str">
        <f>+'Order Details Apr23-Mar24'!R139</f>
        <v>PO / NBF / 051023 / 96</v>
      </c>
      <c r="L139" s="186"/>
      <c r="M139" s="187"/>
      <c r="N139" s="100">
        <f>+'Order Details Apr23-Mar24'!F139*'Order Details Apr23-Mar24'!N139</f>
        <v>66538</v>
      </c>
      <c r="O139" s="25"/>
      <c r="P139" s="22"/>
      <c r="Q139" s="61">
        <v>45</v>
      </c>
      <c r="R139" s="82"/>
      <c r="S139" s="22">
        <f t="shared" si="2"/>
        <v>0</v>
      </c>
      <c r="T139" s="22"/>
      <c r="U139" s="31"/>
      <c r="V139" s="51"/>
    </row>
    <row r="140" spans="1:22" ht="20.100000000000001" customHeight="1" x14ac:dyDescent="0.3">
      <c r="A140" s="44">
        <v>132</v>
      </c>
      <c r="B140" s="22">
        <f>+'Order Details Apr23-Mar24'!P140</f>
        <v>45204</v>
      </c>
      <c r="C140" s="23"/>
      <c r="D140" s="53" t="str">
        <f>+'Order Details Apr23-Mar24'!T140</f>
        <v>Das Drug Centre, Habra</v>
      </c>
      <c r="E140" s="25"/>
      <c r="F140" s="183" t="str">
        <f>+'Order Details Apr23-Mar24'!D140</f>
        <v>LIV-52 PROTEC (Himalaya)</v>
      </c>
      <c r="G140" s="184"/>
      <c r="H140" s="26" t="str">
        <f>+'Order Details Apr23-Mar24'!G140</f>
        <v>Ltr</v>
      </c>
      <c r="I140" s="27">
        <f>+'Order Details Apr23-Mar24'!I140</f>
        <v>100</v>
      </c>
      <c r="J140" s="28"/>
      <c r="K140" s="185" t="str">
        <f>+'Order Details Apr23-Mar24'!R140</f>
        <v>PO / NBF / 051023 / 97</v>
      </c>
      <c r="L140" s="186"/>
      <c r="M140" s="187"/>
      <c r="N140" s="100">
        <f>+'Order Details Apr23-Mar24'!F140*'Order Details Apr23-Mar24'!N140</f>
        <v>9900</v>
      </c>
      <c r="O140" s="25"/>
      <c r="P140" s="22"/>
      <c r="Q140" s="26">
        <v>45</v>
      </c>
      <c r="R140" s="82"/>
      <c r="S140" s="22">
        <f t="shared" si="2"/>
        <v>0</v>
      </c>
      <c r="T140" s="22"/>
      <c r="U140" s="31"/>
      <c r="V140" s="51"/>
    </row>
    <row r="141" spans="1:22" ht="20.100000000000001" customHeight="1" x14ac:dyDescent="0.3">
      <c r="A141" s="44">
        <v>133</v>
      </c>
      <c r="B141" s="22">
        <f>+'Order Details Apr23-Mar24'!P141</f>
        <v>45204</v>
      </c>
      <c r="C141" s="23"/>
      <c r="D141" s="53" t="str">
        <f>+'Order Details Apr23-Mar24'!T141</f>
        <v>Das Drug Centre, Habra</v>
      </c>
      <c r="E141" s="25"/>
      <c r="F141" s="183" t="str">
        <f>+'Order Details Apr23-Mar24'!D141</f>
        <v>TYLOMAX Injection (Intas)</v>
      </c>
      <c r="G141" s="184"/>
      <c r="H141" s="26" t="str">
        <f>+'Order Details Apr23-Mar24'!G141</f>
        <v>Ml</v>
      </c>
      <c r="I141" s="27">
        <f>+'Order Details Apr23-Mar24'!I141</f>
        <v>10000</v>
      </c>
      <c r="J141" s="28"/>
      <c r="K141" s="185" t="str">
        <f>+'Order Details Apr23-Mar24'!R141</f>
        <v>PO / NBF / 051023 / 97</v>
      </c>
      <c r="L141" s="186"/>
      <c r="M141" s="187"/>
      <c r="N141" s="100">
        <f>+'Order Details Apr23-Mar24'!F141*'Order Details Apr23-Mar24'!N141</f>
        <v>25200</v>
      </c>
      <c r="O141" s="25"/>
      <c r="P141" s="22"/>
      <c r="Q141" s="26">
        <v>45</v>
      </c>
      <c r="R141" s="82"/>
      <c r="S141" s="22">
        <f t="shared" si="2"/>
        <v>0</v>
      </c>
      <c r="T141" s="22"/>
      <c r="U141" s="31"/>
      <c r="V141" s="51"/>
    </row>
    <row r="142" spans="1:22" ht="20.100000000000001" customHeight="1" x14ac:dyDescent="0.3">
      <c r="A142" s="44">
        <v>134</v>
      </c>
      <c r="B142" s="22">
        <f>+'Order Details Apr23-Mar24'!P142</f>
        <v>45204</v>
      </c>
      <c r="C142" s="23"/>
      <c r="D142" s="53" t="str">
        <f>+'Order Details Apr23-Mar24'!T142</f>
        <v>Das Drug Centre, Habra</v>
      </c>
      <c r="E142" s="25"/>
      <c r="F142" s="183" t="str">
        <f>+'Order Details Apr23-Mar24'!D142</f>
        <v>Urimin Injection (Virbac)</v>
      </c>
      <c r="G142" s="184"/>
      <c r="H142" s="26" t="str">
        <f>+'Order Details Apr23-Mar24'!G142</f>
        <v>Ml</v>
      </c>
      <c r="I142" s="27">
        <f>+'Order Details Apr23-Mar24'!I142</f>
        <v>10000</v>
      </c>
      <c r="J142" s="28"/>
      <c r="K142" s="185" t="str">
        <f>+'Order Details Apr23-Mar24'!R142</f>
        <v>PO / NBF / 051023 / 97</v>
      </c>
      <c r="L142" s="186"/>
      <c r="M142" s="187"/>
      <c r="N142" s="100">
        <f>+'Order Details Apr23-Mar24'!F142*'Order Details Apr23-Mar24'!N142</f>
        <v>35754.880000000005</v>
      </c>
      <c r="O142" s="25"/>
      <c r="P142" s="22"/>
      <c r="Q142" s="26">
        <v>45</v>
      </c>
      <c r="R142" s="82"/>
      <c r="S142" s="22">
        <f t="shared" si="2"/>
        <v>0</v>
      </c>
      <c r="T142" s="22"/>
      <c r="U142" s="31"/>
      <c r="V142" s="51"/>
    </row>
    <row r="143" spans="1:22" ht="20.100000000000001" customHeight="1" x14ac:dyDescent="0.3">
      <c r="A143" s="44">
        <v>135</v>
      </c>
      <c r="B143" s="22">
        <f>+'Order Details Apr23-Mar24'!P143</f>
        <v>45204</v>
      </c>
      <c r="C143" s="23"/>
      <c r="D143" s="53" t="str">
        <f>+'Order Details Apr23-Mar24'!T143</f>
        <v>Izda Healthcare, Ambala Cantonment</v>
      </c>
      <c r="E143" s="25"/>
      <c r="F143" s="183" t="str">
        <f>+'Order Details Apr23-Mar24'!D143</f>
        <v>Deforce Injection (Izda Healthcare)</v>
      </c>
      <c r="G143" s="184"/>
      <c r="H143" s="26" t="str">
        <f>+'Order Details Apr23-Mar24'!G143</f>
        <v>Ml</v>
      </c>
      <c r="I143" s="27">
        <f>+'Order Details Apr23-Mar24'!I143</f>
        <v>500</v>
      </c>
      <c r="J143" s="28"/>
      <c r="K143" s="185" t="str">
        <f>+'Order Details Apr23-Mar24'!R143</f>
        <v>PO / NBF / 051023 / 98</v>
      </c>
      <c r="L143" s="186"/>
      <c r="M143" s="187"/>
      <c r="N143" s="100">
        <f>+'Order Details Apr23-Mar24'!F143*'Order Details Apr23-Mar24'!N143</f>
        <v>42000</v>
      </c>
      <c r="O143" s="25"/>
      <c r="P143" s="22"/>
      <c r="Q143" s="26">
        <v>45</v>
      </c>
      <c r="R143" s="82"/>
      <c r="S143" s="22">
        <f t="shared" si="2"/>
        <v>0</v>
      </c>
      <c r="T143" s="22"/>
      <c r="U143" s="31"/>
      <c r="V143" s="51"/>
    </row>
    <row r="144" spans="1:22" ht="20.100000000000001" customHeight="1" x14ac:dyDescent="0.3">
      <c r="A144" s="44">
        <v>136</v>
      </c>
      <c r="B144" s="22">
        <f>+'Order Details Apr23-Mar24'!P144</f>
        <v>45204</v>
      </c>
      <c r="C144" s="23"/>
      <c r="D144" s="53" t="str">
        <f>+'Order Details Apr23-Mar24'!T144</f>
        <v>Tara Enterprises, Hyderabad</v>
      </c>
      <c r="E144" s="25"/>
      <c r="F144" s="183" t="str">
        <f>+'Order Details Apr23-Mar24'!D144</f>
        <v>Hipraviar Clon H-120 (Hipra)</v>
      </c>
      <c r="G144" s="184"/>
      <c r="H144" s="26" t="str">
        <f>+'Order Details Apr23-Mar24'!G144</f>
        <v>Dose</v>
      </c>
      <c r="I144" s="27">
        <f>+'Order Details Apr23-Mar24'!I144</f>
        <v>150000</v>
      </c>
      <c r="J144" s="28"/>
      <c r="K144" s="185" t="str">
        <f>+'Order Details Apr23-Mar24'!R144</f>
        <v>PO / NBF / 051023 / 99</v>
      </c>
      <c r="L144" s="186"/>
      <c r="M144" s="187"/>
      <c r="N144" s="100">
        <f>+'Order Details Apr23-Mar24'!F144*'Order Details Apr23-Mar24'!N144</f>
        <v>34650</v>
      </c>
      <c r="O144" s="25"/>
      <c r="P144" s="22"/>
      <c r="Q144" s="26">
        <v>45</v>
      </c>
      <c r="R144" s="82"/>
      <c r="S144" s="22">
        <f t="shared" si="2"/>
        <v>0</v>
      </c>
      <c r="T144" s="22"/>
      <c r="U144" s="31"/>
      <c r="V144" s="51"/>
    </row>
    <row r="145" spans="1:22" ht="20.100000000000001" customHeight="1" x14ac:dyDescent="0.3">
      <c r="A145" s="44">
        <v>137</v>
      </c>
      <c r="B145" s="22">
        <f>+'Order Details Apr23-Mar24'!P145</f>
        <v>45204</v>
      </c>
      <c r="C145" s="23"/>
      <c r="D145" s="53" t="str">
        <f>+'Order Details Apr23-Mar24'!T145</f>
        <v>We Care Animal Health, Bengal</v>
      </c>
      <c r="E145" s="25"/>
      <c r="F145" s="183" t="str">
        <f>+'Order Details Apr23-Mar24'!D145</f>
        <v>FLYVIN (We Care Animal Health)</v>
      </c>
      <c r="G145" s="184"/>
      <c r="H145" s="26" t="str">
        <f>+'Order Details Apr23-Mar24'!G145</f>
        <v>Kg</v>
      </c>
      <c r="I145" s="27">
        <f>+'Order Details Apr23-Mar24'!I145</f>
        <v>100</v>
      </c>
      <c r="J145" s="28"/>
      <c r="K145" s="185" t="str">
        <f>+'Order Details Apr23-Mar24'!R145</f>
        <v>PO / NBF / 051023 / 100</v>
      </c>
      <c r="L145" s="186"/>
      <c r="M145" s="187"/>
      <c r="N145" s="100">
        <f>+'Order Details Apr23-Mar24'!F145*'Order Details Apr23-Mar24'!N145</f>
        <v>72000</v>
      </c>
      <c r="O145" s="25"/>
      <c r="P145" s="22"/>
      <c r="Q145" s="26">
        <v>45</v>
      </c>
      <c r="R145" s="82"/>
      <c r="S145" s="22">
        <f t="shared" si="2"/>
        <v>0</v>
      </c>
      <c r="T145" s="22"/>
      <c r="U145" s="31"/>
      <c r="V145" s="51"/>
    </row>
    <row r="146" spans="1:22" ht="20.100000000000001" customHeight="1" x14ac:dyDescent="0.3">
      <c r="A146" s="44">
        <v>138</v>
      </c>
      <c r="B146" s="22">
        <f>+'Order Details Apr23-Mar24'!P146</f>
        <v>45211</v>
      </c>
      <c r="C146" s="23"/>
      <c r="D146" s="53" t="str">
        <f>+'Order Details Apr23-Mar24'!T146</f>
        <v>Novus Animal Nutrition India Ltd</v>
      </c>
      <c r="E146" s="25"/>
      <c r="F146" s="183" t="str">
        <f>+'Order Details Apr23-Mar24'!D146</f>
        <v>POULTRY TMO PLUS</v>
      </c>
      <c r="G146" s="184"/>
      <c r="H146" s="26" t="str">
        <f>+'Order Details Apr23-Mar24'!G146</f>
        <v>Kg</v>
      </c>
      <c r="I146" s="27">
        <f>+'Order Details Apr23-Mar24'!I146</f>
        <v>500</v>
      </c>
      <c r="J146" s="28"/>
      <c r="K146" s="185" t="str">
        <f>+'Order Details Apr23-Mar24'!R146</f>
        <v>PO / NBF / 121023 / 101</v>
      </c>
      <c r="L146" s="186"/>
      <c r="M146" s="187"/>
      <c r="N146" s="100">
        <f>+'Order Details Apr23-Mar24'!F146*'Order Details Apr23-Mar24'!N146</f>
        <v>160000</v>
      </c>
      <c r="O146" s="25"/>
      <c r="P146" s="22"/>
      <c r="Q146" s="26">
        <v>30</v>
      </c>
      <c r="R146" s="82"/>
      <c r="S146" s="22">
        <f t="shared" si="2"/>
        <v>0</v>
      </c>
      <c r="T146" s="22"/>
      <c r="U146" s="31"/>
      <c r="V146" s="51"/>
    </row>
    <row r="147" spans="1:22" ht="20.100000000000001" customHeight="1" x14ac:dyDescent="0.3">
      <c r="A147" s="44">
        <v>139</v>
      </c>
      <c r="B147" s="22">
        <f>+'Order Details Apr23-Mar24'!P147</f>
        <v>45216</v>
      </c>
      <c r="C147" s="23"/>
      <c r="D147" s="53" t="str">
        <f>+'Order Details Apr23-Mar24'!T147</f>
        <v>Crescent Marketing, Hyderabad</v>
      </c>
      <c r="E147" s="25"/>
      <c r="F147" s="183" t="str">
        <f>+'Order Details Apr23-Mar24'!D147</f>
        <v>OXY-LA Injection (Zenex-AH)</v>
      </c>
      <c r="G147" s="184"/>
      <c r="H147" s="26" t="str">
        <f>+'Order Details Apr23-Mar24'!G147</f>
        <v>Ml</v>
      </c>
      <c r="I147" s="27">
        <f>+'Order Details Apr23-Mar24'!I147</f>
        <v>10000</v>
      </c>
      <c r="J147" s="28"/>
      <c r="K147" s="185" t="str">
        <f>+'Order Details Apr23-Mar24'!R147</f>
        <v>PO / NBF / 171023 / 102</v>
      </c>
      <c r="L147" s="186"/>
      <c r="M147" s="187"/>
      <c r="N147" s="100">
        <f>+'Order Details Apr23-Mar24'!F147*'Order Details Apr23-Mar24'!N147</f>
        <v>24360</v>
      </c>
      <c r="O147" s="25"/>
      <c r="P147" s="22"/>
      <c r="Q147" s="26">
        <v>45</v>
      </c>
      <c r="R147" s="82"/>
      <c r="S147" s="22">
        <f t="shared" si="2"/>
        <v>0</v>
      </c>
      <c r="T147" s="22"/>
      <c r="U147" s="31"/>
      <c r="V147" s="51"/>
    </row>
    <row r="148" spans="1:22" ht="20.100000000000001" customHeight="1" x14ac:dyDescent="0.3">
      <c r="A148" s="44">
        <v>140</v>
      </c>
      <c r="B148" s="22">
        <f>+'Order Details Apr23-Mar24'!P148</f>
        <v>45218</v>
      </c>
      <c r="C148" s="23"/>
      <c r="D148" s="53" t="str">
        <f>+'Order Details Apr23-Mar24'!T148</f>
        <v>Sneha Farms Pvt Ltd, Hyderabad</v>
      </c>
      <c r="E148" s="25"/>
      <c r="F148" s="183" t="str">
        <f>+'Order Details Apr23-Mar24'!D148</f>
        <v>ALKAKARB (Tata Chemicals)</v>
      </c>
      <c r="G148" s="184"/>
      <c r="H148" s="26" t="str">
        <f>+'Order Details Apr23-Mar24'!G148</f>
        <v>Kg</v>
      </c>
      <c r="I148" s="27">
        <f>+'Order Details Apr23-Mar24'!I148</f>
        <v>2000</v>
      </c>
      <c r="J148" s="28"/>
      <c r="K148" s="185" t="str">
        <f>+'Order Details Apr23-Mar24'!R148</f>
        <v>PO / NBF / 191023 / 103</v>
      </c>
      <c r="L148" s="186"/>
      <c r="M148" s="187"/>
      <c r="N148" s="100">
        <f>+'Order Details Apr23-Mar24'!F148*'Order Details Apr23-Mar24'!N148</f>
        <v>104000.48000000001</v>
      </c>
      <c r="O148" s="25"/>
      <c r="P148" s="22"/>
      <c r="Q148" s="26">
        <v>7</v>
      </c>
      <c r="R148" s="82"/>
      <c r="S148" s="22">
        <f t="shared" si="2"/>
        <v>0</v>
      </c>
      <c r="T148" s="22"/>
      <c r="U148" s="31"/>
      <c r="V148" s="51"/>
    </row>
    <row r="149" spans="1:22" ht="20.100000000000001" customHeight="1" x14ac:dyDescent="0.3">
      <c r="A149" s="44">
        <v>141</v>
      </c>
      <c r="B149" s="22">
        <f>+'Order Details Apr23-Mar24'!P149</f>
        <v>45224</v>
      </c>
      <c r="C149" s="23"/>
      <c r="D149" s="53" t="str">
        <f>+'Order Details Apr23-Mar24'!T149</f>
        <v>Alivira Animal Health Ltd</v>
      </c>
      <c r="E149" s="25"/>
      <c r="F149" s="183" t="str">
        <f>+'Order Details Apr23-Mar24'!D149</f>
        <v>CITRINAL (Alivira)</v>
      </c>
      <c r="G149" s="184"/>
      <c r="H149" s="26" t="str">
        <f>+'Order Details Apr23-Mar24'!G149</f>
        <v>Kg</v>
      </c>
      <c r="I149" s="27">
        <f>+'Order Details Apr23-Mar24'!I149</f>
        <v>500</v>
      </c>
      <c r="J149" s="28"/>
      <c r="K149" s="185" t="str">
        <f>+'Order Details Apr23-Mar24'!R149</f>
        <v>PO / NBF / 251023 / 104</v>
      </c>
      <c r="L149" s="186"/>
      <c r="M149" s="187"/>
      <c r="N149" s="100">
        <f>+'Order Details Apr23-Mar24'!F149*'Order Details Apr23-Mar24'!N149</f>
        <v>75000</v>
      </c>
      <c r="O149" s="25"/>
      <c r="P149" s="22"/>
      <c r="Q149" s="26">
        <v>45</v>
      </c>
      <c r="R149" s="82"/>
      <c r="S149" s="22">
        <f t="shared" si="2"/>
        <v>0</v>
      </c>
      <c r="T149" s="22"/>
      <c r="U149" s="31"/>
      <c r="V149" s="51"/>
    </row>
    <row r="150" spans="1:22" ht="20.100000000000001" customHeight="1" x14ac:dyDescent="0.3">
      <c r="A150" s="44">
        <v>142</v>
      </c>
      <c r="B150" s="22">
        <f>+'Order Details Apr23-Mar24'!P150</f>
        <v>45224</v>
      </c>
      <c r="C150" s="23"/>
      <c r="D150" s="53" t="str">
        <f>+'Order Details Apr23-Mar24'!T150</f>
        <v>Das Drug Centre, Habra</v>
      </c>
      <c r="E150" s="25"/>
      <c r="F150" s="183" t="str">
        <f>+'Order Details Apr23-Mar24'!D150</f>
        <v>CHLORAN-15% (Zenex-AH)</v>
      </c>
      <c r="G150" s="184"/>
      <c r="H150" s="26" t="str">
        <f>+'Order Details Apr23-Mar24'!G150</f>
        <v>Kg</v>
      </c>
      <c r="I150" s="27">
        <f>+'Order Details Apr23-Mar24'!I150</f>
        <v>200</v>
      </c>
      <c r="J150" s="28"/>
      <c r="K150" s="185" t="str">
        <f>+'Order Details Apr23-Mar24'!R150</f>
        <v>PO / NBF / 251023 / 105</v>
      </c>
      <c r="L150" s="186"/>
      <c r="M150" s="187"/>
      <c r="N150" s="100">
        <f>+'Order Details Apr23-Mar24'!F150*'Order Details Apr23-Mar24'!N150</f>
        <v>48000</v>
      </c>
      <c r="O150" s="25"/>
      <c r="P150" s="22"/>
      <c r="Q150" s="26">
        <v>45</v>
      </c>
      <c r="R150" s="82"/>
      <c r="S150" s="22">
        <f t="shared" si="2"/>
        <v>0</v>
      </c>
      <c r="T150" s="22"/>
      <c r="U150" s="31"/>
      <c r="V150" s="51"/>
    </row>
    <row r="151" spans="1:22" ht="20.100000000000001" customHeight="1" x14ac:dyDescent="0.3">
      <c r="A151" s="44">
        <v>143</v>
      </c>
      <c r="B151" s="22">
        <f>+'Order Details Apr23-Mar24'!P151</f>
        <v>45224</v>
      </c>
      <c r="C151" s="23"/>
      <c r="D151" s="53" t="str">
        <f>+'Order Details Apr23-Mar24'!T151</f>
        <v>Das Drug Centre, Habra</v>
      </c>
      <c r="E151" s="25"/>
      <c r="F151" s="183" t="str">
        <f>+'Order Details Apr23-Mar24'!D151</f>
        <v>HIMLAY (Himalaya)</v>
      </c>
      <c r="G151" s="184"/>
      <c r="H151" s="26" t="str">
        <f>+'Order Details Apr23-Mar24'!G151</f>
        <v>Kg</v>
      </c>
      <c r="I151" s="27">
        <f>+'Order Details Apr23-Mar24'!I151</f>
        <v>300</v>
      </c>
      <c r="J151" s="28"/>
      <c r="K151" s="185" t="str">
        <f>+'Order Details Apr23-Mar24'!R151</f>
        <v>PO / NBF / 251023 / 105</v>
      </c>
      <c r="L151" s="186"/>
      <c r="M151" s="187"/>
      <c r="N151" s="100">
        <f>+'Order Details Apr23-Mar24'!F151*'Order Details Apr23-Mar24'!N151</f>
        <v>180000</v>
      </c>
      <c r="O151" s="25"/>
      <c r="P151" s="22"/>
      <c r="Q151" s="26">
        <v>45</v>
      </c>
      <c r="R151" s="82"/>
      <c r="S151" s="22">
        <f t="shared" si="2"/>
        <v>0</v>
      </c>
      <c r="T151" s="22"/>
      <c r="U151" s="31"/>
      <c r="V151" s="51"/>
    </row>
    <row r="152" spans="1:22" ht="20.100000000000001" customHeight="1" x14ac:dyDescent="0.3">
      <c r="A152" s="44">
        <v>144</v>
      </c>
      <c r="B152" s="22">
        <f>+'Order Details Apr23-Mar24'!P152</f>
        <v>45231</v>
      </c>
      <c r="C152" s="23"/>
      <c r="D152" s="53" t="str">
        <f>+'Order Details Apr23-Mar24'!T152</f>
        <v>APC Nutrients Limited</v>
      </c>
      <c r="E152" s="25"/>
      <c r="F152" s="183" t="str">
        <f>+'Order Details Apr23-Mar24'!D152</f>
        <v>VOLAMEL (Nukamel)</v>
      </c>
      <c r="G152" s="184"/>
      <c r="H152" s="26" t="str">
        <f>+'Order Details Apr23-Mar24'!G152</f>
        <v>Kg</v>
      </c>
      <c r="I152" s="27">
        <f>+'Order Details Apr23-Mar24'!I152</f>
        <v>500</v>
      </c>
      <c r="J152" s="28"/>
      <c r="K152" s="185" t="str">
        <f>+'Order Details Apr23-Mar24'!R152</f>
        <v>PO / NBF / 011123 / 106</v>
      </c>
      <c r="L152" s="186"/>
      <c r="M152" s="187"/>
      <c r="N152" s="100">
        <f>+'Order Details Apr23-Mar24'!F152*'Order Details Apr23-Mar24'!N152</f>
        <v>285000</v>
      </c>
      <c r="O152" s="25"/>
      <c r="P152" s="22"/>
      <c r="Q152" s="26">
        <v>7</v>
      </c>
      <c r="R152" s="82"/>
      <c r="S152" s="22">
        <f t="shared" si="2"/>
        <v>0</v>
      </c>
      <c r="T152" s="22"/>
      <c r="U152" s="31"/>
      <c r="V152" s="51"/>
    </row>
    <row r="153" spans="1:22" ht="20.100000000000001" customHeight="1" x14ac:dyDescent="0.3">
      <c r="A153" s="44">
        <v>145</v>
      </c>
      <c r="B153" s="22">
        <f>+'Order Details Apr23-Mar24'!P153</f>
        <v>45231</v>
      </c>
      <c r="C153" s="23"/>
      <c r="D153" s="53" t="str">
        <f>+'Order Details Apr23-Mar24'!T153</f>
        <v>PP &amp; B Mart Pvt Ltd, Habra</v>
      </c>
      <c r="E153" s="25"/>
      <c r="F153" s="183" t="str">
        <f>+'Order Details Apr23-Mar24'!D153</f>
        <v>MASTERSORB (EW Nutrition)</v>
      </c>
      <c r="G153" s="184"/>
      <c r="H153" s="26" t="str">
        <f>+'Order Details Apr23-Mar24'!G153</f>
        <v>Kg</v>
      </c>
      <c r="I153" s="27">
        <f>+'Order Details Apr23-Mar24'!I153</f>
        <v>500</v>
      </c>
      <c r="J153" s="28"/>
      <c r="K153" s="185" t="str">
        <f>+'Order Details Apr23-Mar24'!R153</f>
        <v>PO / NBF / 011123 / 107</v>
      </c>
      <c r="L153" s="186"/>
      <c r="M153" s="187"/>
      <c r="N153" s="100">
        <f>+'Order Details Apr23-Mar24'!F153*'Order Details Apr23-Mar24'!N153</f>
        <v>64000</v>
      </c>
      <c r="O153" s="25"/>
      <c r="P153" s="22"/>
      <c r="Q153" s="26">
        <v>45</v>
      </c>
      <c r="R153" s="82"/>
      <c r="S153" s="22">
        <f t="shared" si="2"/>
        <v>0</v>
      </c>
      <c r="T153" s="22"/>
      <c r="U153" s="31"/>
      <c r="V153" s="51"/>
    </row>
    <row r="154" spans="1:22" ht="20.100000000000001" customHeight="1" x14ac:dyDescent="0.3">
      <c r="A154" s="44">
        <v>146</v>
      </c>
      <c r="B154" s="22">
        <f>+'Order Details Apr23-Mar24'!P154</f>
        <v>45239</v>
      </c>
      <c r="C154" s="23"/>
      <c r="D154" s="53" t="str">
        <f>+'Order Details Apr23-Mar24'!T154</f>
        <v>Alivira Animal Health Ltd</v>
      </c>
      <c r="E154" s="25"/>
      <c r="F154" s="183" t="str">
        <f>+'Order Details Apr23-Mar24'!D154</f>
        <v>ENERLAC-NE (Alivira)</v>
      </c>
      <c r="G154" s="184"/>
      <c r="H154" s="26" t="str">
        <f>+'Order Details Apr23-Mar24'!G154</f>
        <v>Kg</v>
      </c>
      <c r="I154" s="27">
        <f>+'Order Details Apr23-Mar24'!I154</f>
        <v>500</v>
      </c>
      <c r="J154" s="28"/>
      <c r="K154" s="185" t="str">
        <f>+'Order Details Apr23-Mar24'!R154</f>
        <v>PO / NBF / 091123 / 108</v>
      </c>
      <c r="L154" s="186"/>
      <c r="M154" s="187"/>
      <c r="N154" s="100">
        <f>+'Order Details Apr23-Mar24'!F154*'Order Details Apr23-Mar24'!N154</f>
        <v>265000</v>
      </c>
      <c r="O154" s="25"/>
      <c r="P154" s="22"/>
      <c r="Q154" s="26">
        <v>45</v>
      </c>
      <c r="R154" s="82"/>
      <c r="S154" s="22">
        <f t="shared" si="2"/>
        <v>0</v>
      </c>
      <c r="T154" s="22"/>
      <c r="U154" s="31"/>
      <c r="V154" s="51"/>
    </row>
    <row r="155" spans="1:22" ht="20.100000000000001" customHeight="1" x14ac:dyDescent="0.3">
      <c r="A155" s="44">
        <v>147</v>
      </c>
      <c r="B155" s="22">
        <f>+'Order Details Apr23-Mar24'!P155</f>
        <v>45244</v>
      </c>
      <c r="C155" s="23"/>
      <c r="D155" s="53" t="str">
        <f>+'Order Details Apr23-Mar24'!T155</f>
        <v>B V Biocrop, Hitech Division</v>
      </c>
      <c r="E155" s="25"/>
      <c r="F155" s="183" t="str">
        <f>+'Order Details Apr23-Mar24'!D155</f>
        <v>SAFEGARD (BV Biocrop)</v>
      </c>
      <c r="G155" s="184"/>
      <c r="H155" s="26" t="str">
        <f>+'Order Details Apr23-Mar24'!G155</f>
        <v>Ltr</v>
      </c>
      <c r="I155" s="27">
        <f>+'Order Details Apr23-Mar24'!I155</f>
        <v>100</v>
      </c>
      <c r="J155" s="28"/>
      <c r="K155" s="185" t="str">
        <f>+'Order Details Apr23-Mar24'!R155</f>
        <v>PO / NBF / 141123 / 109</v>
      </c>
      <c r="L155" s="186"/>
      <c r="M155" s="187"/>
      <c r="N155" s="100">
        <f>+'Order Details Apr23-Mar24'!F155*'Order Details Apr23-Mar24'!N155</f>
        <v>26856.799999999999</v>
      </c>
      <c r="O155" s="25"/>
      <c r="P155" s="22"/>
      <c r="Q155" s="61">
        <v>45</v>
      </c>
      <c r="R155" s="82"/>
      <c r="S155" s="22">
        <f t="shared" si="2"/>
        <v>0</v>
      </c>
      <c r="T155" s="22"/>
      <c r="U155" s="31"/>
      <c r="V155" s="51"/>
    </row>
    <row r="156" spans="1:22" ht="20.100000000000001" customHeight="1" x14ac:dyDescent="0.3">
      <c r="A156" s="44">
        <v>148</v>
      </c>
      <c r="B156" s="22">
        <f>+'Order Details Apr23-Mar24'!P156</f>
        <v>45244</v>
      </c>
      <c r="C156" s="23"/>
      <c r="D156" s="53" t="str">
        <f>+'Order Details Apr23-Mar24'!T156</f>
        <v>Das Drug Centre, Habra</v>
      </c>
      <c r="E156" s="25"/>
      <c r="F156" s="183" t="str">
        <f>+'Order Details Apr23-Mar24'!D156</f>
        <v>FAMITONE (Zenex-AH)</v>
      </c>
      <c r="G156" s="184"/>
      <c r="H156" s="26" t="str">
        <f>+'Order Details Apr23-Mar24'!G156</f>
        <v>Ltr</v>
      </c>
      <c r="I156" s="27">
        <f>+'Order Details Apr23-Mar24'!I156</f>
        <v>96</v>
      </c>
      <c r="J156" s="28"/>
      <c r="K156" s="185" t="str">
        <f>+'Order Details Apr23-Mar24'!R156</f>
        <v>PO / NBF / 141123 / 110</v>
      </c>
      <c r="L156" s="186"/>
      <c r="M156" s="187"/>
      <c r="N156" s="100">
        <f>+'Order Details Apr23-Mar24'!F156*'Order Details Apr23-Mar24'!N156</f>
        <v>55680</v>
      </c>
      <c r="O156" s="25"/>
      <c r="P156" s="22"/>
      <c r="Q156" s="26">
        <v>45</v>
      </c>
      <c r="R156" s="82"/>
      <c r="S156" s="22">
        <f t="shared" si="2"/>
        <v>0</v>
      </c>
      <c r="T156" s="22"/>
      <c r="U156" s="31"/>
      <c r="V156" s="51"/>
    </row>
    <row r="157" spans="1:22" ht="20.100000000000001" customHeight="1" x14ac:dyDescent="0.3">
      <c r="A157" s="44">
        <v>149</v>
      </c>
      <c r="B157" s="22">
        <f>+'Order Details Apr23-Mar24'!P157</f>
        <v>45244</v>
      </c>
      <c r="C157" s="23"/>
      <c r="D157" s="53" t="str">
        <f>+'Order Details Apr23-Mar24'!T157</f>
        <v>Das Drug Centre, Habra</v>
      </c>
      <c r="E157" s="25"/>
      <c r="F157" s="183" t="str">
        <f>+'Order Details Apr23-Mar24'!D157</f>
        <v>KAYSOL FORTE (Cargill)</v>
      </c>
      <c r="G157" s="184"/>
      <c r="H157" s="26" t="str">
        <f>+'Order Details Apr23-Mar24'!G157</f>
        <v>Gms</v>
      </c>
      <c r="I157" s="27">
        <f>+'Order Details Apr23-Mar24'!I157</f>
        <v>5000</v>
      </c>
      <c r="J157" s="28"/>
      <c r="K157" s="185" t="str">
        <f>+'Order Details Apr23-Mar24'!R157</f>
        <v>PO / NBF / 141123 / 110</v>
      </c>
      <c r="L157" s="186"/>
      <c r="M157" s="187"/>
      <c r="N157" s="100">
        <f>+'Order Details Apr23-Mar24'!F157*'Order Details Apr23-Mar24'!N157</f>
        <v>7150</v>
      </c>
      <c r="O157" s="25"/>
      <c r="P157" s="22"/>
      <c r="Q157" s="26">
        <v>45</v>
      </c>
      <c r="R157" s="82"/>
      <c r="S157" s="22">
        <f t="shared" si="2"/>
        <v>0</v>
      </c>
      <c r="T157" s="22"/>
      <c r="U157" s="31"/>
      <c r="V157" s="51"/>
    </row>
    <row r="158" spans="1:22" ht="20.100000000000001" customHeight="1" x14ac:dyDescent="0.3">
      <c r="A158" s="44">
        <v>150</v>
      </c>
      <c r="B158" s="22">
        <f>+'Order Details Apr23-Mar24'!P158</f>
        <v>45244</v>
      </c>
      <c r="C158" s="23"/>
      <c r="D158" s="53" t="str">
        <f>+'Order Details Apr23-Mar24'!T158</f>
        <v>Das Drug Centre, Habra</v>
      </c>
      <c r="E158" s="25"/>
      <c r="F158" s="183" t="str">
        <f>+'Order Details Apr23-Mar24'!D158</f>
        <v>VVAANDOX (Veven Care)</v>
      </c>
      <c r="G158" s="184"/>
      <c r="H158" s="26" t="str">
        <f>+'Order Details Apr23-Mar24'!G158</f>
        <v>Gms</v>
      </c>
      <c r="I158" s="27">
        <f>+'Order Details Apr23-Mar24'!I158</f>
        <v>20000</v>
      </c>
      <c r="J158" s="28"/>
      <c r="K158" s="185" t="str">
        <f>+'Order Details Apr23-Mar24'!R158</f>
        <v>PO / NBF / 141123 / 110</v>
      </c>
      <c r="L158" s="186"/>
      <c r="M158" s="187"/>
      <c r="N158" s="100">
        <f>+'Order Details Apr23-Mar24'!F158*'Order Details Apr23-Mar24'!N158</f>
        <v>35840</v>
      </c>
      <c r="O158" s="25"/>
      <c r="P158" s="22"/>
      <c r="Q158" s="26">
        <v>45</v>
      </c>
      <c r="R158" s="82"/>
      <c r="S158" s="22">
        <f t="shared" si="2"/>
        <v>0</v>
      </c>
      <c r="T158" s="22"/>
      <c r="U158" s="31"/>
      <c r="V158" s="51"/>
    </row>
    <row r="159" spans="1:22" ht="20.100000000000001" customHeight="1" x14ac:dyDescent="0.3">
      <c r="A159" s="44">
        <v>151</v>
      </c>
      <c r="B159" s="22">
        <f>+'Order Details Apr23-Mar24'!P159</f>
        <v>45244</v>
      </c>
      <c r="C159" s="23"/>
      <c r="D159" s="53" t="str">
        <f>+'Order Details Apr23-Mar24'!T159</f>
        <v>Healers Associates, Vijayawada</v>
      </c>
      <c r="E159" s="25"/>
      <c r="F159" s="183" t="str">
        <f>+'Order Details Apr23-Mar24'!D159</f>
        <v>PROMED (Medichem Product)</v>
      </c>
      <c r="G159" s="184"/>
      <c r="H159" s="26" t="str">
        <f>+'Order Details Apr23-Mar24'!G159</f>
        <v>Kg</v>
      </c>
      <c r="I159" s="27">
        <f>+'Order Details Apr23-Mar24'!I159</f>
        <v>30</v>
      </c>
      <c r="J159" s="28"/>
      <c r="K159" s="185" t="str">
        <f>+'Order Details Apr23-Mar24'!R159</f>
        <v>PO / NBF / 141123 / 111</v>
      </c>
      <c r="L159" s="186"/>
      <c r="M159" s="187"/>
      <c r="N159" s="100">
        <f>+'Order Details Apr23-Mar24'!F159*'Order Details Apr23-Mar24'!N159</f>
        <v>27750</v>
      </c>
      <c r="O159" s="25"/>
      <c r="P159" s="22"/>
      <c r="Q159" s="26">
        <v>45</v>
      </c>
      <c r="R159" s="82"/>
      <c r="S159" s="22">
        <f t="shared" si="2"/>
        <v>0</v>
      </c>
      <c r="T159" s="22"/>
      <c r="U159" s="31"/>
      <c r="V159" s="51"/>
    </row>
    <row r="160" spans="1:22" ht="20.100000000000001" customHeight="1" x14ac:dyDescent="0.3">
      <c r="A160" s="44">
        <v>152</v>
      </c>
      <c r="B160" s="22">
        <f>+'Order Details Apr23-Mar24'!P160</f>
        <v>45244</v>
      </c>
      <c r="C160" s="23"/>
      <c r="D160" s="53" t="str">
        <f>+'Order Details Apr23-Mar24'!T160</f>
        <v>Hester Biosciences Limited</v>
      </c>
      <c r="E160" s="25"/>
      <c r="F160" s="183" t="str">
        <f>+'Order Details Apr23-Mar24'!D160</f>
        <v>ILT (G-10000) Live Vaccine</v>
      </c>
      <c r="G160" s="184"/>
      <c r="H160" s="26" t="str">
        <f>+'Order Details Apr23-Mar24'!G160</f>
        <v>Dose</v>
      </c>
      <c r="I160" s="27">
        <f>+'Order Details Apr23-Mar24'!I160</f>
        <v>46000</v>
      </c>
      <c r="J160" s="28"/>
      <c r="K160" s="185" t="str">
        <f>+'Order Details Apr23-Mar24'!R160</f>
        <v>PO / NBF / 141123 / 112</v>
      </c>
      <c r="L160" s="186"/>
      <c r="M160" s="187"/>
      <c r="N160" s="100">
        <f>+'Order Details Apr23-Mar24'!F160*'Order Details Apr23-Mar24'!N160</f>
        <v>72450</v>
      </c>
      <c r="O160" s="25"/>
      <c r="P160" s="22"/>
      <c r="Q160" s="87">
        <v>45</v>
      </c>
      <c r="R160" s="82"/>
      <c r="S160" s="22">
        <f t="shared" si="2"/>
        <v>0</v>
      </c>
      <c r="T160" s="22"/>
      <c r="U160" s="31"/>
      <c r="V160" s="51"/>
    </row>
    <row r="161" spans="1:22" ht="20.100000000000001" customHeight="1" x14ac:dyDescent="0.3">
      <c r="A161" s="44">
        <v>153</v>
      </c>
      <c r="B161" s="22">
        <f>+'Order Details Apr23-Mar24'!P161</f>
        <v>45244</v>
      </c>
      <c r="C161" s="23"/>
      <c r="D161" s="53" t="str">
        <f>+'Order Details Apr23-Mar24'!T161</f>
        <v>Hester Biosciences Limited</v>
      </c>
      <c r="E161" s="25"/>
      <c r="F161" s="183" t="str">
        <f>+'Order Details Apr23-Mar24'!D161</f>
        <v>INACTIVATED PULLET(LPAI) VAC</v>
      </c>
      <c r="G161" s="184"/>
      <c r="H161" s="26" t="str">
        <f>+'Order Details Apr23-Mar24'!G161</f>
        <v>Dose</v>
      </c>
      <c r="I161" s="27">
        <f>+'Order Details Apr23-Mar24'!I161</f>
        <v>14000</v>
      </c>
      <c r="J161" s="28"/>
      <c r="K161" s="185" t="str">
        <f>+'Order Details Apr23-Mar24'!R161</f>
        <v>PO / NBF / 141123 / 112</v>
      </c>
      <c r="L161" s="186"/>
      <c r="M161" s="187"/>
      <c r="N161" s="100">
        <f>+'Order Details Apr23-Mar24'!F161*'Order Details Apr23-Mar24'!N161</f>
        <v>13612.199999999999</v>
      </c>
      <c r="O161" s="25"/>
      <c r="P161" s="22"/>
      <c r="Q161" s="87">
        <v>45</v>
      </c>
      <c r="R161" s="82"/>
      <c r="S161" s="22">
        <f t="shared" si="2"/>
        <v>0</v>
      </c>
      <c r="T161" s="22"/>
      <c r="U161" s="31"/>
      <c r="V161" s="51"/>
    </row>
    <row r="162" spans="1:22" ht="20.100000000000001" customHeight="1" x14ac:dyDescent="0.3">
      <c r="A162" s="44">
        <v>154</v>
      </c>
      <c r="B162" s="22">
        <f>+'Order Details Apr23-Mar24'!P162</f>
        <v>45244</v>
      </c>
      <c r="C162" s="23"/>
      <c r="D162" s="53" t="str">
        <f>+'Order Details Apr23-Mar24'!T162</f>
        <v>Hester Biosciences Limited</v>
      </c>
      <c r="E162" s="25"/>
      <c r="F162" s="183" t="str">
        <f>+'Order Details Apr23-Mar24'!D162</f>
        <v>INACTIVATED PULLET(HPAI) VAC</v>
      </c>
      <c r="G162" s="184"/>
      <c r="H162" s="26" t="str">
        <f>+'Order Details Apr23-Mar24'!G162</f>
        <v>Dose</v>
      </c>
      <c r="I162" s="27">
        <f>+'Order Details Apr23-Mar24'!I162</f>
        <v>77000</v>
      </c>
      <c r="J162" s="28"/>
      <c r="K162" s="185" t="str">
        <f>+'Order Details Apr23-Mar24'!R162</f>
        <v>PO / NBF / 141123 / 112</v>
      </c>
      <c r="L162" s="186"/>
      <c r="M162" s="187"/>
      <c r="N162" s="100">
        <f>+'Order Details Apr23-Mar24'!F162*'Order Details Apr23-Mar24'!N162</f>
        <v>202044.15</v>
      </c>
      <c r="O162" s="25"/>
      <c r="P162" s="22"/>
      <c r="Q162" s="87">
        <v>45</v>
      </c>
      <c r="R162" s="82"/>
      <c r="S162" s="22">
        <f t="shared" si="2"/>
        <v>0</v>
      </c>
      <c r="T162" s="22"/>
      <c r="U162" s="31"/>
      <c r="V162" s="51"/>
    </row>
    <row r="163" spans="1:22" ht="20.100000000000001" customHeight="1" x14ac:dyDescent="0.3">
      <c r="A163" s="44">
        <v>155</v>
      </c>
      <c r="B163" s="22">
        <f>+'Order Details Apr23-Mar24'!P163</f>
        <v>45244</v>
      </c>
      <c r="C163" s="23"/>
      <c r="D163" s="53" t="str">
        <f>+'Order Details Apr23-Mar24'!T163</f>
        <v>Huve Pharma Sea Pune Pvt Ltd</v>
      </c>
      <c r="E163" s="25"/>
      <c r="F163" s="183" t="str">
        <f>+'Order Details Apr23-Mar24'!D163</f>
        <v>TILMOVET (Huvepharma)</v>
      </c>
      <c r="G163" s="184"/>
      <c r="H163" s="26" t="str">
        <f>+'Order Details Apr23-Mar24'!G163</f>
        <v>Ml</v>
      </c>
      <c r="I163" s="27">
        <f>+'Order Details Apr23-Mar24'!I163</f>
        <v>23040</v>
      </c>
      <c r="J163" s="28"/>
      <c r="K163" s="185" t="str">
        <f>+'Order Details Apr23-Mar24'!R163</f>
        <v>PO / NBF / 141123 / 113</v>
      </c>
      <c r="L163" s="186"/>
      <c r="M163" s="187"/>
      <c r="N163" s="100">
        <f>+'Order Details Apr23-Mar24'!F163*'Order Details Apr23-Mar24'!N163</f>
        <v>249984</v>
      </c>
      <c r="O163" s="25"/>
      <c r="P163" s="22"/>
      <c r="Q163" s="26">
        <v>45</v>
      </c>
      <c r="R163" s="82"/>
      <c r="S163" s="22">
        <f t="shared" si="2"/>
        <v>0</v>
      </c>
      <c r="T163" s="22"/>
      <c r="U163" s="31"/>
      <c r="V163" s="51"/>
    </row>
    <row r="164" spans="1:22" ht="20.100000000000001" customHeight="1" x14ac:dyDescent="0.3">
      <c r="A164" s="44">
        <v>156</v>
      </c>
      <c r="B164" s="22">
        <f>+'Order Details Apr23-Mar24'!P164</f>
        <v>45244</v>
      </c>
      <c r="C164" s="23"/>
      <c r="D164" s="53" t="str">
        <f>+'Order Details Apr23-Mar24'!T164</f>
        <v>Tara Enterprises, Hyderabad</v>
      </c>
      <c r="E164" s="25"/>
      <c r="F164" s="183" t="str">
        <f>+'Order Details Apr23-Mar24'!D164</f>
        <v>Hipraviar Clon H-120 (Hipra)</v>
      </c>
      <c r="G164" s="184"/>
      <c r="H164" s="26" t="str">
        <f>+'Order Details Apr23-Mar24'!G164</f>
        <v>Dose</v>
      </c>
      <c r="I164" s="27">
        <f>+'Order Details Apr23-Mar24'!I164</f>
        <v>250000</v>
      </c>
      <c r="J164" s="28"/>
      <c r="K164" s="185" t="str">
        <f>+'Order Details Apr23-Mar24'!R164</f>
        <v>PO / NBF / 141123 / 114</v>
      </c>
      <c r="L164" s="186"/>
      <c r="M164" s="187"/>
      <c r="N164" s="100">
        <f>+'Order Details Apr23-Mar24'!F164*'Order Details Apr23-Mar24'!N164</f>
        <v>57750</v>
      </c>
      <c r="O164" s="25"/>
      <c r="P164" s="22"/>
      <c r="Q164" s="26">
        <v>45</v>
      </c>
      <c r="R164" s="82"/>
      <c r="S164" s="22">
        <f t="shared" si="2"/>
        <v>0</v>
      </c>
      <c r="T164" s="22"/>
      <c r="U164" s="31"/>
      <c r="V164" s="51"/>
    </row>
    <row r="165" spans="1:22" ht="20.100000000000001" customHeight="1" x14ac:dyDescent="0.3">
      <c r="A165" s="44">
        <v>157</v>
      </c>
      <c r="B165" s="22">
        <f>+'Order Details Apr23-Mar24'!P165</f>
        <v>45244</v>
      </c>
      <c r="C165" s="23"/>
      <c r="D165" s="53" t="str">
        <f>+'Order Details Apr23-Mar24'!T165</f>
        <v>Venkateshwara Marketing</v>
      </c>
      <c r="E165" s="25"/>
      <c r="F165" s="183" t="str">
        <f>+'Order Details Apr23-Mar24'!D165</f>
        <v>Nobilis CAV P-4 Live Vaccine (MSD)</v>
      </c>
      <c r="G165" s="184"/>
      <c r="H165" s="26" t="str">
        <f>+'Order Details Apr23-Mar24'!G165</f>
        <v>Dose</v>
      </c>
      <c r="I165" s="27">
        <f>+'Order Details Apr23-Mar24'!I165</f>
        <v>51000</v>
      </c>
      <c r="J165" s="28"/>
      <c r="K165" s="185" t="str">
        <f>+'Order Details Apr23-Mar24'!R165</f>
        <v>PO / NBF / 141123 / 115</v>
      </c>
      <c r="L165" s="186"/>
      <c r="M165" s="187"/>
      <c r="N165" s="100">
        <f>+'Order Details Apr23-Mar24'!F165*'Order Details Apr23-Mar24'!N165</f>
        <v>337365</v>
      </c>
      <c r="O165" s="25"/>
      <c r="P165" s="22"/>
      <c r="Q165" s="26">
        <v>45</v>
      </c>
      <c r="R165" s="82"/>
      <c r="S165" s="22">
        <f t="shared" si="2"/>
        <v>0</v>
      </c>
      <c r="T165" s="22"/>
      <c r="U165" s="31"/>
      <c r="V165" s="51"/>
    </row>
    <row r="166" spans="1:22" ht="20.100000000000001" customHeight="1" x14ac:dyDescent="0.3">
      <c r="A166" s="44">
        <v>158</v>
      </c>
      <c r="B166" s="22">
        <f>+'Order Details Apr23-Mar24'!P166</f>
        <v>45244</v>
      </c>
      <c r="C166" s="23"/>
      <c r="D166" s="53" t="str">
        <f>+'Order Details Apr23-Mar24'!T166</f>
        <v>Venkateshwara Marketing</v>
      </c>
      <c r="E166" s="25"/>
      <c r="F166" s="183" t="str">
        <f>+'Order Details Apr23-Mar24'!D166</f>
        <v>Nobilis IB MA-5 Live Vaccine (MSD)</v>
      </c>
      <c r="G166" s="184"/>
      <c r="H166" s="26" t="str">
        <f>+'Order Details Apr23-Mar24'!G166</f>
        <v>Dose</v>
      </c>
      <c r="I166" s="27">
        <f>+'Order Details Apr23-Mar24'!I166</f>
        <v>51000</v>
      </c>
      <c r="J166" s="28"/>
      <c r="K166" s="185" t="str">
        <f>+'Order Details Apr23-Mar24'!R166</f>
        <v>PO / NBF / 141123 / 115</v>
      </c>
      <c r="L166" s="186"/>
      <c r="M166" s="187"/>
      <c r="N166" s="100">
        <f>+'Order Details Apr23-Mar24'!F166*'Order Details Apr23-Mar24'!N166</f>
        <v>25704</v>
      </c>
      <c r="O166" s="25"/>
      <c r="P166" s="22"/>
      <c r="Q166" s="26">
        <v>45</v>
      </c>
      <c r="R166" s="82"/>
      <c r="S166" s="22">
        <f t="shared" si="2"/>
        <v>0</v>
      </c>
      <c r="T166" s="22"/>
      <c r="U166" s="31"/>
      <c r="V166" s="51"/>
    </row>
    <row r="167" spans="1:22" ht="20.100000000000001" customHeight="1" x14ac:dyDescent="0.3">
      <c r="A167" s="44">
        <v>159</v>
      </c>
      <c r="B167" s="22">
        <f>+'Order Details Apr23-Mar24'!P167</f>
        <v>45244</v>
      </c>
      <c r="C167" s="23"/>
      <c r="D167" s="53" t="str">
        <f>+'Order Details Apr23-Mar24'!T167</f>
        <v>Venkateshwara Marketing</v>
      </c>
      <c r="E167" s="25"/>
      <c r="F167" s="183" t="str">
        <f>+'Order Details Apr23-Mar24'!D167</f>
        <v>Nobilis REO 1133 Live Vaccine (MSD)</v>
      </c>
      <c r="G167" s="184"/>
      <c r="H167" s="26" t="str">
        <f>+'Order Details Apr23-Mar24'!G167</f>
        <v>Dose</v>
      </c>
      <c r="I167" s="27">
        <f>+'Order Details Apr23-Mar24'!I167</f>
        <v>51000</v>
      </c>
      <c r="J167" s="28"/>
      <c r="K167" s="185" t="str">
        <f>+'Order Details Apr23-Mar24'!R167</f>
        <v>PO / NBF / 141123 / 115</v>
      </c>
      <c r="L167" s="186"/>
      <c r="M167" s="187"/>
      <c r="N167" s="100">
        <f>+'Order Details Apr23-Mar24'!F167*'Order Details Apr23-Mar24'!N167</f>
        <v>139230</v>
      </c>
      <c r="O167" s="25"/>
      <c r="P167" s="22"/>
      <c r="Q167" s="26">
        <v>45</v>
      </c>
      <c r="R167" s="82"/>
      <c r="S167" s="22">
        <f t="shared" si="2"/>
        <v>0</v>
      </c>
      <c r="T167" s="22"/>
      <c r="U167" s="31"/>
      <c r="V167" s="51"/>
    </row>
    <row r="168" spans="1:22" ht="20.100000000000001" customHeight="1" x14ac:dyDescent="0.3">
      <c r="A168" s="44">
        <v>160</v>
      </c>
      <c r="B168" s="22">
        <f>+'Order Details Apr23-Mar24'!P168</f>
        <v>45244</v>
      </c>
      <c r="C168" s="23"/>
      <c r="D168" s="53" t="str">
        <f>+'Order Details Apr23-Mar24'!T168</f>
        <v>Venkateshwara Hatcheries Ltd</v>
      </c>
      <c r="E168" s="25"/>
      <c r="F168" s="183" t="str">
        <f>+'Order Details Apr23-Mar24'!D168</f>
        <v>IBD Intermediate (Standard) Live</v>
      </c>
      <c r="G168" s="184"/>
      <c r="H168" s="26" t="str">
        <f>+'Order Details Apr23-Mar24'!G168</f>
        <v>Dose</v>
      </c>
      <c r="I168" s="27">
        <f>+'Order Details Apr23-Mar24'!I168</f>
        <v>45000</v>
      </c>
      <c r="J168" s="28"/>
      <c r="K168" s="185" t="str">
        <f>+'Order Details Apr23-Mar24'!R168</f>
        <v>PO / NBF / 141123 / 116</v>
      </c>
      <c r="L168" s="186"/>
      <c r="M168" s="187"/>
      <c r="N168" s="100">
        <f>+'Order Details Apr23-Mar24'!F168*'Order Details Apr23-Mar24'!N168</f>
        <v>8032.5</v>
      </c>
      <c r="O168" s="25"/>
      <c r="P168" s="22"/>
      <c r="Q168" s="61">
        <v>45</v>
      </c>
      <c r="R168" s="82"/>
      <c r="S168" s="22">
        <f t="shared" si="2"/>
        <v>0</v>
      </c>
      <c r="T168" s="22"/>
      <c r="U168" s="31"/>
      <c r="V168" s="51"/>
    </row>
    <row r="169" spans="1:22" ht="20.100000000000001" customHeight="1" x14ac:dyDescent="0.3">
      <c r="A169" s="44">
        <v>161</v>
      </c>
      <c r="B169" s="22">
        <f>+'Order Details Apr23-Mar24'!P169</f>
        <v>45244</v>
      </c>
      <c r="C169" s="23"/>
      <c r="D169" s="53" t="str">
        <f>+'Order Details Apr23-Mar24'!T169</f>
        <v>Venkateshwara Hatcheries Ltd</v>
      </c>
      <c r="E169" s="25"/>
      <c r="F169" s="183" t="str">
        <f>+'Order Details Apr23-Mar24'!D169</f>
        <v>IBD Intermediate (Plus Type) Live</v>
      </c>
      <c r="G169" s="184"/>
      <c r="H169" s="26" t="str">
        <f>+'Order Details Apr23-Mar24'!G169</f>
        <v>Dose</v>
      </c>
      <c r="I169" s="27">
        <f>+'Order Details Apr23-Mar24'!I169</f>
        <v>96000</v>
      </c>
      <c r="J169" s="28"/>
      <c r="K169" s="185" t="str">
        <f>+'Order Details Apr23-Mar24'!R169</f>
        <v>PO / NBF / 141123 / 116</v>
      </c>
      <c r="L169" s="186"/>
      <c r="M169" s="187"/>
      <c r="N169" s="100">
        <f>+'Order Details Apr23-Mar24'!F169*'Order Details Apr23-Mar24'!N169</f>
        <v>23184</v>
      </c>
      <c r="O169" s="25"/>
      <c r="P169" s="22"/>
      <c r="Q169" s="61">
        <v>45</v>
      </c>
      <c r="R169" s="82"/>
      <c r="S169" s="22">
        <f t="shared" si="2"/>
        <v>0</v>
      </c>
      <c r="T169" s="22"/>
      <c r="U169" s="31"/>
      <c r="V169" s="51"/>
    </row>
    <row r="170" spans="1:22" ht="20.100000000000001" customHeight="1" x14ac:dyDescent="0.3">
      <c r="A170" s="44">
        <v>162</v>
      </c>
      <c r="B170" s="22">
        <f>+'Order Details Apr23-Mar24'!P170</f>
        <v>45244</v>
      </c>
      <c r="C170" s="23"/>
      <c r="D170" s="53" t="str">
        <f>+'Order Details Apr23-Mar24'!T170</f>
        <v>Venkateshwara Hatcheries Ltd</v>
      </c>
      <c r="E170" s="25"/>
      <c r="F170" s="183" t="str">
        <f>+'Order Details Apr23-Mar24'!D170</f>
        <v>IB (H-120) Live Vacine</v>
      </c>
      <c r="G170" s="184"/>
      <c r="H170" s="26" t="str">
        <f>+'Order Details Apr23-Mar24'!G170</f>
        <v>Dose</v>
      </c>
      <c r="I170" s="27">
        <f>+'Order Details Apr23-Mar24'!I170</f>
        <v>45000</v>
      </c>
      <c r="J170" s="28"/>
      <c r="K170" s="185" t="str">
        <f>+'Order Details Apr23-Mar24'!R170</f>
        <v>PO / NBF / 141123 / 116</v>
      </c>
      <c r="L170" s="186"/>
      <c r="M170" s="187"/>
      <c r="N170" s="100">
        <f>+'Order Details Apr23-Mar24'!F170*'Order Details Apr23-Mar24'!N170</f>
        <v>5008.5</v>
      </c>
      <c r="O170" s="25"/>
      <c r="P170" s="22"/>
      <c r="Q170" s="61">
        <v>45</v>
      </c>
      <c r="R170" s="82"/>
      <c r="S170" s="22">
        <f t="shared" si="2"/>
        <v>0</v>
      </c>
      <c r="T170" s="22"/>
      <c r="U170" s="31"/>
      <c r="V170" s="51"/>
    </row>
    <row r="171" spans="1:22" ht="20.100000000000001" customHeight="1" x14ac:dyDescent="0.3">
      <c r="A171" s="44">
        <v>163</v>
      </c>
      <c r="B171" s="22">
        <f>+'Order Details Apr23-Mar24'!P171</f>
        <v>45244</v>
      </c>
      <c r="C171" s="23"/>
      <c r="D171" s="53" t="str">
        <f>+'Order Details Apr23-Mar24'!T171</f>
        <v>Venkateshwara Hatcheries Ltd</v>
      </c>
      <c r="E171" s="25"/>
      <c r="F171" s="183" t="str">
        <f>+'Order Details Apr23-Mar24'!D171</f>
        <v>IB (Mass Type) Live Vacine</v>
      </c>
      <c r="G171" s="184"/>
      <c r="H171" s="26" t="str">
        <f>+'Order Details Apr23-Mar24'!G171</f>
        <v>Dose</v>
      </c>
      <c r="I171" s="27">
        <f>+'Order Details Apr23-Mar24'!I171</f>
        <v>45000</v>
      </c>
      <c r="J171" s="28"/>
      <c r="K171" s="185" t="str">
        <f>+'Order Details Apr23-Mar24'!R171</f>
        <v>PO / NBF / 141123 / 116</v>
      </c>
      <c r="L171" s="186"/>
      <c r="M171" s="187"/>
      <c r="N171" s="100">
        <f>+'Order Details Apr23-Mar24'!F171*'Order Details Apr23-Mar24'!N171</f>
        <v>5008.5</v>
      </c>
      <c r="O171" s="25"/>
      <c r="P171" s="22"/>
      <c r="Q171" s="61">
        <v>45</v>
      </c>
      <c r="R171" s="82"/>
      <c r="S171" s="22">
        <f t="shared" si="2"/>
        <v>0</v>
      </c>
      <c r="T171" s="22"/>
      <c r="U171" s="31"/>
      <c r="V171" s="51"/>
    </row>
    <row r="172" spans="1:22" ht="20.100000000000001" customHeight="1" x14ac:dyDescent="0.3">
      <c r="A172" s="44">
        <v>164</v>
      </c>
      <c r="B172" s="22">
        <f>+'Order Details Apr23-Mar24'!P172</f>
        <v>45244</v>
      </c>
      <c r="C172" s="23"/>
      <c r="D172" s="53" t="str">
        <f>+'Order Details Apr23-Mar24'!T172</f>
        <v>Venkateshwara Hatcheries Ltd</v>
      </c>
      <c r="E172" s="25"/>
      <c r="F172" s="183" t="str">
        <f>+'Order Details Apr23-Mar24'!D172</f>
        <v>ND (Lasota) Live Vaccine</v>
      </c>
      <c r="G172" s="184"/>
      <c r="H172" s="26" t="str">
        <f>+'Order Details Apr23-Mar24'!G172</f>
        <v>Dose</v>
      </c>
      <c r="I172" s="27">
        <f>+'Order Details Apr23-Mar24'!I172</f>
        <v>47000</v>
      </c>
      <c r="J172" s="28"/>
      <c r="K172" s="185" t="str">
        <f>+'Order Details Apr23-Mar24'!R172</f>
        <v>PO / NBF / 141123 / 116</v>
      </c>
      <c r="L172" s="186"/>
      <c r="M172" s="187"/>
      <c r="N172" s="100">
        <f>+'Order Details Apr23-Mar24'!F172*'Order Details Apr23-Mar24'!N172</f>
        <v>2763.6</v>
      </c>
      <c r="O172" s="25"/>
      <c r="P172" s="22"/>
      <c r="Q172" s="61">
        <v>45</v>
      </c>
      <c r="R172" s="82"/>
      <c r="S172" s="22">
        <f t="shared" si="2"/>
        <v>0</v>
      </c>
      <c r="T172" s="22"/>
      <c r="U172" s="31"/>
      <c r="V172" s="51"/>
    </row>
    <row r="173" spans="1:22" ht="20.100000000000001" customHeight="1" x14ac:dyDescent="0.3">
      <c r="A173" s="44">
        <v>165</v>
      </c>
      <c r="B173" s="22">
        <f>+'Order Details Apr23-Mar24'!P173</f>
        <v>45244</v>
      </c>
      <c r="C173" s="23"/>
      <c r="D173" s="53" t="str">
        <f>+'Order Details Apr23-Mar24'!T173</f>
        <v>Venkateshwara Hatcheries Ltd</v>
      </c>
      <c r="E173" s="25"/>
      <c r="F173" s="183" t="str">
        <f>+'Order Details Apr23-Mar24'!D173</f>
        <v>Fowl Pox Live Vaccine</v>
      </c>
      <c r="G173" s="184"/>
      <c r="H173" s="26" t="str">
        <f>+'Order Details Apr23-Mar24'!G173</f>
        <v>Dose</v>
      </c>
      <c r="I173" s="27">
        <f>+'Order Details Apr23-Mar24'!I173</f>
        <v>141000</v>
      </c>
      <c r="J173" s="28"/>
      <c r="K173" s="185" t="str">
        <f>+'Order Details Apr23-Mar24'!R173</f>
        <v>PO / NBF / 141123 / 116</v>
      </c>
      <c r="L173" s="186"/>
      <c r="M173" s="187"/>
      <c r="N173" s="100">
        <f>+'Order Details Apr23-Mar24'!F173*'Order Details Apr23-Mar24'!N173</f>
        <v>18506.25</v>
      </c>
      <c r="O173" s="25"/>
      <c r="P173" s="22"/>
      <c r="Q173" s="61">
        <v>45</v>
      </c>
      <c r="R173" s="82"/>
      <c r="S173" s="22">
        <f t="shared" si="2"/>
        <v>0</v>
      </c>
      <c r="T173" s="22"/>
      <c r="U173" s="31"/>
      <c r="V173" s="51"/>
    </row>
    <row r="174" spans="1:22" ht="20.100000000000001" customHeight="1" x14ac:dyDescent="0.3">
      <c r="A174" s="44">
        <v>166</v>
      </c>
      <c r="B174" s="22">
        <f>+'Order Details Apr23-Mar24'!P174</f>
        <v>45244</v>
      </c>
      <c r="C174" s="23"/>
      <c r="D174" s="53" t="str">
        <f>+'Order Details Apr23-Mar24'!T174</f>
        <v>Venkateshwara Hatcheries Ltd</v>
      </c>
      <c r="E174" s="25"/>
      <c r="F174" s="183" t="str">
        <f>+'Order Details Apr23-Mar24'!D174</f>
        <v>R2B Live Vaccine</v>
      </c>
      <c r="G174" s="184"/>
      <c r="H174" s="26" t="str">
        <f>+'Order Details Apr23-Mar24'!G174</f>
        <v>Dose</v>
      </c>
      <c r="I174" s="27">
        <f>+'Order Details Apr23-Mar24'!I174</f>
        <v>51000</v>
      </c>
      <c r="J174" s="28"/>
      <c r="K174" s="185" t="str">
        <f>+'Order Details Apr23-Mar24'!R174</f>
        <v>PO / NBF / 141123 / 116</v>
      </c>
      <c r="L174" s="186"/>
      <c r="M174" s="187"/>
      <c r="N174" s="100">
        <f>+'Order Details Apr23-Mar24'!F174*'Order Details Apr23-Mar24'!N174</f>
        <v>6747.3</v>
      </c>
      <c r="O174" s="25"/>
      <c r="P174" s="22"/>
      <c r="Q174" s="61">
        <v>45</v>
      </c>
      <c r="R174" s="82"/>
      <c r="S174" s="22">
        <f t="shared" si="2"/>
        <v>0</v>
      </c>
      <c r="T174" s="22"/>
      <c r="U174" s="31"/>
      <c r="V174" s="51"/>
    </row>
    <row r="175" spans="1:22" ht="20.100000000000001" customHeight="1" x14ac:dyDescent="0.3">
      <c r="A175" s="44">
        <v>167</v>
      </c>
      <c r="B175" s="22">
        <f>+'Order Details Apr23-Mar24'!P175</f>
        <v>45244</v>
      </c>
      <c r="C175" s="23"/>
      <c r="D175" s="53" t="str">
        <f>+'Order Details Apr23-Mar24'!T175</f>
        <v>Venkateshwara Hatcheries Ltd</v>
      </c>
      <c r="E175" s="25"/>
      <c r="F175" s="183" t="str">
        <f>+'Order Details Apr23-Mar24'!D175</f>
        <v>VVMD (HVT+SB-1) Live Vaccine</v>
      </c>
      <c r="G175" s="184"/>
      <c r="H175" s="26" t="str">
        <f>+'Order Details Apr23-Mar24'!G175</f>
        <v>Dose</v>
      </c>
      <c r="I175" s="27">
        <f>+'Order Details Apr23-Mar24'!I175</f>
        <v>102000</v>
      </c>
      <c r="J175" s="28"/>
      <c r="K175" s="185" t="str">
        <f>+'Order Details Apr23-Mar24'!R175</f>
        <v>PO / NBF / 141123 / 116</v>
      </c>
      <c r="L175" s="186"/>
      <c r="M175" s="187"/>
      <c r="N175" s="100">
        <f>+'Order Details Apr23-Mar24'!F175*'Order Details Apr23-Mar24'!N175</f>
        <v>210023.1</v>
      </c>
      <c r="O175" s="25"/>
      <c r="P175" s="22"/>
      <c r="Q175" s="61">
        <v>45</v>
      </c>
      <c r="R175" s="82"/>
      <c r="S175" s="22">
        <f t="shared" si="2"/>
        <v>0</v>
      </c>
      <c r="T175" s="22"/>
      <c r="U175" s="31"/>
      <c r="V175" s="51"/>
    </row>
    <row r="176" spans="1:22" ht="20.100000000000001" customHeight="1" x14ac:dyDescent="0.3">
      <c r="A176" s="44">
        <v>168</v>
      </c>
      <c r="B176" s="22">
        <f>+'Order Details Apr23-Mar24'!P176</f>
        <v>45244</v>
      </c>
      <c r="C176" s="23"/>
      <c r="D176" s="53" t="str">
        <f>+'Order Details Apr23-Mar24'!T176</f>
        <v>Venkateshwara Hatcheries Ltd</v>
      </c>
      <c r="E176" s="25"/>
      <c r="F176" s="183" t="str">
        <f>+'Order Details Apr23-Mar24'!D176</f>
        <v>IBH KILLED VAC</v>
      </c>
      <c r="G176" s="184"/>
      <c r="H176" s="26" t="str">
        <f>+'Order Details Apr23-Mar24'!G176</f>
        <v>Dose</v>
      </c>
      <c r="I176" s="27">
        <f>+'Order Details Apr23-Mar24'!I176</f>
        <v>45000</v>
      </c>
      <c r="J176" s="28"/>
      <c r="K176" s="185" t="str">
        <f>+'Order Details Apr23-Mar24'!R176</f>
        <v>PO / NBF / 141123 / 116</v>
      </c>
      <c r="L176" s="186"/>
      <c r="M176" s="187"/>
      <c r="N176" s="100">
        <f>+'Order Details Apr23-Mar24'!F176*'Order Details Apr23-Mar24'!N176</f>
        <v>74418.75</v>
      </c>
      <c r="O176" s="25"/>
      <c r="P176" s="22"/>
      <c r="Q176" s="61">
        <v>45</v>
      </c>
      <c r="R176" s="82"/>
      <c r="S176" s="22">
        <f t="shared" si="2"/>
        <v>0</v>
      </c>
      <c r="T176" s="22"/>
      <c r="U176" s="31"/>
      <c r="V176" s="51"/>
    </row>
    <row r="177" spans="1:22" ht="20.100000000000001" customHeight="1" x14ac:dyDescent="0.3">
      <c r="A177" s="44">
        <v>169</v>
      </c>
      <c r="B177" s="22">
        <f>+'Order Details Apr23-Mar24'!P177</f>
        <v>45244</v>
      </c>
      <c r="C177" s="23"/>
      <c r="D177" s="53" t="str">
        <f>+'Order Details Apr23-Mar24'!T177</f>
        <v>Venkateshwara Hatcheries Ltd</v>
      </c>
      <c r="E177" s="25"/>
      <c r="F177" s="183" t="str">
        <f>+'Order Details Apr23-Mar24'!D177</f>
        <v>REO KILLED VAC</v>
      </c>
      <c r="G177" s="184"/>
      <c r="H177" s="26" t="str">
        <f>+'Order Details Apr23-Mar24'!G177</f>
        <v>Dose</v>
      </c>
      <c r="I177" s="27">
        <f>+'Order Details Apr23-Mar24'!I177</f>
        <v>7000</v>
      </c>
      <c r="J177" s="28"/>
      <c r="K177" s="185" t="str">
        <f>+'Order Details Apr23-Mar24'!R177</f>
        <v>PO / NBF / 141123 / 116</v>
      </c>
      <c r="L177" s="186"/>
      <c r="M177" s="187"/>
      <c r="N177" s="100">
        <f>+'Order Details Apr23-Mar24'!F177*'Order Details Apr23-Mar24'!N177</f>
        <v>14854.350000000002</v>
      </c>
      <c r="O177" s="25"/>
      <c r="P177" s="22"/>
      <c r="Q177" s="61">
        <v>45</v>
      </c>
      <c r="R177" s="82"/>
      <c r="S177" s="22">
        <f t="shared" si="2"/>
        <v>0</v>
      </c>
      <c r="T177" s="22"/>
      <c r="U177" s="31"/>
      <c r="V177" s="51"/>
    </row>
    <row r="178" spans="1:22" ht="20.100000000000001" customHeight="1" x14ac:dyDescent="0.3">
      <c r="A178" s="44">
        <v>170</v>
      </c>
      <c r="B178" s="22">
        <f>+'Order Details Apr23-Mar24'!P178</f>
        <v>45244</v>
      </c>
      <c r="C178" s="23"/>
      <c r="D178" s="53" t="str">
        <f>+'Order Details Apr23-Mar24'!T178</f>
        <v>Venkateshwara Hatcheries Ltd</v>
      </c>
      <c r="E178" s="25"/>
      <c r="F178" s="183" t="str">
        <f>+'Order Details Apr23-Mar24'!D178</f>
        <v>SALMONELLA KILLED VAC</v>
      </c>
      <c r="G178" s="184"/>
      <c r="H178" s="26" t="str">
        <f>+'Order Details Apr23-Mar24'!G178</f>
        <v>Dose</v>
      </c>
      <c r="I178" s="27">
        <f>+'Order Details Apr23-Mar24'!I178</f>
        <v>43000</v>
      </c>
      <c r="J178" s="28"/>
      <c r="K178" s="185" t="str">
        <f>+'Order Details Apr23-Mar24'!R178</f>
        <v>PO / NBF / 141123 / 116</v>
      </c>
      <c r="L178" s="186"/>
      <c r="M178" s="187"/>
      <c r="N178" s="100">
        <f>+'Order Details Apr23-Mar24'!F178*'Order Details Apr23-Mar24'!N178</f>
        <v>128000.25</v>
      </c>
      <c r="O178" s="25"/>
      <c r="P178" s="22"/>
      <c r="Q178" s="61">
        <v>45</v>
      </c>
      <c r="R178" s="82"/>
      <c r="S178" s="22">
        <f t="shared" si="2"/>
        <v>0</v>
      </c>
      <c r="T178" s="22"/>
      <c r="U178" s="31"/>
      <c r="V178" s="51"/>
    </row>
    <row r="179" spans="1:22" ht="20.100000000000001" customHeight="1" x14ac:dyDescent="0.3">
      <c r="A179" s="44">
        <v>171</v>
      </c>
      <c r="B179" s="22">
        <f>+'Order Details Apr23-Mar24'!P179</f>
        <v>45244</v>
      </c>
      <c r="C179" s="23"/>
      <c r="D179" s="53" t="str">
        <f>+'Order Details Apr23-Mar24'!T179</f>
        <v>Venkateshwara Hatcheries Ltd</v>
      </c>
      <c r="E179" s="25"/>
      <c r="F179" s="183" t="str">
        <f>+'Order Details Apr23-Mar24'!D179</f>
        <v>VH F1-C7 (FC+IC) KILLED VAC</v>
      </c>
      <c r="G179" s="184"/>
      <c r="H179" s="26" t="str">
        <f>+'Order Details Apr23-Mar24'!G179</f>
        <v>Dose</v>
      </c>
      <c r="I179" s="27">
        <f>+'Order Details Apr23-Mar24'!I179</f>
        <v>71000</v>
      </c>
      <c r="J179" s="28"/>
      <c r="K179" s="185" t="str">
        <f>+'Order Details Apr23-Mar24'!R179</f>
        <v>PO / NBF / 141123 / 116</v>
      </c>
      <c r="L179" s="186"/>
      <c r="M179" s="187"/>
      <c r="N179" s="100">
        <f>+'Order Details Apr23-Mar24'!F179*'Order Details Apr23-Mar24'!N179</f>
        <v>176161.65</v>
      </c>
      <c r="O179" s="25"/>
      <c r="P179" s="22"/>
      <c r="Q179" s="61">
        <v>45</v>
      </c>
      <c r="R179" s="82"/>
      <c r="S179" s="22">
        <f t="shared" si="2"/>
        <v>0</v>
      </c>
      <c r="T179" s="22"/>
      <c r="U179" s="31"/>
      <c r="V179" s="51"/>
    </row>
    <row r="180" spans="1:22" ht="20.100000000000001" customHeight="1" x14ac:dyDescent="0.3">
      <c r="A180" s="44">
        <v>172</v>
      </c>
      <c r="B180" s="22">
        <f>+'Order Details Apr23-Mar24'!P180</f>
        <v>45244</v>
      </c>
      <c r="C180" s="23"/>
      <c r="D180" s="53" t="str">
        <f>+'Order Details Apr23-Mar24'!T180</f>
        <v>Venkateshwara Hatcheries Ltd</v>
      </c>
      <c r="E180" s="25"/>
      <c r="F180" s="183" t="str">
        <f>+'Order Details Apr23-Mar24'!D180</f>
        <v>Sterile Diluent for Fowl Pox Live</v>
      </c>
      <c r="G180" s="184"/>
      <c r="H180" s="26" t="str">
        <f>+'Order Details Apr23-Mar24'!G180</f>
        <v>Ml</v>
      </c>
      <c r="I180" s="27">
        <f>+'Order Details Apr23-Mar24'!I180</f>
        <v>30000</v>
      </c>
      <c r="J180" s="28"/>
      <c r="K180" s="185" t="str">
        <f>+'Order Details Apr23-Mar24'!R180</f>
        <v>PO / NBF / 141123 / 116</v>
      </c>
      <c r="L180" s="186"/>
      <c r="M180" s="187"/>
      <c r="N180" s="100">
        <f>+'Order Details Apr23-Mar24'!F180*'Order Details Apr23-Mar24'!N180</f>
        <v>275.625</v>
      </c>
      <c r="O180" s="25"/>
      <c r="P180" s="22"/>
      <c r="Q180" s="61">
        <v>45</v>
      </c>
      <c r="R180" s="82"/>
      <c r="S180" s="22">
        <f t="shared" si="2"/>
        <v>0</v>
      </c>
      <c r="T180" s="22"/>
      <c r="U180" s="31"/>
      <c r="V180" s="51"/>
    </row>
    <row r="181" spans="1:22" ht="20.100000000000001" customHeight="1" x14ac:dyDescent="0.3">
      <c r="A181" s="44">
        <v>173</v>
      </c>
      <c r="B181" s="22">
        <f>+'Order Details Apr23-Mar24'!P181</f>
        <v>45244</v>
      </c>
      <c r="C181" s="23"/>
      <c r="D181" s="53" t="str">
        <f>+'Order Details Apr23-Mar24'!T181</f>
        <v>Venkateshwara Hatcheries Ltd</v>
      </c>
      <c r="E181" s="25"/>
      <c r="F181" s="183" t="str">
        <f>+'Order Details Apr23-Mar24'!D181</f>
        <v>Sterile Diluent for R2B Live</v>
      </c>
      <c r="G181" s="184"/>
      <c r="H181" s="26" t="str">
        <f>+'Order Details Apr23-Mar24'!G181</f>
        <v>Ml</v>
      </c>
      <c r="I181" s="27">
        <f>+'Order Details Apr23-Mar24'!I181</f>
        <v>27500</v>
      </c>
      <c r="J181" s="28"/>
      <c r="K181" s="185" t="str">
        <f>+'Order Details Apr23-Mar24'!R181</f>
        <v>PO / NBF / 141123 / 116</v>
      </c>
      <c r="L181" s="186"/>
      <c r="M181" s="187"/>
      <c r="N181" s="100">
        <f>+'Order Details Apr23-Mar24'!F181*'Order Details Apr23-Mar24'!N181</f>
        <v>101.0625</v>
      </c>
      <c r="O181" s="25"/>
      <c r="P181" s="22"/>
      <c r="Q181" s="61">
        <v>45</v>
      </c>
      <c r="R181" s="82"/>
      <c r="S181" s="22">
        <f t="shared" si="2"/>
        <v>0</v>
      </c>
      <c r="T181" s="22"/>
      <c r="U181" s="31"/>
      <c r="V181" s="51"/>
    </row>
    <row r="182" spans="1:22" ht="20.100000000000001" customHeight="1" x14ac:dyDescent="0.3">
      <c r="A182" s="44">
        <v>174</v>
      </c>
      <c r="B182" s="22">
        <f>+'Order Details Apr23-Mar24'!P182</f>
        <v>45244</v>
      </c>
      <c r="C182" s="23"/>
      <c r="D182" s="53" t="str">
        <f>+'Order Details Apr23-Mar24'!T182</f>
        <v>Venkateshwara Hatcheries Ltd</v>
      </c>
      <c r="E182" s="25"/>
      <c r="F182" s="183" t="str">
        <f>+'Order Details Apr23-Mar24'!D182</f>
        <v>Sterile Diluent for VVMD Live</v>
      </c>
      <c r="G182" s="184"/>
      <c r="H182" s="26" t="str">
        <f>+'Order Details Apr23-Mar24'!G182</f>
        <v>Ml</v>
      </c>
      <c r="I182" s="27">
        <f>+'Order Details Apr23-Mar24'!I182</f>
        <v>21000</v>
      </c>
      <c r="J182" s="28"/>
      <c r="K182" s="185" t="str">
        <f>+'Order Details Apr23-Mar24'!R182</f>
        <v>PO / NBF / 141123 / 116</v>
      </c>
      <c r="L182" s="186"/>
      <c r="M182" s="187"/>
      <c r="N182" s="100">
        <f>+'Order Details Apr23-Mar24'!F182*'Order Details Apr23-Mar24'!N182</f>
        <v>137.8125</v>
      </c>
      <c r="O182" s="25"/>
      <c r="P182" s="22"/>
      <c r="Q182" s="61">
        <v>45</v>
      </c>
      <c r="R182" s="82"/>
      <c r="S182" s="22">
        <f t="shared" si="2"/>
        <v>0</v>
      </c>
      <c r="T182" s="22"/>
      <c r="U182" s="31"/>
      <c r="V182" s="51"/>
    </row>
    <row r="183" spans="1:22" ht="20.100000000000001" customHeight="1" x14ac:dyDescent="0.3">
      <c r="A183" s="44">
        <v>175</v>
      </c>
      <c r="B183" s="22">
        <f>+'Order Details Apr23-Mar24'!P183</f>
        <v>45244</v>
      </c>
      <c r="C183" s="23"/>
      <c r="D183" s="53" t="str">
        <f>+'Order Details Apr23-Mar24'!T183</f>
        <v>Venkateshwara Hatcheries Ltd</v>
      </c>
      <c r="E183" s="25"/>
      <c r="F183" s="183" t="str">
        <f>+'Order Details Apr23-Mar24'!D183</f>
        <v>Sterile Diluent for Others Live</v>
      </c>
      <c r="G183" s="184"/>
      <c r="H183" s="26" t="str">
        <f>+'Order Details Apr23-Mar24'!G183</f>
        <v>Ml</v>
      </c>
      <c r="I183" s="27">
        <f>+'Order Details Apr23-Mar24'!I183</f>
        <v>9000</v>
      </c>
      <c r="J183" s="28"/>
      <c r="K183" s="185" t="str">
        <f>+'Order Details Apr23-Mar24'!R183</f>
        <v>PO / NBF / 141123 / 116</v>
      </c>
      <c r="L183" s="186"/>
      <c r="M183" s="187"/>
      <c r="N183" s="100">
        <f>+'Order Details Apr23-Mar24'!F183*'Order Details Apr23-Mar24'!N183</f>
        <v>551.25</v>
      </c>
      <c r="O183" s="25"/>
      <c r="P183" s="22"/>
      <c r="Q183" s="61">
        <v>45</v>
      </c>
      <c r="R183" s="82"/>
      <c r="S183" s="22">
        <f t="shared" si="2"/>
        <v>0</v>
      </c>
      <c r="T183" s="22"/>
      <c r="U183" s="31"/>
      <c r="V183" s="51"/>
    </row>
    <row r="184" spans="1:22" ht="20.100000000000001" customHeight="1" x14ac:dyDescent="0.3">
      <c r="A184" s="44">
        <v>176</v>
      </c>
      <c r="B184" s="22">
        <f>+'Order Details Apr23-Mar24'!P184</f>
        <v>45246</v>
      </c>
      <c r="C184" s="23"/>
      <c r="D184" s="53" t="str">
        <f>+'Order Details Apr23-Mar24'!T184</f>
        <v>Sneha Farms Pvt Ltd, Hyderabad</v>
      </c>
      <c r="E184" s="25"/>
      <c r="F184" s="183" t="str">
        <f>+'Order Details Apr23-Mar24'!D184</f>
        <v>Lysine-HCL (Sewon)</v>
      </c>
      <c r="G184" s="184"/>
      <c r="H184" s="26" t="str">
        <f>+'Order Details Apr23-Mar24'!G184</f>
        <v>Kg</v>
      </c>
      <c r="I184" s="27">
        <f>+'Order Details Apr23-Mar24'!I184</f>
        <v>500</v>
      </c>
      <c r="J184" s="28"/>
      <c r="K184" s="185" t="str">
        <f>+'Order Details Apr23-Mar24'!R184</f>
        <v>PO / NBF / 161123 / 117</v>
      </c>
      <c r="L184" s="186"/>
      <c r="M184" s="187"/>
      <c r="N184" s="100">
        <f>+'Order Details Apr23-Mar24'!F184*'Order Details Apr23-Mar24'!N184</f>
        <v>85000.12000000001</v>
      </c>
      <c r="O184" s="25"/>
      <c r="P184" s="22"/>
      <c r="Q184" s="26">
        <v>7</v>
      </c>
      <c r="R184" s="82"/>
      <c r="S184" s="22">
        <f t="shared" si="2"/>
        <v>0</v>
      </c>
      <c r="T184" s="22"/>
      <c r="U184" s="31"/>
      <c r="V184" s="51"/>
    </row>
    <row r="185" spans="1:22" ht="20.100000000000001" customHeight="1" x14ac:dyDescent="0.3">
      <c r="A185" s="44">
        <v>177</v>
      </c>
      <c r="B185" s="22">
        <f>+'Order Details Apr23-Mar24'!P185</f>
        <v>45246</v>
      </c>
      <c r="C185" s="23"/>
      <c r="D185" s="53" t="str">
        <f>+'Order Details Apr23-Mar24'!T185</f>
        <v>Sneha Farms Pvt Ltd, Hyderabad</v>
      </c>
      <c r="E185" s="25"/>
      <c r="F185" s="183" t="str">
        <f>+'Order Details Apr23-Mar24'!D185</f>
        <v>DLM (Evonik)</v>
      </c>
      <c r="G185" s="184"/>
      <c r="H185" s="26" t="str">
        <f>+'Order Details Apr23-Mar24'!G185</f>
        <v>Kg</v>
      </c>
      <c r="I185" s="27">
        <f>+'Order Details Apr23-Mar24'!I185</f>
        <v>500</v>
      </c>
      <c r="J185" s="28"/>
      <c r="K185" s="185" t="str">
        <f>+'Order Details Apr23-Mar24'!R185</f>
        <v>PO / NBF / 161123 / 117</v>
      </c>
      <c r="L185" s="186"/>
      <c r="M185" s="187"/>
      <c r="N185" s="100">
        <f>+'Order Details Apr23-Mar24'!F185*'Order Details Apr23-Mar24'!N185</f>
        <v>172499.77500000002</v>
      </c>
      <c r="O185" s="25"/>
      <c r="P185" s="22"/>
      <c r="Q185" s="26">
        <v>7</v>
      </c>
      <c r="R185" s="82"/>
      <c r="S185" s="22">
        <f t="shared" si="2"/>
        <v>0</v>
      </c>
      <c r="T185" s="22"/>
      <c r="U185" s="31"/>
      <c r="V185" s="51"/>
    </row>
    <row r="186" spans="1:22" ht="20.100000000000001" customHeight="1" x14ac:dyDescent="0.3">
      <c r="A186" s="44">
        <v>178</v>
      </c>
      <c r="B186" s="22">
        <f>+'Order Details Apr23-Mar24'!P186</f>
        <v>45248</v>
      </c>
      <c r="C186" s="23"/>
      <c r="D186" s="53" t="str">
        <f>+'Order Details Apr23-Mar24'!T186</f>
        <v>Sneha Farms Pvt Ltd, Hyderabad</v>
      </c>
      <c r="E186" s="25"/>
      <c r="F186" s="183" t="str">
        <f>+'Order Details Apr23-Mar24'!D186</f>
        <v>MCP (Channen)</v>
      </c>
      <c r="G186" s="184"/>
      <c r="H186" s="26" t="str">
        <f>+'Order Details Apr23-Mar24'!G186</f>
        <v>Kg</v>
      </c>
      <c r="I186" s="27">
        <f>+'Order Details Apr23-Mar24'!I186</f>
        <v>10000</v>
      </c>
      <c r="J186" s="28"/>
      <c r="K186" s="185" t="str">
        <f>+'Order Details Apr23-Mar24'!R186</f>
        <v>PO / NBF / 181123 / 118</v>
      </c>
      <c r="L186" s="186"/>
      <c r="M186" s="187"/>
      <c r="N186" s="100">
        <f>+'Order Details Apr23-Mar24'!F186*'Order Details Apr23-Mar24'!N186</f>
        <v>710000.1</v>
      </c>
      <c r="O186" s="25"/>
      <c r="P186" s="22"/>
      <c r="Q186" s="26">
        <v>7</v>
      </c>
      <c r="R186" s="82"/>
      <c r="S186" s="22">
        <f t="shared" si="2"/>
        <v>0</v>
      </c>
      <c r="T186" s="22"/>
      <c r="U186" s="31"/>
      <c r="V186" s="51"/>
    </row>
    <row r="187" spans="1:22" ht="20.100000000000001" customHeight="1" x14ac:dyDescent="0.3">
      <c r="A187" s="44">
        <v>179</v>
      </c>
      <c r="B187" s="22">
        <f>+'Order Details Apr23-Mar24'!P187</f>
        <v>45248</v>
      </c>
      <c r="C187" s="23"/>
      <c r="D187" s="53" t="str">
        <f>+'Order Details Apr23-Mar24'!T187</f>
        <v>Izda Healthcare, Ambala Cantonment</v>
      </c>
      <c r="E187" s="25"/>
      <c r="F187" s="183" t="str">
        <f>+'Order Details Apr23-Mar24'!D187</f>
        <v>Deforce Injection (Izda Healthcare)</v>
      </c>
      <c r="G187" s="184"/>
      <c r="H187" s="26" t="str">
        <f>+'Order Details Apr23-Mar24'!G187</f>
        <v>Ml</v>
      </c>
      <c r="I187" s="27">
        <f>+'Order Details Apr23-Mar24'!I187</f>
        <v>500</v>
      </c>
      <c r="J187" s="28"/>
      <c r="K187" s="185" t="str">
        <f>+'Order Details Apr23-Mar24'!R187</f>
        <v>PO / NBF / 181123 / 119</v>
      </c>
      <c r="L187" s="186"/>
      <c r="M187" s="187"/>
      <c r="N187" s="100">
        <f>+'Order Details Apr23-Mar24'!F187*'Order Details Apr23-Mar24'!N187</f>
        <v>42000</v>
      </c>
      <c r="O187" s="25"/>
      <c r="P187" s="22"/>
      <c r="Q187" s="26">
        <v>45</v>
      </c>
      <c r="R187" s="82"/>
      <c r="S187" s="22">
        <f t="shared" si="2"/>
        <v>0</v>
      </c>
      <c r="T187" s="22"/>
      <c r="U187" s="31"/>
      <c r="V187" s="51"/>
    </row>
    <row r="188" spans="1:22" ht="20.100000000000001" customHeight="1" x14ac:dyDescent="0.3">
      <c r="A188" s="44">
        <v>180</v>
      </c>
      <c r="B188" s="22">
        <f>+'Order Details Apr23-Mar24'!P188</f>
        <v>45250</v>
      </c>
      <c r="C188" s="23"/>
      <c r="D188" s="53" t="str">
        <f>+'Order Details Apr23-Mar24'!T188</f>
        <v>B V Biocrop, Hitech Division</v>
      </c>
      <c r="E188" s="25"/>
      <c r="F188" s="183" t="str">
        <f>+'Order Details Apr23-Mar24'!D188</f>
        <v>AQUAMAX (BV Biocrop)</v>
      </c>
      <c r="G188" s="184"/>
      <c r="H188" s="26" t="str">
        <f>+'Order Details Apr23-Mar24'!G188</f>
        <v>Ltr</v>
      </c>
      <c r="I188" s="27">
        <f>+'Order Details Apr23-Mar24'!I188</f>
        <v>200</v>
      </c>
      <c r="J188" s="28"/>
      <c r="K188" s="185" t="str">
        <f>+'Order Details Apr23-Mar24'!R188</f>
        <v>PO / NBF / 201123 / 120</v>
      </c>
      <c r="L188" s="186"/>
      <c r="M188" s="187"/>
      <c r="N188" s="100">
        <f>+'Order Details Apr23-Mar24'!F188*'Order Details Apr23-Mar24'!N188</f>
        <v>21570.400000000001</v>
      </c>
      <c r="O188" s="25"/>
      <c r="P188" s="22"/>
      <c r="Q188" s="61">
        <v>45</v>
      </c>
      <c r="R188" s="82"/>
      <c r="S188" s="22">
        <f t="shared" si="2"/>
        <v>0</v>
      </c>
      <c r="T188" s="22"/>
      <c r="U188" s="31"/>
      <c r="V188" s="51"/>
    </row>
    <row r="189" spans="1:22" ht="20.100000000000001" customHeight="1" x14ac:dyDescent="0.3">
      <c r="A189" s="44">
        <v>181</v>
      </c>
      <c r="B189" s="22">
        <f>+'Order Details Apr23-Mar24'!P189</f>
        <v>45250</v>
      </c>
      <c r="C189" s="23"/>
      <c r="D189" s="53" t="str">
        <f>+'Order Details Apr23-Mar24'!T189</f>
        <v>Venkys India Ltd, AHP Division</v>
      </c>
      <c r="E189" s="25"/>
      <c r="F189" s="183" t="str">
        <f>+'Order Details Apr23-Mar24'!D189</f>
        <v>VENTRIPLEX-M 4X (AHP Division)</v>
      </c>
      <c r="G189" s="184"/>
      <c r="H189" s="26" t="str">
        <f>+'Order Details Apr23-Mar24'!G189</f>
        <v>Ltr</v>
      </c>
      <c r="I189" s="27">
        <f>+'Order Details Apr23-Mar24'!I189</f>
        <v>100</v>
      </c>
      <c r="J189" s="28"/>
      <c r="K189" s="185" t="str">
        <f>+'Order Details Apr23-Mar24'!R189</f>
        <v>PO / NBF / 201123 / 121</v>
      </c>
      <c r="L189" s="186"/>
      <c r="M189" s="187"/>
      <c r="N189" s="100">
        <f>+'Order Details Apr23-Mar24'!F189*'Order Details Apr23-Mar24'!N189</f>
        <v>11080</v>
      </c>
      <c r="O189" s="25"/>
      <c r="P189" s="22"/>
      <c r="Q189" s="61">
        <v>45</v>
      </c>
      <c r="R189" s="82"/>
      <c r="S189" s="22">
        <f t="shared" si="2"/>
        <v>0</v>
      </c>
      <c r="T189" s="22"/>
      <c r="U189" s="31"/>
      <c r="V189" s="51"/>
    </row>
    <row r="190" spans="1:22" ht="20.100000000000001" customHeight="1" x14ac:dyDescent="0.3">
      <c r="A190" s="44">
        <v>182</v>
      </c>
      <c r="B190" s="22">
        <f>+'Order Details Apr23-Mar24'!P190</f>
        <v>45251</v>
      </c>
      <c r="C190" s="23"/>
      <c r="D190" s="53" t="str">
        <f>+'Order Details Apr23-Mar24'!T190</f>
        <v>Crescent Marketing, Hyderabad</v>
      </c>
      <c r="E190" s="25"/>
      <c r="F190" s="183" t="str">
        <f>+'Order Details Apr23-Mar24'!D190</f>
        <v>OXY-LA Injection (Zenex-AH)</v>
      </c>
      <c r="G190" s="184"/>
      <c r="H190" s="26" t="str">
        <f>+'Order Details Apr23-Mar24'!G190</f>
        <v>Ml</v>
      </c>
      <c r="I190" s="27">
        <f>+'Order Details Apr23-Mar24'!I190</f>
        <v>20000</v>
      </c>
      <c r="J190" s="28"/>
      <c r="K190" s="185" t="str">
        <f>+'Order Details Apr23-Mar24'!R190</f>
        <v>PO / NBF / 211123 / 122</v>
      </c>
      <c r="L190" s="186"/>
      <c r="M190" s="187"/>
      <c r="N190" s="100">
        <f>+'Order Details Apr23-Mar24'!F190*'Order Details Apr23-Mar24'!N190</f>
        <v>51967.999999999993</v>
      </c>
      <c r="O190" s="25"/>
      <c r="P190" s="22"/>
      <c r="Q190" s="26">
        <v>45</v>
      </c>
      <c r="R190" s="82"/>
      <c r="S190" s="22">
        <f t="shared" si="2"/>
        <v>0</v>
      </c>
      <c r="T190" s="22"/>
      <c r="U190" s="31"/>
      <c r="V190" s="51"/>
    </row>
    <row r="191" spans="1:22" ht="20.100000000000001" customHeight="1" x14ac:dyDescent="0.3">
      <c r="A191" s="44">
        <v>183</v>
      </c>
      <c r="B191" s="22">
        <f>+'Order Details Apr23-Mar24'!P191</f>
        <v>45251</v>
      </c>
      <c r="C191" s="23"/>
      <c r="D191" s="53" t="str">
        <f>+'Order Details Apr23-Mar24'!T191</f>
        <v>Tara Enterprises, Hyderabad</v>
      </c>
      <c r="E191" s="25"/>
      <c r="F191" s="183" t="str">
        <f>+'Order Details Apr23-Mar24'!D191</f>
        <v>Tylomax Injection (Intas)</v>
      </c>
      <c r="G191" s="184"/>
      <c r="H191" s="26" t="str">
        <f>+'Order Details Apr23-Mar24'!G191</f>
        <v>Ml</v>
      </c>
      <c r="I191" s="27">
        <f>+'Order Details Apr23-Mar24'!I191</f>
        <v>15000</v>
      </c>
      <c r="J191" s="28"/>
      <c r="K191" s="185" t="str">
        <f>+'Order Details Apr23-Mar24'!R191</f>
        <v>PO / NBF / 211123 / 123</v>
      </c>
      <c r="L191" s="186"/>
      <c r="M191" s="187"/>
      <c r="N191" s="100">
        <f>+'Order Details Apr23-Mar24'!F191*'Order Details Apr23-Mar24'!N191</f>
        <v>43344</v>
      </c>
      <c r="O191" s="25"/>
      <c r="P191" s="22"/>
      <c r="Q191" s="26">
        <v>45</v>
      </c>
      <c r="R191" s="82"/>
      <c r="S191" s="22">
        <f t="shared" si="2"/>
        <v>0</v>
      </c>
      <c r="T191" s="22"/>
      <c r="U191" s="31"/>
      <c r="V191" s="51"/>
    </row>
    <row r="192" spans="1:22" ht="20.100000000000001" customHeight="1" x14ac:dyDescent="0.3">
      <c r="A192" s="44">
        <v>184</v>
      </c>
      <c r="B192" s="22">
        <f>+'Order Details Apr23-Mar24'!P192</f>
        <v>45254</v>
      </c>
      <c r="C192" s="23"/>
      <c r="D192" s="53" t="str">
        <f>+'Order Details Apr23-Mar24'!T192</f>
        <v>Das Drug Centre, Habra</v>
      </c>
      <c r="E192" s="25"/>
      <c r="F192" s="183" t="str">
        <f>+'Order Details Apr23-Mar24'!D192</f>
        <v>HIM-C (Himalaya)</v>
      </c>
      <c r="G192" s="184"/>
      <c r="H192" s="26" t="str">
        <f>+'Order Details Apr23-Mar24'!G192</f>
        <v>Kg</v>
      </c>
      <c r="I192" s="27">
        <f>+'Order Details Apr23-Mar24'!I192</f>
        <v>504</v>
      </c>
      <c r="J192" s="28"/>
      <c r="K192" s="185" t="str">
        <f>+'Order Details Apr23-Mar24'!R192</f>
        <v>PO / NBF / 211123 / 124</v>
      </c>
      <c r="L192" s="186"/>
      <c r="M192" s="187"/>
      <c r="N192" s="100">
        <f>+'Order Details Apr23-Mar24'!F192*'Order Details Apr23-Mar24'!N192</f>
        <v>68040</v>
      </c>
      <c r="O192" s="25"/>
      <c r="P192" s="22"/>
      <c r="Q192" s="26">
        <v>45</v>
      </c>
      <c r="R192" s="82"/>
      <c r="S192" s="22">
        <f t="shared" si="2"/>
        <v>0</v>
      </c>
      <c r="T192" s="22"/>
      <c r="U192" s="31"/>
      <c r="V192" s="51"/>
    </row>
    <row r="193" spans="1:22" ht="20.100000000000001" customHeight="1" x14ac:dyDescent="0.3">
      <c r="A193" s="44">
        <v>185</v>
      </c>
      <c r="B193" s="22">
        <f>+'Order Details Apr23-Mar24'!P193</f>
        <v>45254</v>
      </c>
      <c r="C193" s="23"/>
      <c r="D193" s="53" t="str">
        <f>+'Order Details Apr23-Mar24'!T193</f>
        <v>Das Drug Centre, Habra</v>
      </c>
      <c r="E193" s="25"/>
      <c r="F193" s="183" t="str">
        <f>+'Order Details Apr23-Mar24'!D193</f>
        <v>HIMLAY (Himalaya)</v>
      </c>
      <c r="G193" s="184"/>
      <c r="H193" s="26" t="str">
        <f>+'Order Details Apr23-Mar24'!G193</f>
        <v>Kg</v>
      </c>
      <c r="I193" s="27">
        <f>+'Order Details Apr23-Mar24'!I193</f>
        <v>500</v>
      </c>
      <c r="J193" s="28"/>
      <c r="K193" s="185" t="str">
        <f>+'Order Details Apr23-Mar24'!R193</f>
        <v>PO / NBF / 211123 / 124</v>
      </c>
      <c r="L193" s="186"/>
      <c r="M193" s="187"/>
      <c r="N193" s="100">
        <f>+'Order Details Apr23-Mar24'!F193*'Order Details Apr23-Mar24'!N193</f>
        <v>300000</v>
      </c>
      <c r="O193" s="25"/>
      <c r="P193" s="22"/>
      <c r="Q193" s="26">
        <v>45</v>
      </c>
      <c r="R193" s="82"/>
      <c r="S193" s="22">
        <f t="shared" si="2"/>
        <v>0</v>
      </c>
      <c r="T193" s="22"/>
      <c r="U193" s="31"/>
      <c r="V193" s="51"/>
    </row>
    <row r="194" spans="1:22" ht="20.100000000000001" customHeight="1" x14ac:dyDescent="0.3">
      <c r="A194" s="44">
        <v>186</v>
      </c>
      <c r="B194" s="22">
        <f>+'Order Details Apr23-Mar24'!P194</f>
        <v>45254</v>
      </c>
      <c r="C194" s="23"/>
      <c r="D194" s="53" t="str">
        <f>+'Order Details Apr23-Mar24'!T194</f>
        <v>Healers Associates, Vijayawada</v>
      </c>
      <c r="E194" s="25"/>
      <c r="F194" s="183" t="str">
        <f>+'Order Details Apr23-Mar24'!D194</f>
        <v>TIAMU-MED (Medichem Product)</v>
      </c>
      <c r="G194" s="184"/>
      <c r="H194" s="26" t="str">
        <f>+'Order Details Apr23-Mar24'!G194</f>
        <v>Kg</v>
      </c>
      <c r="I194" s="27">
        <f>+'Order Details Apr23-Mar24'!I194</f>
        <v>400</v>
      </c>
      <c r="J194" s="28"/>
      <c r="K194" s="185" t="str">
        <f>+'Order Details Apr23-Mar24'!R194</f>
        <v>PO / NBF / 211123 / 125</v>
      </c>
      <c r="L194" s="186"/>
      <c r="M194" s="187"/>
      <c r="N194" s="100">
        <f>+'Order Details Apr23-Mar24'!F194*'Order Details Apr23-Mar24'!N194</f>
        <v>270000</v>
      </c>
      <c r="O194" s="25"/>
      <c r="P194" s="22"/>
      <c r="Q194" s="26">
        <v>45</v>
      </c>
      <c r="R194" s="82"/>
      <c r="S194" s="22">
        <f t="shared" si="2"/>
        <v>0</v>
      </c>
      <c r="T194" s="22"/>
      <c r="U194" s="31"/>
      <c r="V194" s="51"/>
    </row>
    <row r="195" spans="1:22" ht="20.100000000000001" customHeight="1" x14ac:dyDescent="0.3">
      <c r="A195" s="44">
        <v>187</v>
      </c>
      <c r="B195" s="22">
        <f>+'Order Details Apr23-Mar24'!P195</f>
        <v>45254</v>
      </c>
      <c r="C195" s="23"/>
      <c r="D195" s="53" t="str">
        <f>+'Order Details Apr23-Mar24'!T195</f>
        <v>Kemin Industries South Asia</v>
      </c>
      <c r="E195" s="25"/>
      <c r="F195" s="183" t="str">
        <f>+'Order Details Apr23-Mar24'!D195</f>
        <v>CLOSTAT-365 / 12 (Kemin Indus)</v>
      </c>
      <c r="G195" s="184"/>
      <c r="H195" s="26" t="str">
        <f>+'Order Details Apr23-Mar24'!G195</f>
        <v>Kg</v>
      </c>
      <c r="I195" s="27">
        <f>+'Order Details Apr23-Mar24'!I195</f>
        <v>200</v>
      </c>
      <c r="J195" s="28"/>
      <c r="K195" s="185" t="str">
        <f>+'Order Details Apr23-Mar24'!R195</f>
        <v>PO / NBF / 211123 / 126</v>
      </c>
      <c r="L195" s="186"/>
      <c r="M195" s="187"/>
      <c r="N195" s="100">
        <f>+'Order Details Apr23-Mar24'!F195*'Order Details Apr23-Mar24'!N195</f>
        <v>100000</v>
      </c>
      <c r="O195" s="25"/>
      <c r="P195" s="22"/>
      <c r="Q195" s="26">
        <v>45</v>
      </c>
      <c r="R195" s="82"/>
      <c r="S195" s="22">
        <f t="shared" si="2"/>
        <v>0</v>
      </c>
      <c r="T195" s="22"/>
      <c r="U195" s="31"/>
      <c r="V195" s="51"/>
    </row>
    <row r="196" spans="1:22" ht="20.100000000000001" customHeight="1" x14ac:dyDescent="0.3">
      <c r="A196" s="44">
        <v>188</v>
      </c>
      <c r="B196" s="22">
        <f>+'Order Details Apr23-Mar24'!P196</f>
        <v>45255</v>
      </c>
      <c r="C196" s="23"/>
      <c r="D196" s="53" t="str">
        <f>+'Order Details Apr23-Mar24'!T196</f>
        <v>Provimi Animal Nutrition India</v>
      </c>
      <c r="E196" s="25"/>
      <c r="F196" s="183" t="str">
        <f>+'Order Details Apr23-Mar24'!D196</f>
        <v>Breeder Vitamin Premix (Custom)</v>
      </c>
      <c r="G196" s="184"/>
      <c r="H196" s="26" t="str">
        <f>+'Order Details Apr23-Mar24'!G196</f>
        <v>Kg</v>
      </c>
      <c r="I196" s="27">
        <f>+'Order Details Apr23-Mar24'!I196</f>
        <v>500</v>
      </c>
      <c r="J196" s="28"/>
      <c r="K196" s="185" t="str">
        <f>+'Order Details Apr23-Mar24'!R196</f>
        <v>PO / NBF / 211123 / 127</v>
      </c>
      <c r="L196" s="186"/>
      <c r="M196" s="187"/>
      <c r="N196" s="100">
        <f>+'Order Details Apr23-Mar24'!F196*'Order Details Apr23-Mar24'!N196</f>
        <v>265000</v>
      </c>
      <c r="O196" s="25"/>
      <c r="P196" s="22"/>
      <c r="Q196" s="26">
        <v>30</v>
      </c>
      <c r="R196" s="82"/>
      <c r="S196" s="22">
        <f t="shared" si="2"/>
        <v>0</v>
      </c>
      <c r="T196" s="22"/>
      <c r="U196" s="31"/>
      <c r="V196" s="51"/>
    </row>
    <row r="197" spans="1:22" ht="20.100000000000001" customHeight="1" x14ac:dyDescent="0.3">
      <c r="A197" s="44">
        <v>189</v>
      </c>
      <c r="B197" s="22">
        <f>+'Order Details Apr23-Mar24'!P197</f>
        <v>45258</v>
      </c>
      <c r="C197" s="23"/>
      <c r="D197" s="53" t="str">
        <f>+'Order Details Apr23-Mar24'!T197</f>
        <v>Hester Biosciences Limited</v>
      </c>
      <c r="E197" s="25"/>
      <c r="F197" s="183" t="str">
        <f>+'Order Details Apr23-Mar24'!D197</f>
        <v>INACTIVATED PULLET(LPAI) VAC</v>
      </c>
      <c r="G197" s="184"/>
      <c r="H197" s="26" t="str">
        <f>+'Order Details Apr23-Mar24'!G197</f>
        <v>Dose</v>
      </c>
      <c r="I197" s="27">
        <f>+'Order Details Apr23-Mar24'!I197</f>
        <v>60000</v>
      </c>
      <c r="J197" s="28"/>
      <c r="K197" s="185" t="str">
        <f>+'Order Details Apr23-Mar24'!R197</f>
        <v>PO / NBF / 281123 / 128</v>
      </c>
      <c r="L197" s="186"/>
      <c r="M197" s="187"/>
      <c r="N197" s="100">
        <f>+'Order Details Apr23-Mar24'!F197*'Order Details Apr23-Mar24'!N197</f>
        <v>58338</v>
      </c>
      <c r="O197" s="25"/>
      <c r="P197" s="22"/>
      <c r="Q197" s="87">
        <v>45</v>
      </c>
      <c r="R197" s="82"/>
      <c r="S197" s="22">
        <f t="shared" si="2"/>
        <v>0</v>
      </c>
      <c r="T197" s="22"/>
      <c r="U197" s="31"/>
      <c r="V197" s="51"/>
    </row>
    <row r="198" spans="1:22" ht="20.100000000000001" customHeight="1" x14ac:dyDescent="0.3">
      <c r="A198" s="44">
        <v>190</v>
      </c>
      <c r="B198" s="22">
        <f>+'Order Details Apr23-Mar24'!P198</f>
        <v>45258</v>
      </c>
      <c r="C198" s="23"/>
      <c r="D198" s="53" t="str">
        <f>+'Order Details Apr23-Mar24'!T198</f>
        <v>Hester Biosciences Limited</v>
      </c>
      <c r="E198" s="25"/>
      <c r="F198" s="183" t="str">
        <f>+'Order Details Apr23-Mar24'!D198</f>
        <v>INACTIVATED PULLET(HPAI) VAC</v>
      </c>
      <c r="G198" s="184"/>
      <c r="H198" s="26" t="str">
        <f>+'Order Details Apr23-Mar24'!G198</f>
        <v>Dose</v>
      </c>
      <c r="I198" s="27">
        <f>+'Order Details Apr23-Mar24'!I198</f>
        <v>60000</v>
      </c>
      <c r="J198" s="28"/>
      <c r="K198" s="185" t="str">
        <f>+'Order Details Apr23-Mar24'!R198</f>
        <v>PO / NBF / 281123 / 128</v>
      </c>
      <c r="L198" s="186"/>
      <c r="M198" s="187"/>
      <c r="N198" s="100">
        <f>+'Order Details Apr23-Mar24'!F198*'Order Details Apr23-Mar24'!N198</f>
        <v>157437</v>
      </c>
      <c r="O198" s="25"/>
      <c r="P198" s="22"/>
      <c r="Q198" s="87">
        <v>45</v>
      </c>
      <c r="R198" s="82"/>
      <c r="S198" s="22">
        <f t="shared" si="2"/>
        <v>0</v>
      </c>
      <c r="T198" s="22"/>
      <c r="U198" s="31"/>
      <c r="V198" s="51"/>
    </row>
    <row r="199" spans="1:22" ht="20.100000000000001" customHeight="1" x14ac:dyDescent="0.3">
      <c r="A199" s="44">
        <v>191</v>
      </c>
      <c r="B199" s="22">
        <f>+'Order Details Apr23-Mar24'!P199</f>
        <v>45258</v>
      </c>
      <c r="C199" s="23"/>
      <c r="D199" s="53" t="str">
        <f>+'Order Details Apr23-Mar24'!T199</f>
        <v>Venkateshwara Hatcheries Ltd</v>
      </c>
      <c r="E199" s="25"/>
      <c r="F199" s="183" t="str">
        <f>+'Order Details Apr23-Mar24'!D199</f>
        <v>IB ASTRO (AEIBH) KILLED VAC</v>
      </c>
      <c r="G199" s="184"/>
      <c r="H199" s="26" t="str">
        <f>+'Order Details Apr23-Mar24'!G199</f>
        <v>Dose</v>
      </c>
      <c r="I199" s="27">
        <f>+'Order Details Apr23-Mar24'!I199</f>
        <v>60000</v>
      </c>
      <c r="J199" s="28"/>
      <c r="K199" s="185" t="str">
        <f>+'Order Details Apr23-Mar24'!R199</f>
        <v>PO / NBF / 281123 / 129</v>
      </c>
      <c r="L199" s="186"/>
      <c r="M199" s="187"/>
      <c r="N199" s="100">
        <f>+'Order Details Apr23-Mar24'!F199*'Order Details Apr23-Mar24'!N199</f>
        <v>205065</v>
      </c>
      <c r="O199" s="25"/>
      <c r="P199" s="22"/>
      <c r="Q199" s="61">
        <v>45</v>
      </c>
      <c r="R199" s="82"/>
      <c r="S199" s="22">
        <f t="shared" si="2"/>
        <v>0</v>
      </c>
      <c r="T199" s="22"/>
      <c r="U199" s="31"/>
      <c r="V199" s="51"/>
    </row>
    <row r="200" spans="1:22" ht="20.100000000000001" customHeight="1" x14ac:dyDescent="0.3">
      <c r="A200" s="44">
        <v>192</v>
      </c>
      <c r="B200" s="22">
        <f>+'Order Details Apr23-Mar24'!P200</f>
        <v>45258</v>
      </c>
      <c r="C200" s="23"/>
      <c r="D200" s="53" t="str">
        <f>+'Order Details Apr23-Mar24'!T200</f>
        <v>Venkateshwara Hatcheries Ltd</v>
      </c>
      <c r="E200" s="25"/>
      <c r="F200" s="183" t="str">
        <f>+'Order Details Apr23-Mar24'!D200</f>
        <v>IBD KILLED VAC</v>
      </c>
      <c r="G200" s="184"/>
      <c r="H200" s="26" t="str">
        <f>+'Order Details Apr23-Mar24'!G200</f>
        <v>Dose</v>
      </c>
      <c r="I200" s="27">
        <f>+'Order Details Apr23-Mar24'!I200</f>
        <v>60000</v>
      </c>
      <c r="J200" s="28"/>
      <c r="K200" s="185" t="str">
        <f>+'Order Details Apr23-Mar24'!R200</f>
        <v>PO / NBF / 281123 / 129</v>
      </c>
      <c r="L200" s="186"/>
      <c r="M200" s="187"/>
      <c r="N200" s="100">
        <f>+'Order Details Apr23-Mar24'!F200*'Order Details Apr23-Mar24'!N200</f>
        <v>141120</v>
      </c>
      <c r="O200" s="25"/>
      <c r="P200" s="22"/>
      <c r="Q200" s="61">
        <v>45</v>
      </c>
      <c r="R200" s="82"/>
      <c r="S200" s="22">
        <f t="shared" si="2"/>
        <v>0</v>
      </c>
      <c r="T200" s="22"/>
      <c r="U200" s="31"/>
      <c r="V200" s="51"/>
    </row>
    <row r="201" spans="1:22" ht="20.100000000000001" customHeight="1" x14ac:dyDescent="0.3">
      <c r="A201" s="44">
        <v>193</v>
      </c>
      <c r="B201" s="22">
        <f>+'Order Details Apr23-Mar24'!P201</f>
        <v>45258</v>
      </c>
      <c r="C201" s="23"/>
      <c r="D201" s="53" t="str">
        <f>+'Order Details Apr23-Mar24'!T201</f>
        <v>Venkateshwara Hatcheries Ltd</v>
      </c>
      <c r="E201" s="25"/>
      <c r="F201" s="183" t="str">
        <f>+'Order Details Apr23-Mar24'!D201</f>
        <v>IBH KILLED VAC</v>
      </c>
      <c r="G201" s="184"/>
      <c r="H201" s="26" t="str">
        <f>+'Order Details Apr23-Mar24'!G201</f>
        <v>Dose</v>
      </c>
      <c r="I201" s="27">
        <f>+'Order Details Apr23-Mar24'!I201</f>
        <v>60000</v>
      </c>
      <c r="J201" s="28"/>
      <c r="K201" s="185" t="str">
        <f>+'Order Details Apr23-Mar24'!R201</f>
        <v>PO / NBF / 281123 / 129</v>
      </c>
      <c r="L201" s="186"/>
      <c r="M201" s="187"/>
      <c r="N201" s="100">
        <f>+'Order Details Apr23-Mar24'!F201*'Order Details Apr23-Mar24'!N201</f>
        <v>99225</v>
      </c>
      <c r="O201" s="25"/>
      <c r="P201" s="22"/>
      <c r="Q201" s="61">
        <v>45</v>
      </c>
      <c r="R201" s="82"/>
      <c r="S201" s="22">
        <f t="shared" si="2"/>
        <v>0</v>
      </c>
      <c r="T201" s="22"/>
      <c r="U201" s="31"/>
      <c r="V201" s="51"/>
    </row>
    <row r="202" spans="1:22" ht="20.100000000000001" customHeight="1" x14ac:dyDescent="0.3">
      <c r="A202" s="44">
        <v>194</v>
      </c>
      <c r="B202" s="22">
        <f>+'Order Details Apr23-Mar24'!P202</f>
        <v>45258</v>
      </c>
      <c r="C202" s="23"/>
      <c r="D202" s="53" t="str">
        <f>+'Order Details Apr23-Mar24'!T202</f>
        <v>Venkateshwara Hatcheries Ltd</v>
      </c>
      <c r="E202" s="25"/>
      <c r="F202" s="183" t="str">
        <f>+'Order Details Apr23-Mar24'!D202</f>
        <v>VH V- 4K (4way) KILLED VAC</v>
      </c>
      <c r="G202" s="184"/>
      <c r="H202" s="26" t="str">
        <f>+'Order Details Apr23-Mar24'!G202</f>
        <v>Dose</v>
      </c>
      <c r="I202" s="27">
        <f>+'Order Details Apr23-Mar24'!I202</f>
        <v>60000</v>
      </c>
      <c r="J202" s="28"/>
      <c r="K202" s="185" t="str">
        <f>+'Order Details Apr23-Mar24'!R202</f>
        <v>PO / NBF / 281123 / 129</v>
      </c>
      <c r="L202" s="186"/>
      <c r="M202" s="187"/>
      <c r="N202" s="100">
        <f>+'Order Details Apr23-Mar24'!F202*'Order Details Apr23-Mar24'!N202</f>
        <v>330750</v>
      </c>
      <c r="O202" s="25"/>
      <c r="P202" s="22"/>
      <c r="Q202" s="61">
        <v>45</v>
      </c>
      <c r="R202" s="82"/>
      <c r="S202" s="22">
        <f t="shared" ref="S202:S220" si="3">P202+R202</f>
        <v>0</v>
      </c>
      <c r="T202" s="22"/>
      <c r="U202" s="31"/>
      <c r="V202" s="51"/>
    </row>
    <row r="203" spans="1:22" ht="20.100000000000001" customHeight="1" x14ac:dyDescent="0.3">
      <c r="A203" s="44">
        <v>195</v>
      </c>
      <c r="B203" s="22">
        <f>+'Order Details Apr23-Mar24'!P203</f>
        <v>45258</v>
      </c>
      <c r="C203" s="23"/>
      <c r="D203" s="53" t="str">
        <f>+'Order Details Apr23-Mar24'!T203</f>
        <v>Huve Pharma Sea Pune Pvt Ltd</v>
      </c>
      <c r="E203" s="25"/>
      <c r="F203" s="183" t="str">
        <f>+'Order Details Apr23-Mar24'!D203</f>
        <v>BIO - D 100 (Huvepharma)</v>
      </c>
      <c r="G203" s="184"/>
      <c r="H203" s="26" t="str">
        <f>+'Order Details Apr23-Mar24'!G203</f>
        <v>Kg</v>
      </c>
      <c r="I203" s="27">
        <f>+'Order Details Apr23-Mar24'!I203</f>
        <v>160</v>
      </c>
      <c r="J203" s="28"/>
      <c r="K203" s="185" t="str">
        <f>+'Order Details Apr23-Mar24'!R203</f>
        <v>PO / NBF / 281123 / 130</v>
      </c>
      <c r="L203" s="186"/>
      <c r="M203" s="187"/>
      <c r="N203" s="100">
        <f>+'Order Details Apr23-Mar24'!F203*'Order Details Apr23-Mar24'!N203</f>
        <v>248000</v>
      </c>
      <c r="O203" s="25"/>
      <c r="P203" s="22"/>
      <c r="Q203" s="26">
        <v>7</v>
      </c>
      <c r="R203" s="82"/>
      <c r="S203" s="22">
        <f t="shared" si="3"/>
        <v>0</v>
      </c>
      <c r="T203" s="22"/>
      <c r="U203" s="31"/>
      <c r="V203" s="51"/>
    </row>
    <row r="204" spans="1:22" ht="20.100000000000001" customHeight="1" x14ac:dyDescent="0.3">
      <c r="A204" s="44">
        <v>196</v>
      </c>
      <c r="B204" s="22">
        <f>+'Order Details Apr23-Mar24'!P204</f>
        <v>45258</v>
      </c>
      <c r="C204" s="23"/>
      <c r="D204" s="53" t="str">
        <f>+'Order Details Apr23-Mar24'!T204</f>
        <v>Alltech Biotechnology Pvt Ltd</v>
      </c>
      <c r="E204" s="25"/>
      <c r="F204" s="183" t="str">
        <f>+'Order Details Apr23-Mar24'!D204</f>
        <v>BIOPLEX PRIME (Alltech)</v>
      </c>
      <c r="G204" s="184"/>
      <c r="H204" s="26" t="str">
        <f>+'Order Details Apr23-Mar24'!G204</f>
        <v>Kg</v>
      </c>
      <c r="I204" s="27">
        <f>+'Order Details Apr23-Mar24'!I204</f>
        <v>500</v>
      </c>
      <c r="J204" s="28"/>
      <c r="K204" s="185" t="str">
        <f>+'Order Details Apr23-Mar24'!R204</f>
        <v>PO / NBF / 281123 / 131</v>
      </c>
      <c r="L204" s="186"/>
      <c r="M204" s="187"/>
      <c r="N204" s="100">
        <f>+'Order Details Apr23-Mar24'!F204*'Order Details Apr23-Mar24'!N204</f>
        <v>134000</v>
      </c>
      <c r="O204" s="25"/>
      <c r="P204" s="22"/>
      <c r="Q204" s="90">
        <v>45</v>
      </c>
      <c r="R204" s="82"/>
      <c r="S204" s="22">
        <f t="shared" si="3"/>
        <v>0</v>
      </c>
      <c r="T204" s="22"/>
      <c r="U204" s="31"/>
      <c r="V204" s="51"/>
    </row>
    <row r="205" spans="1:22" ht="20.100000000000001" customHeight="1" x14ac:dyDescent="0.3">
      <c r="A205" s="44">
        <v>197</v>
      </c>
      <c r="B205" s="22">
        <f>+'Order Details Apr23-Mar24'!P205</f>
        <v>45258</v>
      </c>
      <c r="C205" s="23"/>
      <c r="D205" s="53" t="str">
        <f>+'Order Details Apr23-Mar24'!T205</f>
        <v>Varsha Multitech, Bangallore</v>
      </c>
      <c r="E205" s="25"/>
      <c r="F205" s="183" t="str">
        <f>+'Order Details Apr23-Mar24'!D205</f>
        <v>HEPATOCARE PREMIX (Varsha)</v>
      </c>
      <c r="G205" s="184"/>
      <c r="H205" s="26" t="str">
        <f>+'Order Details Apr23-Mar24'!G205</f>
        <v>Kg</v>
      </c>
      <c r="I205" s="27">
        <f>+'Order Details Apr23-Mar24'!I205</f>
        <v>1000</v>
      </c>
      <c r="J205" s="28"/>
      <c r="K205" s="185" t="str">
        <f>+'Order Details Apr23-Mar24'!R205</f>
        <v>PO / NBF / 281123 / 132</v>
      </c>
      <c r="L205" s="186"/>
      <c r="M205" s="187"/>
      <c r="N205" s="100">
        <f>+'Order Details Apr23-Mar24'!F205*'Order Details Apr23-Mar24'!N205</f>
        <v>50000</v>
      </c>
      <c r="O205" s="25"/>
      <c r="P205" s="22"/>
      <c r="Q205" s="26">
        <v>45</v>
      </c>
      <c r="R205" s="82"/>
      <c r="S205" s="22">
        <f t="shared" si="3"/>
        <v>0</v>
      </c>
      <c r="T205" s="22"/>
      <c r="U205" s="31"/>
      <c r="V205" s="51"/>
    </row>
    <row r="206" spans="1:22" ht="20.100000000000001" customHeight="1" x14ac:dyDescent="0.3">
      <c r="A206" s="44">
        <v>198</v>
      </c>
      <c r="B206" s="22">
        <f>+'Order Details Apr23-Mar24'!P206</f>
        <v>45260</v>
      </c>
      <c r="C206" s="23"/>
      <c r="D206" s="53" t="str">
        <f>+'Order Details Apr23-Mar24'!T206</f>
        <v>Trouw Nutrition India Pvt Ltd</v>
      </c>
      <c r="E206" s="25"/>
      <c r="F206" s="183" t="str">
        <f>+'Order Details Apr23-Mar24'!D206</f>
        <v>Breeder Vitamin Premix (Custom)</v>
      </c>
      <c r="G206" s="184"/>
      <c r="H206" s="26" t="str">
        <f>+'Order Details Apr23-Mar24'!G206</f>
        <v>Kg</v>
      </c>
      <c r="I206" s="27">
        <f>+'Order Details Apr23-Mar24'!I206</f>
        <v>500</v>
      </c>
      <c r="J206" s="28"/>
      <c r="K206" s="185" t="str">
        <f>+'Order Details Apr23-Mar24'!R206</f>
        <v>PO / NBF / 301123 / 133</v>
      </c>
      <c r="L206" s="186"/>
      <c r="M206" s="187"/>
      <c r="N206" s="100">
        <f>+'Order Details Apr23-Mar24'!F206*'Order Details Apr23-Mar24'!N206</f>
        <v>245000</v>
      </c>
      <c r="O206" s="25"/>
      <c r="P206" s="22"/>
      <c r="Q206" s="26">
        <v>45</v>
      </c>
      <c r="R206" s="82"/>
      <c r="S206" s="22">
        <f t="shared" si="3"/>
        <v>0</v>
      </c>
      <c r="T206" s="22"/>
      <c r="U206" s="31"/>
      <c r="V206" s="51"/>
    </row>
    <row r="207" spans="1:22" ht="20.100000000000001" customHeight="1" x14ac:dyDescent="0.3">
      <c r="A207" s="44">
        <v>199</v>
      </c>
      <c r="B207" s="22">
        <f>+'Order Details Apr23-Mar24'!P207</f>
        <v>45268</v>
      </c>
      <c r="C207" s="23"/>
      <c r="D207" s="53" t="str">
        <f>+'Order Details Apr23-Mar24'!T207</f>
        <v>Das Drug Centre, Habra</v>
      </c>
      <c r="E207" s="25"/>
      <c r="F207" s="183" t="str">
        <f>+'Order Details Apr23-Mar24'!D207</f>
        <v>KOLIN PLUS (Natural Remedies)</v>
      </c>
      <c r="G207" s="184"/>
      <c r="H207" s="26" t="str">
        <f>+'Order Details Apr23-Mar24'!G207</f>
        <v>Kg</v>
      </c>
      <c r="I207" s="27">
        <f>+'Order Details Apr23-Mar24'!I207</f>
        <v>500</v>
      </c>
      <c r="J207" s="28"/>
      <c r="K207" s="185" t="str">
        <f>+'Order Details Apr23-Mar24'!R207</f>
        <v>PO / NBF / 081223 / 134</v>
      </c>
      <c r="L207" s="186"/>
      <c r="M207" s="187"/>
      <c r="N207" s="100">
        <f>+'Order Details Apr23-Mar24'!F207*'Order Details Apr23-Mar24'!N207</f>
        <v>35000</v>
      </c>
      <c r="O207" s="25"/>
      <c r="P207" s="22"/>
      <c r="Q207" s="26">
        <v>45</v>
      </c>
      <c r="R207" s="82"/>
      <c r="S207" s="22">
        <f t="shared" si="3"/>
        <v>0</v>
      </c>
      <c r="T207" s="22"/>
      <c r="U207" s="31"/>
      <c r="V207" s="51"/>
    </row>
    <row r="208" spans="1:22" ht="20.100000000000001" customHeight="1" x14ac:dyDescent="0.3">
      <c r="A208" s="44">
        <v>200</v>
      </c>
      <c r="B208" s="22">
        <f>+'Order Details Apr23-Mar24'!P208</f>
        <v>45269</v>
      </c>
      <c r="C208" s="23"/>
      <c r="D208" s="53" t="str">
        <f>+'Order Details Apr23-Mar24'!T208</f>
        <v>Zeus Biotech Pvt Ltd, Mysore</v>
      </c>
      <c r="E208" s="25"/>
      <c r="F208" s="183" t="str">
        <f>+'Order Details Apr23-Mar24'!D208</f>
        <v>SELCON FORTE (Zeus Biotech)</v>
      </c>
      <c r="G208" s="184"/>
      <c r="H208" s="26" t="str">
        <f>+'Order Details Apr23-Mar24'!G208</f>
        <v>Kg</v>
      </c>
      <c r="I208" s="27">
        <f>+'Order Details Apr23-Mar24'!I208</f>
        <v>200</v>
      </c>
      <c r="J208" s="28"/>
      <c r="K208" s="185" t="str">
        <f>+'Order Details Apr23-Mar24'!R208</f>
        <v>PO / NBF / 091223 / 135</v>
      </c>
      <c r="L208" s="186"/>
      <c r="M208" s="187"/>
      <c r="N208" s="100">
        <f>+'Order Details Apr23-Mar24'!F208*'Order Details Apr23-Mar24'!N208</f>
        <v>80000</v>
      </c>
      <c r="O208" s="25"/>
      <c r="P208" s="22"/>
      <c r="Q208" s="87">
        <v>45</v>
      </c>
      <c r="R208" s="26"/>
      <c r="S208" s="22">
        <f t="shared" si="3"/>
        <v>0</v>
      </c>
      <c r="T208" s="22"/>
      <c r="U208" s="31"/>
      <c r="V208" s="51"/>
    </row>
    <row r="209" spans="1:22" ht="20.100000000000001" customHeight="1" x14ac:dyDescent="0.3">
      <c r="A209" s="44">
        <v>201</v>
      </c>
      <c r="B209" s="22">
        <f>+'Order Details Apr23-Mar24'!P209</f>
        <v>45271</v>
      </c>
      <c r="C209" s="23"/>
      <c r="D209" s="53" t="str">
        <f>+'Order Details Apr23-Mar24'!T209</f>
        <v>Alivira Animal Health Ltd</v>
      </c>
      <c r="E209" s="25"/>
      <c r="F209" s="183" t="str">
        <f>+'Order Details Apr23-Mar24'!D209</f>
        <v>CITRINAL (Alivira)</v>
      </c>
      <c r="G209" s="184"/>
      <c r="H209" s="26" t="str">
        <f>+'Order Details Apr23-Mar24'!G209</f>
        <v>Kg</v>
      </c>
      <c r="I209" s="27">
        <f>+'Order Details Apr23-Mar24'!I209</f>
        <v>500</v>
      </c>
      <c r="J209" s="28"/>
      <c r="K209" s="185" t="str">
        <f>+'Order Details Apr23-Mar24'!R209</f>
        <v>PO / NBF / 111223 / 136</v>
      </c>
      <c r="L209" s="186"/>
      <c r="M209" s="187"/>
      <c r="N209" s="100">
        <f>+'Order Details Apr23-Mar24'!F209*'Order Details Apr23-Mar24'!N209</f>
        <v>75000</v>
      </c>
      <c r="O209" s="25"/>
      <c r="P209" s="22"/>
      <c r="Q209" s="26">
        <v>45</v>
      </c>
      <c r="R209" s="26"/>
      <c r="S209" s="22">
        <f t="shared" si="3"/>
        <v>0</v>
      </c>
      <c r="T209" s="22"/>
      <c r="U209" s="31"/>
      <c r="V209" s="51"/>
    </row>
    <row r="210" spans="1:22" ht="20.100000000000001" customHeight="1" x14ac:dyDescent="0.3">
      <c r="A210" s="44">
        <v>202</v>
      </c>
      <c r="B210" s="22">
        <f>+'Order Details Apr23-Mar24'!P210</f>
        <v>45271</v>
      </c>
      <c r="C210" s="23"/>
      <c r="D210" s="53" t="str">
        <f>+'Order Details Apr23-Mar24'!T210</f>
        <v>Jeco Agrovet Pvt Ltd, Kolkata</v>
      </c>
      <c r="E210" s="25"/>
      <c r="F210" s="183" t="str">
        <f>+'Order Details Apr23-Mar24'!D210</f>
        <v>ROVIMIX-E 50 (DSM)</v>
      </c>
      <c r="G210" s="184"/>
      <c r="H210" s="26" t="str">
        <f>+'Order Details Apr23-Mar24'!G210</f>
        <v>Kg</v>
      </c>
      <c r="I210" s="27">
        <f>+'Order Details Apr23-Mar24'!I210</f>
        <v>250</v>
      </c>
      <c r="J210" s="28"/>
      <c r="K210" s="185" t="str">
        <f>+'Order Details Apr23-Mar24'!R210</f>
        <v>PO / NBF / 111223 / 137</v>
      </c>
      <c r="L210" s="186"/>
      <c r="M210" s="187"/>
      <c r="N210" s="100">
        <f>+'Order Details Apr23-Mar24'!F210*'Order Details Apr23-Mar24'!N210</f>
        <v>188750</v>
      </c>
      <c r="O210" s="25"/>
      <c r="P210" s="22"/>
      <c r="Q210" s="26">
        <v>15</v>
      </c>
      <c r="R210" s="26"/>
      <c r="S210" s="22">
        <f t="shared" si="3"/>
        <v>0</v>
      </c>
      <c r="T210" s="22"/>
      <c r="U210" s="31"/>
      <c r="V210" s="51"/>
    </row>
    <row r="211" spans="1:22" ht="20.100000000000001" customHeight="1" x14ac:dyDescent="0.3">
      <c r="A211" s="44">
        <v>203</v>
      </c>
      <c r="B211" s="22">
        <f>+'Order Details Apr23-Mar24'!P211</f>
        <v>45271</v>
      </c>
      <c r="C211" s="23"/>
      <c r="D211" s="53" t="str">
        <f>+'Order Details Apr23-Mar24'!T211</f>
        <v>Kemin Industries South Asia</v>
      </c>
      <c r="E211" s="25"/>
      <c r="F211" s="183" t="str">
        <f>+'Order Details Apr23-Mar24'!D211</f>
        <v>KEMZYME-XPF (Kemin Indus.)</v>
      </c>
      <c r="G211" s="184"/>
      <c r="H211" s="26" t="str">
        <f>+'Order Details Apr23-Mar24'!G211</f>
        <v>Kg</v>
      </c>
      <c r="I211" s="27">
        <f>+'Order Details Apr23-Mar24'!I211</f>
        <v>250</v>
      </c>
      <c r="J211" s="28"/>
      <c r="K211" s="185" t="str">
        <f>+'Order Details Apr23-Mar24'!R211</f>
        <v>PO / NBF / 111223 / 138</v>
      </c>
      <c r="L211" s="186"/>
      <c r="M211" s="187"/>
      <c r="N211" s="100">
        <f>+'Order Details Apr23-Mar24'!F211*'Order Details Apr23-Mar24'!N211</f>
        <v>60500</v>
      </c>
      <c r="O211" s="25"/>
      <c r="P211" s="22"/>
      <c r="Q211" s="26">
        <v>45</v>
      </c>
      <c r="R211" s="26"/>
      <c r="S211" s="22">
        <f t="shared" si="3"/>
        <v>0</v>
      </c>
      <c r="T211" s="22"/>
      <c r="U211" s="31"/>
      <c r="V211" s="51"/>
    </row>
    <row r="212" spans="1:22" ht="20.100000000000001" customHeight="1" x14ac:dyDescent="0.3">
      <c r="A212" s="44">
        <v>204</v>
      </c>
      <c r="B212" s="22">
        <f>+'Order Details Apr23-Mar24'!P212</f>
        <v>45271</v>
      </c>
      <c r="C212" s="23"/>
      <c r="D212" s="53" t="str">
        <f>+'Order Details Apr23-Mar24'!T212</f>
        <v>Ves Spa, Barasat, West Bengal</v>
      </c>
      <c r="E212" s="25"/>
      <c r="F212" s="183" t="str">
        <f>+'Order Details Apr23-Mar24'!D212</f>
        <v>VES CHOL 60% (Vesper)</v>
      </c>
      <c r="G212" s="184"/>
      <c r="H212" s="26" t="str">
        <f>+'Order Details Apr23-Mar24'!G212</f>
        <v>Kg</v>
      </c>
      <c r="I212" s="27">
        <f>+'Order Details Apr23-Mar24'!I212</f>
        <v>1000</v>
      </c>
      <c r="J212" s="28"/>
      <c r="K212" s="185" t="str">
        <f>+'Order Details Apr23-Mar24'!R212</f>
        <v>PO / NBF / 111223 / 139</v>
      </c>
      <c r="L212" s="186"/>
      <c r="M212" s="187"/>
      <c r="N212" s="100">
        <f>+'Order Details Apr23-Mar24'!F212*'Order Details Apr23-Mar24'!N212</f>
        <v>90000</v>
      </c>
      <c r="O212" s="25"/>
      <c r="P212" s="22"/>
      <c r="Q212" s="26">
        <v>45</v>
      </c>
      <c r="R212" s="26"/>
      <c r="S212" s="22">
        <f t="shared" si="3"/>
        <v>0</v>
      </c>
      <c r="T212" s="22"/>
      <c r="U212" s="31"/>
      <c r="V212" s="51"/>
    </row>
    <row r="213" spans="1:22" ht="20.100000000000001" customHeight="1" x14ac:dyDescent="0.3">
      <c r="A213" s="44">
        <v>205</v>
      </c>
      <c r="B213" s="22">
        <f>+'Order Details Apr23-Mar24'!P213</f>
        <v>45272</v>
      </c>
      <c r="C213" s="23"/>
      <c r="D213" s="53" t="str">
        <f>+'Order Details Apr23-Mar24'!T213</f>
        <v>B V Biocrop, Hitech Division</v>
      </c>
      <c r="E213" s="25"/>
      <c r="F213" s="183" t="str">
        <f>+'Order Details Apr23-Mar24'!D213</f>
        <v>B-904 (BV Biocrop)</v>
      </c>
      <c r="G213" s="184"/>
      <c r="H213" s="26" t="str">
        <f>+'Order Details Apr23-Mar24'!G213</f>
        <v>Ltr</v>
      </c>
      <c r="I213" s="27">
        <f>+'Order Details Apr23-Mar24'!I213</f>
        <v>100</v>
      </c>
      <c r="J213" s="28"/>
      <c r="K213" s="185" t="str">
        <f>+'Order Details Apr23-Mar24'!R213</f>
        <v>PO / NBF / 121223 / 140</v>
      </c>
      <c r="L213" s="186"/>
      <c r="M213" s="187"/>
      <c r="N213" s="100">
        <f>+'Order Details Apr23-Mar24'!F213*'Order Details Apr23-Mar24'!N213</f>
        <v>77242.8</v>
      </c>
      <c r="O213" s="25"/>
      <c r="P213" s="22"/>
      <c r="Q213" s="61">
        <v>45</v>
      </c>
      <c r="R213" s="26"/>
      <c r="S213" s="22">
        <f t="shared" si="3"/>
        <v>0</v>
      </c>
      <c r="T213" s="22"/>
      <c r="U213" s="31"/>
      <c r="V213" s="51"/>
    </row>
    <row r="214" spans="1:22" ht="20.100000000000001" customHeight="1" x14ac:dyDescent="0.3">
      <c r="A214" s="44">
        <v>206</v>
      </c>
      <c r="B214" s="22">
        <f>+'Order Details Apr23-Mar24'!P214</f>
        <v>45272</v>
      </c>
      <c r="C214" s="23"/>
      <c r="D214" s="53" t="str">
        <f>+'Order Details Apr23-Mar24'!T214</f>
        <v>B V Biocrop, Hitech Division</v>
      </c>
      <c r="E214" s="25"/>
      <c r="F214" s="183" t="str">
        <f>+'Order Details Apr23-Mar24'!D214</f>
        <v>BVCLO2 (10 Gms) TAB (BV Biocrop)</v>
      </c>
      <c r="G214" s="184"/>
      <c r="H214" s="26" t="str">
        <f>+'Order Details Apr23-Mar24'!G214</f>
        <v>Pcs</v>
      </c>
      <c r="I214" s="27">
        <f>+'Order Details Apr23-Mar24'!I214</f>
        <v>1000</v>
      </c>
      <c r="J214" s="28"/>
      <c r="K214" s="185" t="str">
        <f>+'Order Details Apr23-Mar24'!R214</f>
        <v>PO / NBF / 121223 / 140</v>
      </c>
      <c r="L214" s="186"/>
      <c r="M214" s="187"/>
      <c r="N214" s="100">
        <f>+'Order Details Apr23-Mar24'!F214*'Order Details Apr23-Mar24'!N214</f>
        <v>23600</v>
      </c>
      <c r="O214" s="25"/>
      <c r="P214" s="22"/>
      <c r="Q214" s="61">
        <v>45</v>
      </c>
      <c r="R214" s="26"/>
      <c r="S214" s="22">
        <f t="shared" si="3"/>
        <v>0</v>
      </c>
      <c r="T214" s="22"/>
      <c r="U214" s="31"/>
      <c r="V214" s="51"/>
    </row>
    <row r="215" spans="1:22" ht="20.100000000000001" customHeight="1" x14ac:dyDescent="0.3">
      <c r="A215" s="44">
        <v>207</v>
      </c>
      <c r="B215" s="22">
        <f>+'Order Details Apr23-Mar24'!P215</f>
        <v>45272</v>
      </c>
      <c r="C215" s="23"/>
      <c r="D215" s="53" t="str">
        <f>+'Order Details Apr23-Mar24'!T215</f>
        <v>Healers Associates, Vijayawada</v>
      </c>
      <c r="E215" s="25"/>
      <c r="F215" s="183" t="str">
        <f>+'Order Details Apr23-Mar24'!D215</f>
        <v>PROMED (Medichem Product)</v>
      </c>
      <c r="G215" s="184"/>
      <c r="H215" s="26" t="str">
        <f>+'Order Details Apr23-Mar24'!G215</f>
        <v>Kg</v>
      </c>
      <c r="I215" s="27">
        <f>+'Order Details Apr23-Mar24'!I215</f>
        <v>40</v>
      </c>
      <c r="J215" s="28"/>
      <c r="K215" s="185" t="str">
        <f>+'Order Details Apr23-Mar24'!R215</f>
        <v>PO / NBF / 121223 / 141</v>
      </c>
      <c r="L215" s="186"/>
      <c r="M215" s="187"/>
      <c r="N215" s="100">
        <f>+'Order Details Apr23-Mar24'!F215*'Order Details Apr23-Mar24'!N215</f>
        <v>37000</v>
      </c>
      <c r="O215" s="25"/>
      <c r="P215" s="22"/>
      <c r="Q215" s="26">
        <v>45</v>
      </c>
      <c r="R215" s="26"/>
      <c r="S215" s="22">
        <f t="shared" si="3"/>
        <v>0</v>
      </c>
      <c r="T215" s="22"/>
      <c r="U215" s="31"/>
      <c r="V215" s="51"/>
    </row>
    <row r="216" spans="1:22" ht="20.100000000000001" customHeight="1" x14ac:dyDescent="0.3">
      <c r="A216" s="44">
        <v>208</v>
      </c>
      <c r="B216" s="22">
        <f>+'Order Details Apr23-Mar24'!P216</f>
        <v>45280</v>
      </c>
      <c r="C216" s="23"/>
      <c r="D216" s="53" t="str">
        <f>+'Order Details Apr23-Mar24'!T216</f>
        <v>B V Biocrop, Hitech Division</v>
      </c>
      <c r="E216" s="25"/>
      <c r="F216" s="183" t="str">
        <f>+'Order Details Apr23-Mar24'!D216</f>
        <v>TRACEMIN BB (BV Biocrop)</v>
      </c>
      <c r="G216" s="184"/>
      <c r="H216" s="26" t="str">
        <f>+'Order Details Apr23-Mar24'!G216</f>
        <v>Kg</v>
      </c>
      <c r="I216" s="27">
        <f>+'Order Details Apr23-Mar24'!I216</f>
        <v>1020</v>
      </c>
      <c r="J216" s="28"/>
      <c r="K216" s="185" t="str">
        <f>+'Order Details Apr23-Mar24'!R216</f>
        <v>PO / NBF / 201223 / 142</v>
      </c>
      <c r="L216" s="186"/>
      <c r="M216" s="187"/>
      <c r="N216" s="100">
        <f>+'Order Details Apr23-Mar24'!F216*'Order Details Apr23-Mar24'!N216</f>
        <v>66538</v>
      </c>
      <c r="O216" s="25"/>
      <c r="P216" s="22"/>
      <c r="Q216" s="61">
        <v>45</v>
      </c>
      <c r="R216" s="26"/>
      <c r="S216" s="22">
        <f t="shared" si="3"/>
        <v>0</v>
      </c>
      <c r="T216" s="22"/>
      <c r="U216" s="31"/>
      <c r="V216" s="51"/>
    </row>
    <row r="217" spans="1:22" ht="20.100000000000001" customHeight="1" x14ac:dyDescent="0.3">
      <c r="A217" s="44">
        <v>209</v>
      </c>
      <c r="B217" s="22">
        <f>+'Order Details Apr23-Mar24'!P217</f>
        <v>45288</v>
      </c>
      <c r="C217" s="23"/>
      <c r="D217" s="53" t="str">
        <f>+'Order Details Apr23-Mar24'!T217</f>
        <v>Das Drug Centre, Habra</v>
      </c>
      <c r="E217" s="25"/>
      <c r="F217" s="183" t="str">
        <f>+'Order Details Apr23-Mar24'!D217</f>
        <v>OXY-LA INJECTION (Zenex-AH)</v>
      </c>
      <c r="G217" s="184"/>
      <c r="H217" s="26" t="str">
        <f>+'Order Details Apr23-Mar24'!G217</f>
        <v>Ml</v>
      </c>
      <c r="I217" s="27">
        <f>+'Order Details Apr23-Mar24'!I217</f>
        <v>10000</v>
      </c>
      <c r="J217" s="28"/>
      <c r="K217" s="185" t="str">
        <f>+'Order Details Apr23-Mar24'!R217</f>
        <v>PO / NBF / 281223 / 143</v>
      </c>
      <c r="L217" s="186"/>
      <c r="M217" s="187"/>
      <c r="N217" s="100">
        <f>+'Order Details Apr23-Mar24'!F217*'Order Details Apr23-Mar24'!N217</f>
        <v>25983.999999999996</v>
      </c>
      <c r="O217" s="25"/>
      <c r="P217" s="22"/>
      <c r="Q217" s="26">
        <v>45</v>
      </c>
      <c r="R217" s="26"/>
      <c r="S217" s="22">
        <f t="shared" si="3"/>
        <v>0</v>
      </c>
      <c r="T217" s="22"/>
      <c r="U217" s="31"/>
      <c r="V217" s="51"/>
    </row>
    <row r="218" spans="1:22" ht="20.100000000000001" customHeight="1" x14ac:dyDescent="0.3">
      <c r="A218" s="44">
        <v>210</v>
      </c>
      <c r="B218" s="22">
        <f>+'Order Details Apr23-Mar24'!P218</f>
        <v>45288</v>
      </c>
      <c r="C218" s="23"/>
      <c r="D218" s="53" t="str">
        <f>+'Order Details Apr23-Mar24'!T218</f>
        <v>Das Drug Centre, Habra</v>
      </c>
      <c r="E218" s="25"/>
      <c r="F218" s="183" t="str">
        <f>+'Order Details Apr23-Mar24'!D218</f>
        <v>TRYSIL (Kemin)</v>
      </c>
      <c r="G218" s="184"/>
      <c r="H218" s="26" t="str">
        <f>+'Order Details Apr23-Mar24'!G218</f>
        <v>Kg</v>
      </c>
      <c r="I218" s="27">
        <f>+'Order Details Apr23-Mar24'!I218</f>
        <v>10</v>
      </c>
      <c r="J218" s="28"/>
      <c r="K218" s="185" t="str">
        <f>+'Order Details Apr23-Mar24'!R218</f>
        <v>PO / NBF / 281223 / 143</v>
      </c>
      <c r="L218" s="186"/>
      <c r="M218" s="187"/>
      <c r="N218" s="100">
        <f>+'Order Details Apr23-Mar24'!F218*'Order Details Apr23-Mar24'!N218</f>
        <v>8985.11</v>
      </c>
      <c r="O218" s="25"/>
      <c r="P218" s="22"/>
      <c r="Q218" s="26">
        <v>45</v>
      </c>
      <c r="R218" s="26"/>
      <c r="S218" s="22">
        <f t="shared" si="3"/>
        <v>0</v>
      </c>
      <c r="T218" s="22"/>
      <c r="U218" s="31"/>
      <c r="V218" s="51"/>
    </row>
    <row r="219" spans="1:22" ht="20.100000000000001" customHeight="1" x14ac:dyDescent="0.3">
      <c r="A219" s="44">
        <v>211</v>
      </c>
      <c r="B219" s="22">
        <f>+'Order Details Apr23-Mar24'!P219</f>
        <v>45288</v>
      </c>
      <c r="C219" s="23"/>
      <c r="D219" s="53" t="str">
        <f>+'Order Details Apr23-Mar24'!T219</f>
        <v>Healers Associates, Vijayawada</v>
      </c>
      <c r="E219" s="25"/>
      <c r="F219" s="183" t="str">
        <f>+'Order Details Apr23-Mar24'!D219</f>
        <v>SPERMED (Medichem Product)</v>
      </c>
      <c r="G219" s="184"/>
      <c r="H219" s="26" t="str">
        <f>+'Order Details Apr23-Mar24'!G219</f>
        <v>Kg</v>
      </c>
      <c r="I219" s="27">
        <f>+'Order Details Apr23-Mar24'!I219</f>
        <v>30</v>
      </c>
      <c r="J219" s="28"/>
      <c r="K219" s="185" t="str">
        <f>+'Order Details Apr23-Mar24'!R219</f>
        <v>PO / NBF / 281223 / 144</v>
      </c>
      <c r="L219" s="186"/>
      <c r="M219" s="187"/>
      <c r="N219" s="100">
        <f>+'Order Details Apr23-Mar24'!F219*'Order Details Apr23-Mar24'!N219</f>
        <v>105000</v>
      </c>
      <c r="O219" s="25"/>
      <c r="P219" s="22"/>
      <c r="Q219" s="26">
        <v>45</v>
      </c>
      <c r="R219" s="26"/>
      <c r="S219" s="22">
        <f t="shared" si="3"/>
        <v>0</v>
      </c>
      <c r="T219" s="22"/>
      <c r="U219" s="31"/>
      <c r="V219" s="51"/>
    </row>
    <row r="220" spans="1:22" ht="20.100000000000001" customHeight="1" x14ac:dyDescent="0.3">
      <c r="A220" s="44">
        <v>212</v>
      </c>
      <c r="B220" s="22">
        <f>+'Order Details Apr23-Mar24'!P220</f>
        <v>45288</v>
      </c>
      <c r="C220" s="23"/>
      <c r="D220" s="53" t="str">
        <f>+'Order Details Apr23-Mar24'!T220</f>
        <v>Izda Healthcare, Ambala Cantonment</v>
      </c>
      <c r="E220" s="25"/>
      <c r="F220" s="183" t="str">
        <f>+'Order Details Apr23-Mar24'!D220</f>
        <v>Deforce Injection (Izda Healthcare)</v>
      </c>
      <c r="G220" s="184"/>
      <c r="H220" s="26" t="str">
        <f>+'Order Details Apr23-Mar24'!G220</f>
        <v>Ml</v>
      </c>
      <c r="I220" s="27">
        <f>+'Order Details Apr23-Mar24'!I220</f>
        <v>600</v>
      </c>
      <c r="J220" s="28"/>
      <c r="K220" s="185" t="str">
        <f>+'Order Details Apr23-Mar24'!R220</f>
        <v>PO / NBF / 281223 / 145</v>
      </c>
      <c r="L220" s="186"/>
      <c r="M220" s="187"/>
      <c r="N220" s="100">
        <f>+'Order Details Apr23-Mar24'!F220*'Order Details Apr23-Mar24'!N220</f>
        <v>50400</v>
      </c>
      <c r="O220" s="25"/>
      <c r="P220" s="22"/>
      <c r="Q220" s="26">
        <v>45</v>
      </c>
      <c r="R220" s="26"/>
      <c r="S220" s="22">
        <f t="shared" si="3"/>
        <v>0</v>
      </c>
      <c r="T220" s="22"/>
      <c r="U220" s="31"/>
      <c r="V220" s="51"/>
    </row>
    <row r="221" spans="1:22" ht="20.100000000000001" customHeight="1" x14ac:dyDescent="0.3">
      <c r="A221" s="44">
        <v>213</v>
      </c>
      <c r="B221" s="22">
        <f>+'Order Details Apr23-Mar24'!P221</f>
        <v>45288</v>
      </c>
      <c r="C221" s="23"/>
      <c r="D221" s="53" t="str">
        <f>+'Order Details Apr23-Mar24'!T221</f>
        <v>PP &amp; B Mart Pvt Ltd, Habra</v>
      </c>
      <c r="E221" s="25"/>
      <c r="F221" s="183" t="str">
        <f>+'Order Details Apr23-Mar24'!D221</f>
        <v>MASTERSORB (EW Nutrition)</v>
      </c>
      <c r="G221" s="184"/>
      <c r="H221" s="26" t="str">
        <f>+'Order Details Apr23-Mar24'!G221</f>
        <v>Kg</v>
      </c>
      <c r="I221" s="27">
        <f>+'Order Details Apr23-Mar24'!I221</f>
        <v>500</v>
      </c>
      <c r="J221" s="28"/>
      <c r="K221" s="185" t="str">
        <f>+'Order Details Apr23-Mar24'!R221</f>
        <v>PO / NBF / 281223 / 146</v>
      </c>
      <c r="L221" s="186"/>
      <c r="M221" s="187"/>
      <c r="N221" s="100">
        <f>+'Order Details Apr23-Mar24'!F221*'Order Details Apr23-Mar24'!N221</f>
        <v>64000</v>
      </c>
      <c r="O221" s="25"/>
      <c r="P221" s="22"/>
      <c r="Q221" s="26">
        <v>45</v>
      </c>
      <c r="R221" s="26"/>
      <c r="S221" s="22">
        <f t="shared" ref="S221:S250" si="4">P221+R221</f>
        <v>0</v>
      </c>
      <c r="T221" s="22"/>
      <c r="U221" s="31"/>
      <c r="V221" s="51"/>
    </row>
    <row r="222" spans="1:22" ht="20.100000000000001" customHeight="1" x14ac:dyDescent="0.3">
      <c r="A222" s="44">
        <v>214</v>
      </c>
      <c r="B222" s="22">
        <f>+'Order Details Apr23-Mar24'!P222</f>
        <v>45299</v>
      </c>
      <c r="C222" s="23"/>
      <c r="D222" s="53" t="str">
        <f>+'Order Details Apr23-Mar24'!T222</f>
        <v>Alltech Biotechnology Pvt Ltd</v>
      </c>
      <c r="E222" s="25"/>
      <c r="F222" s="183" t="str">
        <f>+'Order Details Apr23-Mar24'!D222</f>
        <v>BIOPLEX PRIME (Alltech)</v>
      </c>
      <c r="G222" s="184"/>
      <c r="H222" s="26" t="str">
        <f>+'Order Details Apr23-Mar24'!G222</f>
        <v>Kg</v>
      </c>
      <c r="I222" s="27">
        <f>+'Order Details Apr23-Mar24'!I222</f>
        <v>500</v>
      </c>
      <c r="J222" s="28"/>
      <c r="K222" s="185" t="str">
        <f>+'Order Details Apr23-Mar24'!R222</f>
        <v>PO / NBF / 080124 / 147</v>
      </c>
      <c r="L222" s="186"/>
      <c r="M222" s="187"/>
      <c r="N222" s="100">
        <f>+'Order Details Apr23-Mar24'!F222*'Order Details Apr23-Mar24'!N222</f>
        <v>134000</v>
      </c>
      <c r="O222" s="25"/>
      <c r="P222" s="22"/>
      <c r="Q222" s="102">
        <v>45</v>
      </c>
      <c r="R222" s="26"/>
      <c r="S222" s="22">
        <f t="shared" si="4"/>
        <v>0</v>
      </c>
      <c r="T222" s="22"/>
      <c r="U222" s="31"/>
      <c r="V222" s="51"/>
    </row>
    <row r="223" spans="1:22" ht="20.100000000000001" customHeight="1" x14ac:dyDescent="0.3">
      <c r="A223" s="44">
        <v>215</v>
      </c>
      <c r="B223" s="22">
        <f>+'Order Details Apr23-Mar24'!P223</f>
        <v>45302</v>
      </c>
      <c r="C223" s="23"/>
      <c r="D223" s="53" t="str">
        <f>+'Order Details Apr23-Mar24'!T223</f>
        <v>Provimi Animal Nutrition India</v>
      </c>
      <c r="E223" s="25"/>
      <c r="F223" s="183" t="str">
        <f>+'Order Details Apr23-Mar24'!D223</f>
        <v>DL Methionine (Evonik)</v>
      </c>
      <c r="G223" s="184"/>
      <c r="H223" s="26" t="str">
        <f>+'Order Details Apr23-Mar24'!G223</f>
        <v>Kg</v>
      </c>
      <c r="I223" s="27">
        <f>+'Order Details Apr23-Mar24'!I223</f>
        <v>1000</v>
      </c>
      <c r="J223" s="28"/>
      <c r="K223" s="185" t="str">
        <f>+'Order Details Apr23-Mar24'!R223</f>
        <v>PO / NBF / 110124 / 148</v>
      </c>
      <c r="L223" s="186"/>
      <c r="M223" s="187"/>
      <c r="N223" s="100">
        <f>+'Order Details Apr23-Mar24'!F223*'Order Details Apr23-Mar24'!N223</f>
        <v>284999.73600000003</v>
      </c>
      <c r="O223" s="25"/>
      <c r="P223" s="22"/>
      <c r="Q223" s="26">
        <v>15</v>
      </c>
      <c r="R223" s="26"/>
      <c r="S223" s="22">
        <f t="shared" si="4"/>
        <v>0</v>
      </c>
      <c r="T223" s="22"/>
      <c r="U223" s="31"/>
      <c r="V223" s="51"/>
    </row>
    <row r="224" spans="1:22" ht="20.100000000000001" customHeight="1" x14ac:dyDescent="0.3">
      <c r="A224" s="44">
        <v>216</v>
      </c>
      <c r="B224" s="22">
        <f>+'Order Details Apr23-Mar24'!P224</f>
        <v>45303</v>
      </c>
      <c r="C224" s="23"/>
      <c r="D224" s="53" t="str">
        <f>+'Order Details Apr23-Mar24'!T224</f>
        <v>Trouw Nutrition India Pvt Ltd</v>
      </c>
      <c r="E224" s="25"/>
      <c r="F224" s="183" t="str">
        <f>+'Order Details Apr23-Mar24'!D224</f>
        <v>Breeder Vitamin Premix (Custom)</v>
      </c>
      <c r="G224" s="184"/>
      <c r="H224" s="26" t="str">
        <f>+'Order Details Apr23-Mar24'!G224</f>
        <v>Kg</v>
      </c>
      <c r="I224" s="27">
        <f>+'Order Details Apr23-Mar24'!I224</f>
        <v>1000</v>
      </c>
      <c r="J224" s="28"/>
      <c r="K224" s="185" t="str">
        <f>+'Order Details Apr23-Mar24'!R224</f>
        <v>PO / NBF / 110124 / 149</v>
      </c>
      <c r="L224" s="186"/>
      <c r="M224" s="187"/>
      <c r="N224" s="100">
        <f>+'Order Details Apr23-Mar24'!F224*'Order Details Apr23-Mar24'!N224</f>
        <v>487000</v>
      </c>
      <c r="O224" s="25"/>
      <c r="P224" s="22"/>
      <c r="Q224" s="26">
        <v>45</v>
      </c>
      <c r="R224" s="26"/>
      <c r="S224" s="22">
        <f t="shared" si="4"/>
        <v>0</v>
      </c>
      <c r="T224" s="22"/>
      <c r="U224" s="31"/>
      <c r="V224" s="51"/>
    </row>
    <row r="225" spans="1:22" ht="20.100000000000001" customHeight="1" x14ac:dyDescent="0.3">
      <c r="A225" s="44">
        <v>217</v>
      </c>
      <c r="B225" s="22">
        <f>+'Order Details Apr23-Mar24'!P225</f>
        <v>45303</v>
      </c>
      <c r="C225" s="23"/>
      <c r="D225" s="53" t="str">
        <f>+'Order Details Apr23-Mar24'!T225</f>
        <v>Das Drug Centre, Habra</v>
      </c>
      <c r="E225" s="25"/>
      <c r="F225" s="183" t="str">
        <f>+'Order Details Apr23-Mar24'!D225</f>
        <v>HIM-C (Himalaya)</v>
      </c>
      <c r="G225" s="184"/>
      <c r="H225" s="26" t="str">
        <f>+'Order Details Apr23-Mar24'!G225</f>
        <v>Kg</v>
      </c>
      <c r="I225" s="27">
        <f>+'Order Details Apr23-Mar24'!I225</f>
        <v>504</v>
      </c>
      <c r="J225" s="28"/>
      <c r="K225" s="185" t="str">
        <f>+'Order Details Apr23-Mar24'!R225</f>
        <v>PO / NBF / 120124 / 150</v>
      </c>
      <c r="L225" s="186"/>
      <c r="M225" s="187"/>
      <c r="N225" s="100">
        <f>+'Order Details Apr23-Mar24'!F225*'Order Details Apr23-Mar24'!N225</f>
        <v>68040</v>
      </c>
      <c r="O225" s="25"/>
      <c r="P225" s="22"/>
      <c r="Q225" s="26">
        <v>45</v>
      </c>
      <c r="R225" s="26"/>
      <c r="S225" s="22">
        <f t="shared" si="4"/>
        <v>0</v>
      </c>
      <c r="T225" s="22"/>
      <c r="U225" s="31"/>
      <c r="V225" s="51"/>
    </row>
    <row r="226" spans="1:22" ht="20.100000000000001" customHeight="1" x14ac:dyDescent="0.3">
      <c r="A226" s="44">
        <v>218</v>
      </c>
      <c r="B226" s="22">
        <f>+'Order Details Apr23-Mar24'!P226</f>
        <v>45306</v>
      </c>
      <c r="C226" s="23"/>
      <c r="D226" s="53" t="str">
        <f>+'Order Details Apr23-Mar24'!T226</f>
        <v>Sneha Farms Pvt Ltd, Hyderabad</v>
      </c>
      <c r="E226" s="25"/>
      <c r="F226" s="183" t="str">
        <f>+'Order Details Apr23-Mar24'!D226</f>
        <v>MCP (Channen)</v>
      </c>
      <c r="G226" s="184"/>
      <c r="H226" s="26" t="str">
        <f>+'Order Details Apr23-Mar24'!G226</f>
        <v>Kg</v>
      </c>
      <c r="I226" s="27">
        <f>+'Order Details Apr23-Mar24'!I226</f>
        <v>8000</v>
      </c>
      <c r="J226" s="28"/>
      <c r="K226" s="185" t="str">
        <f>+'Order Details Apr23-Mar24'!R226</f>
        <v>PO / NBF / 150124 / 151</v>
      </c>
      <c r="L226" s="186"/>
      <c r="M226" s="187"/>
      <c r="N226" s="100">
        <f>+'Order Details Apr23-Mar24'!F226*'Order Details Apr23-Mar24'!N226</f>
        <v>544000.76800000004</v>
      </c>
      <c r="O226" s="25"/>
      <c r="P226" s="22"/>
      <c r="Q226" s="26">
        <v>7</v>
      </c>
      <c r="R226" s="26"/>
      <c r="S226" s="22">
        <f t="shared" si="4"/>
        <v>0</v>
      </c>
      <c r="T226" s="22"/>
      <c r="U226" s="31"/>
      <c r="V226" s="51"/>
    </row>
    <row r="227" spans="1:22" ht="20.100000000000001" customHeight="1" x14ac:dyDescent="0.3">
      <c r="A227" s="44">
        <v>219</v>
      </c>
      <c r="B227" s="22">
        <f>+'Order Details Apr23-Mar24'!P227</f>
        <v>45307</v>
      </c>
      <c r="C227" s="23"/>
      <c r="D227" s="53" t="str">
        <f>+'Order Details Apr23-Mar24'!T227</f>
        <v>Venkateshwara Hatcheries Ltd</v>
      </c>
      <c r="E227" s="25"/>
      <c r="F227" s="183" t="str">
        <f>+'Order Details Apr23-Mar24'!D227</f>
        <v>ND (Visa-15) KILLED VAC</v>
      </c>
      <c r="G227" s="184"/>
      <c r="H227" s="26" t="str">
        <f>+'Order Details Apr23-Mar24'!G227</f>
        <v>Dose</v>
      </c>
      <c r="I227" s="27">
        <f>+'Order Details Apr23-Mar24'!I227</f>
        <v>24000</v>
      </c>
      <c r="J227" s="28"/>
      <c r="K227" s="185" t="str">
        <f>+'Order Details Apr23-Mar24'!R227</f>
        <v>PO / NBF / 150124 / 152</v>
      </c>
      <c r="L227" s="186"/>
      <c r="M227" s="187"/>
      <c r="N227" s="100">
        <f>+'Order Details Apr23-Mar24'!F227*'Order Details Apr23-Mar24'!N227</f>
        <v>25830</v>
      </c>
      <c r="O227" s="25"/>
      <c r="P227" s="22"/>
      <c r="Q227" s="61">
        <v>45</v>
      </c>
      <c r="R227" s="26"/>
      <c r="S227" s="22">
        <f t="shared" si="4"/>
        <v>0</v>
      </c>
      <c r="T227" s="22"/>
      <c r="U227" s="31"/>
      <c r="V227" s="51"/>
    </row>
    <row r="228" spans="1:22" ht="20.100000000000001" customHeight="1" x14ac:dyDescent="0.3">
      <c r="A228" s="44">
        <v>220</v>
      </c>
      <c r="B228" s="22">
        <f>+'Order Details Apr23-Mar24'!P228</f>
        <v>45311</v>
      </c>
      <c r="C228" s="23"/>
      <c r="D228" s="53" t="str">
        <f>+'Order Details Apr23-Mar24'!T228</f>
        <v>Huve Pharma Sea Pune Pvt Ltd</v>
      </c>
      <c r="E228" s="25"/>
      <c r="F228" s="183" t="str">
        <f>+'Order Details Apr23-Mar24'!D228</f>
        <v>BIO-D 100 (Huvepharma)</v>
      </c>
      <c r="G228" s="184"/>
      <c r="H228" s="26" t="str">
        <f>+'Order Details Apr23-Mar24'!G228</f>
        <v>Kg</v>
      </c>
      <c r="I228" s="27">
        <f>+'Order Details Apr23-Mar24'!I228</f>
        <v>100</v>
      </c>
      <c r="J228" s="28"/>
      <c r="K228" s="185" t="str">
        <f>+'Order Details Apr23-Mar24'!R228</f>
        <v>PO / NBF / 200124 / 153</v>
      </c>
      <c r="L228" s="186"/>
      <c r="M228" s="187"/>
      <c r="N228" s="100">
        <f>+'Order Details Apr23-Mar24'!F228*'Order Details Apr23-Mar24'!N228</f>
        <v>155000</v>
      </c>
      <c r="O228" s="25"/>
      <c r="P228" s="22"/>
      <c r="Q228" s="26">
        <v>7</v>
      </c>
      <c r="R228" s="26"/>
      <c r="S228" s="22">
        <f t="shared" si="4"/>
        <v>0</v>
      </c>
      <c r="T228" s="22"/>
      <c r="U228" s="31"/>
      <c r="V228" s="51"/>
    </row>
    <row r="229" spans="1:22" ht="20.100000000000001" customHeight="1" x14ac:dyDescent="0.3">
      <c r="A229" s="44">
        <v>221</v>
      </c>
      <c r="B229" s="22">
        <f>+'Order Details Apr23-Mar24'!P229</f>
        <v>45311</v>
      </c>
      <c r="C229" s="23"/>
      <c r="D229" s="53" t="str">
        <f>+'Order Details Apr23-Mar24'!T229</f>
        <v>Provimi Animal Nutrition India</v>
      </c>
      <c r="E229" s="25"/>
      <c r="F229" s="183" t="str">
        <f>+'Order Details Apr23-Mar24'!D229</f>
        <v>Lysine HCL (Meihua)</v>
      </c>
      <c r="G229" s="184"/>
      <c r="H229" s="26" t="str">
        <f>+'Order Details Apr23-Mar24'!G229</f>
        <v>Kg</v>
      </c>
      <c r="I229" s="27">
        <f>+'Order Details Apr23-Mar24'!I229</f>
        <v>1000</v>
      </c>
      <c r="J229" s="28"/>
      <c r="K229" s="185" t="str">
        <f>+'Order Details Apr23-Mar24'!R229</f>
        <v>PO / NBF / 200124 / 154</v>
      </c>
      <c r="L229" s="186"/>
      <c r="M229" s="187"/>
      <c r="N229" s="100">
        <f>+'Order Details Apr23-Mar24'!F229*'Order Details Apr23-Mar24'!N229</f>
        <v>150000.65599999999</v>
      </c>
      <c r="O229" s="25"/>
      <c r="P229" s="22"/>
      <c r="Q229" s="26">
        <v>15</v>
      </c>
      <c r="R229" s="26"/>
      <c r="S229" s="22">
        <f t="shared" si="4"/>
        <v>0</v>
      </c>
      <c r="T229" s="22"/>
      <c r="U229" s="31"/>
      <c r="V229" s="51"/>
    </row>
    <row r="230" spans="1:22" ht="20.100000000000001" customHeight="1" x14ac:dyDescent="0.3">
      <c r="A230" s="44">
        <v>222</v>
      </c>
      <c r="B230" s="22">
        <f>+'Order Details Apr23-Mar24'!P230</f>
        <v>45313</v>
      </c>
      <c r="C230" s="23"/>
      <c r="D230" s="53" t="str">
        <f>+'Order Details Apr23-Mar24'!T230</f>
        <v>Alivira Animal Health Ltd</v>
      </c>
      <c r="E230" s="25"/>
      <c r="F230" s="183" t="str">
        <f>+'Order Details Apr23-Mar24'!D230</f>
        <v>CITRINAL (Alivira)</v>
      </c>
      <c r="G230" s="184"/>
      <c r="H230" s="26" t="str">
        <f>+'Order Details Apr23-Mar24'!G230</f>
        <v>Kg</v>
      </c>
      <c r="I230" s="27">
        <f>+'Order Details Apr23-Mar24'!I230</f>
        <v>500</v>
      </c>
      <c r="J230" s="28"/>
      <c r="K230" s="185" t="str">
        <f>+'Order Details Apr23-Mar24'!R230</f>
        <v>PO / NBF / 220124 / 155</v>
      </c>
      <c r="L230" s="186"/>
      <c r="M230" s="187"/>
      <c r="N230" s="100">
        <f>+'Order Details Apr23-Mar24'!F230*'Order Details Apr23-Mar24'!N230</f>
        <v>75000</v>
      </c>
      <c r="O230" s="25"/>
      <c r="P230" s="22"/>
      <c r="Q230" s="26">
        <v>45</v>
      </c>
      <c r="R230" s="26"/>
      <c r="S230" s="22">
        <f t="shared" si="4"/>
        <v>0</v>
      </c>
      <c r="T230" s="22"/>
      <c r="U230" s="31"/>
      <c r="V230" s="51"/>
    </row>
    <row r="231" spans="1:22" ht="20.100000000000001" customHeight="1" x14ac:dyDescent="0.3">
      <c r="A231" s="44">
        <v>223</v>
      </c>
      <c r="B231" s="22">
        <f>+'Order Details Apr23-Mar24'!P231</f>
        <v>45313</v>
      </c>
      <c r="C231" s="23"/>
      <c r="D231" s="53" t="str">
        <f>+'Order Details Apr23-Mar24'!T231</f>
        <v>Das Drug Centre, Habra</v>
      </c>
      <c r="E231" s="25"/>
      <c r="F231" s="183" t="str">
        <f>+'Order Details Apr23-Mar24'!D231</f>
        <v>CHLORAN-15% (Zenex-AH)</v>
      </c>
      <c r="G231" s="184"/>
      <c r="H231" s="26" t="str">
        <f>+'Order Details Apr23-Mar24'!G231</f>
        <v>Kg</v>
      </c>
      <c r="I231" s="27">
        <f>+'Order Details Apr23-Mar24'!I231</f>
        <v>200</v>
      </c>
      <c r="J231" s="28"/>
      <c r="K231" s="185" t="str">
        <f>+'Order Details Apr23-Mar24'!R231</f>
        <v>PO / NBF / 220124 / 156</v>
      </c>
      <c r="L231" s="186"/>
      <c r="M231" s="187"/>
      <c r="N231" s="100">
        <f>+'Order Details Apr23-Mar24'!F231*'Order Details Apr23-Mar24'!N231</f>
        <v>48000</v>
      </c>
      <c r="O231" s="25"/>
      <c r="P231" s="22"/>
      <c r="Q231" s="26">
        <v>45</v>
      </c>
      <c r="R231" s="26"/>
      <c r="S231" s="22">
        <f t="shared" si="4"/>
        <v>0</v>
      </c>
      <c r="T231" s="22"/>
      <c r="U231" s="31"/>
      <c r="V231" s="51"/>
    </row>
    <row r="232" spans="1:22" ht="20.100000000000001" customHeight="1" x14ac:dyDescent="0.3">
      <c r="A232" s="44">
        <v>224</v>
      </c>
      <c r="B232" s="22">
        <f>+'Order Details Apr23-Mar24'!P232</f>
        <v>45313</v>
      </c>
      <c r="C232" s="23"/>
      <c r="D232" s="53" t="str">
        <f>+'Order Details Apr23-Mar24'!T232</f>
        <v>Das Drug Centre, Habra</v>
      </c>
      <c r="E232" s="25"/>
      <c r="F232" s="183" t="str">
        <f>+'Order Details Apr23-Mar24'!D232</f>
        <v>HIMFLORA (Himalaya)</v>
      </c>
      <c r="G232" s="184"/>
      <c r="H232" s="26" t="str">
        <f>+'Order Details Apr23-Mar24'!G232</f>
        <v>Kg</v>
      </c>
      <c r="I232" s="27">
        <f>+'Order Details Apr23-Mar24'!I232</f>
        <v>80</v>
      </c>
      <c r="J232" s="28"/>
      <c r="K232" s="185" t="str">
        <f>+'Order Details Apr23-Mar24'!R232</f>
        <v>PO / NBF / 220124 / 156</v>
      </c>
      <c r="L232" s="186"/>
      <c r="M232" s="187"/>
      <c r="N232" s="100">
        <f>+'Order Details Apr23-Mar24'!F232*'Order Details Apr23-Mar24'!N232</f>
        <v>46000</v>
      </c>
      <c r="O232" s="25"/>
      <c r="P232" s="22"/>
      <c r="Q232" s="26">
        <v>45</v>
      </c>
      <c r="R232" s="26"/>
      <c r="S232" s="22">
        <f t="shared" si="4"/>
        <v>0</v>
      </c>
      <c r="T232" s="22"/>
      <c r="U232" s="31"/>
      <c r="V232" s="51"/>
    </row>
    <row r="233" spans="1:22" ht="20.100000000000001" customHeight="1" x14ac:dyDescent="0.3">
      <c r="A233" s="44">
        <v>225</v>
      </c>
      <c r="B233" s="22">
        <f>+'Order Details Apr23-Mar24'!P233</f>
        <v>45313</v>
      </c>
      <c r="C233" s="23"/>
      <c r="D233" s="53" t="str">
        <f>+'Order Details Apr23-Mar24'!T233</f>
        <v>Healers Associates, Vijayawada</v>
      </c>
      <c r="E233" s="25"/>
      <c r="F233" s="183" t="str">
        <f>+'Order Details Apr23-Mar24'!D233</f>
        <v>TIAMU-MED (Medichem Product)</v>
      </c>
      <c r="G233" s="184"/>
      <c r="H233" s="26" t="str">
        <f>+'Order Details Apr23-Mar24'!G233</f>
        <v>Kg</v>
      </c>
      <c r="I233" s="27">
        <f>+'Order Details Apr23-Mar24'!I233</f>
        <v>300</v>
      </c>
      <c r="J233" s="28"/>
      <c r="K233" s="185" t="str">
        <f>+'Order Details Apr23-Mar24'!R233</f>
        <v>PO / NBF / 220124 / 157</v>
      </c>
      <c r="L233" s="186"/>
      <c r="M233" s="187"/>
      <c r="N233" s="100">
        <f>+'Order Details Apr23-Mar24'!F233*'Order Details Apr23-Mar24'!N233</f>
        <v>202500</v>
      </c>
      <c r="O233" s="25"/>
      <c r="P233" s="22"/>
      <c r="Q233" s="26">
        <v>45</v>
      </c>
      <c r="R233" s="26"/>
      <c r="S233" s="22">
        <f t="shared" si="4"/>
        <v>0</v>
      </c>
      <c r="T233" s="22"/>
      <c r="U233" s="31"/>
      <c r="V233" s="51"/>
    </row>
    <row r="234" spans="1:22" ht="20.100000000000001" customHeight="1" x14ac:dyDescent="0.3">
      <c r="A234" s="44">
        <v>226</v>
      </c>
      <c r="B234" s="22">
        <f>+'Order Details Apr23-Mar24'!P234</f>
        <v>45315</v>
      </c>
      <c r="C234" s="23"/>
      <c r="D234" s="53" t="str">
        <f>+'Order Details Apr23-Mar24'!T234</f>
        <v>Sneha Farms Pvt Ltd, Hyderabad</v>
      </c>
      <c r="E234" s="25"/>
      <c r="F234" s="183" t="str">
        <f>+'Order Details Apr23-Mar24'!D234</f>
        <v>ALKAKARB (Tata Chemicals)</v>
      </c>
      <c r="G234" s="184"/>
      <c r="H234" s="26" t="str">
        <f>+'Order Details Apr23-Mar24'!G234</f>
        <v>Kg</v>
      </c>
      <c r="I234" s="27">
        <f>+'Order Details Apr23-Mar24'!I234</f>
        <v>2000</v>
      </c>
      <c r="J234" s="28"/>
      <c r="K234" s="185" t="str">
        <f>+'Order Details Apr23-Mar24'!R234</f>
        <v>PO / NBF / 240124 / 158</v>
      </c>
      <c r="L234" s="186"/>
      <c r="M234" s="187"/>
      <c r="N234" s="100">
        <f>+'Order Details Apr23-Mar24'!F234*'Order Details Apr23-Mar24'!N234</f>
        <v>96000.08</v>
      </c>
      <c r="O234" s="25"/>
      <c r="P234" s="22"/>
      <c r="Q234" s="26">
        <v>7</v>
      </c>
      <c r="R234" s="26"/>
      <c r="S234" s="22">
        <f t="shared" si="4"/>
        <v>0</v>
      </c>
      <c r="T234" s="22"/>
      <c r="U234" s="31"/>
      <c r="V234" s="51"/>
    </row>
    <row r="235" spans="1:22" ht="20.100000000000001" customHeight="1" x14ac:dyDescent="0.3">
      <c r="A235" s="44">
        <v>227</v>
      </c>
      <c r="B235" s="22">
        <f>+'Order Details Apr23-Mar24'!P235</f>
        <v>45320</v>
      </c>
      <c r="C235" s="23"/>
      <c r="D235" s="53" t="str">
        <f>+'Order Details Apr23-Mar24'!T235</f>
        <v>Hester Biosciences Limited</v>
      </c>
      <c r="E235" s="25"/>
      <c r="F235" s="183" t="str">
        <f>+'Order Details Apr23-Mar24'!D235</f>
        <v>INACTIVATED EDS VAC</v>
      </c>
      <c r="G235" s="184"/>
      <c r="H235" s="26" t="str">
        <f>+'Order Details Apr23-Mar24'!G235</f>
        <v>Dose</v>
      </c>
      <c r="I235" s="27">
        <f>+'Order Details Apr23-Mar24'!I235</f>
        <v>51000</v>
      </c>
      <c r="J235" s="28"/>
      <c r="K235" s="185" t="str">
        <f>+'Order Details Apr23-Mar24'!R235</f>
        <v>PO / NBF / 290124 / 159</v>
      </c>
      <c r="L235" s="186"/>
      <c r="M235" s="187"/>
      <c r="N235" s="100">
        <f>+'Order Details Apr23-Mar24'!F235*'Order Details Apr23-Mar24'!N235</f>
        <v>61582.5</v>
      </c>
      <c r="O235" s="25"/>
      <c r="P235" s="22"/>
      <c r="Q235" s="87">
        <v>45</v>
      </c>
      <c r="R235" s="26"/>
      <c r="S235" s="22">
        <f t="shared" si="4"/>
        <v>0</v>
      </c>
      <c r="T235" s="22"/>
      <c r="U235" s="31"/>
      <c r="V235" s="51"/>
    </row>
    <row r="236" spans="1:22" ht="20.100000000000001" customHeight="1" x14ac:dyDescent="0.3">
      <c r="A236" s="44">
        <v>228</v>
      </c>
      <c r="B236" s="22">
        <f>+'Order Details Apr23-Mar24'!P236</f>
        <v>45320</v>
      </c>
      <c r="C236" s="23"/>
      <c r="D236" s="53" t="str">
        <f>+'Order Details Apr23-Mar24'!T236</f>
        <v>Hester Biosciences Limited</v>
      </c>
      <c r="E236" s="25"/>
      <c r="F236" s="183" t="str">
        <f>+'Order Details Apr23-Mar24'!D236</f>
        <v>ILT (G-10000) Live Vaccine</v>
      </c>
      <c r="G236" s="184"/>
      <c r="H236" s="26" t="str">
        <f>+'Order Details Apr23-Mar24'!G236</f>
        <v>Dose</v>
      </c>
      <c r="I236" s="27">
        <f>+'Order Details Apr23-Mar24'!I236</f>
        <v>51000</v>
      </c>
      <c r="J236" s="28"/>
      <c r="K236" s="185" t="str">
        <f>+'Order Details Apr23-Mar24'!R236</f>
        <v>PO / NBF / 290124 / 159</v>
      </c>
      <c r="L236" s="186"/>
      <c r="M236" s="187"/>
      <c r="N236" s="100">
        <f>+'Order Details Apr23-Mar24'!F236*'Order Details Apr23-Mar24'!N236</f>
        <v>80325</v>
      </c>
      <c r="O236" s="25"/>
      <c r="P236" s="22"/>
      <c r="Q236" s="87">
        <v>45</v>
      </c>
      <c r="R236" s="26"/>
      <c r="S236" s="22">
        <f t="shared" si="4"/>
        <v>0</v>
      </c>
      <c r="T236" s="22"/>
      <c r="U236" s="31"/>
      <c r="V236" s="51"/>
    </row>
    <row r="237" spans="1:22" ht="20.100000000000001" customHeight="1" x14ac:dyDescent="0.3">
      <c r="A237" s="44">
        <v>229</v>
      </c>
      <c r="B237" s="22">
        <f>+'Order Details Apr23-Mar24'!P237</f>
        <v>45320</v>
      </c>
      <c r="C237" s="23"/>
      <c r="D237" s="53" t="str">
        <f>+'Order Details Apr23-Mar24'!T237</f>
        <v>Hester Biosciences Limited</v>
      </c>
      <c r="E237" s="25"/>
      <c r="F237" s="183" t="str">
        <f>+'Order Details Apr23-Mar24'!D237</f>
        <v>INACTIVATED PULLET(LPAI) VAC</v>
      </c>
      <c r="G237" s="184"/>
      <c r="H237" s="26" t="str">
        <f>+'Order Details Apr23-Mar24'!G237</f>
        <v>Dose</v>
      </c>
      <c r="I237" s="27">
        <f>+'Order Details Apr23-Mar24'!I237</f>
        <v>140000</v>
      </c>
      <c r="J237" s="28"/>
      <c r="K237" s="185" t="str">
        <f>+'Order Details Apr23-Mar24'!R237</f>
        <v>PO / NBF / 290124 / 159</v>
      </c>
      <c r="L237" s="186"/>
      <c r="M237" s="187"/>
      <c r="N237" s="100">
        <f>+'Order Details Apr23-Mar24'!F237*'Order Details Apr23-Mar24'!N237</f>
        <v>136144.04999999999</v>
      </c>
      <c r="O237" s="25"/>
      <c r="P237" s="22"/>
      <c r="Q237" s="87">
        <v>45</v>
      </c>
      <c r="R237" s="26"/>
      <c r="S237" s="22">
        <f t="shared" si="4"/>
        <v>0</v>
      </c>
      <c r="T237" s="22"/>
      <c r="U237" s="31"/>
      <c r="V237" s="51"/>
    </row>
    <row r="238" spans="1:22" ht="20.100000000000001" customHeight="1" x14ac:dyDescent="0.3">
      <c r="A238" s="44">
        <v>230</v>
      </c>
      <c r="B238" s="22">
        <f>+'Order Details Apr23-Mar24'!P238</f>
        <v>45320</v>
      </c>
      <c r="C238" s="23"/>
      <c r="D238" s="53" t="str">
        <f>+'Order Details Apr23-Mar24'!T238</f>
        <v>Hester Biosciences Limited</v>
      </c>
      <c r="E238" s="25"/>
      <c r="F238" s="183" t="str">
        <f>+'Order Details Apr23-Mar24'!D238</f>
        <v>INACTIVATED PULLET(HPAI) VAC</v>
      </c>
      <c r="G238" s="184"/>
      <c r="H238" s="26" t="str">
        <f>+'Order Details Apr23-Mar24'!G238</f>
        <v>Dose</v>
      </c>
      <c r="I238" s="27">
        <f>+'Order Details Apr23-Mar24'!I238</f>
        <v>89000</v>
      </c>
      <c r="J238" s="28"/>
      <c r="K238" s="185" t="str">
        <f>+'Order Details Apr23-Mar24'!R238</f>
        <v>PO / NBF / 290124 / 159</v>
      </c>
      <c r="L238" s="186"/>
      <c r="M238" s="187"/>
      <c r="N238" s="100">
        <f>+'Order Details Apr23-Mar24'!F238*'Order Details Apr23-Mar24'!N238</f>
        <v>233523.13949999996</v>
      </c>
      <c r="O238" s="25"/>
      <c r="P238" s="22"/>
      <c r="Q238" s="87">
        <v>45</v>
      </c>
      <c r="R238" s="26"/>
      <c r="S238" s="22">
        <f t="shared" si="4"/>
        <v>0</v>
      </c>
      <c r="T238" s="22"/>
      <c r="U238" s="31"/>
      <c r="V238" s="51"/>
    </row>
    <row r="239" spans="1:22" ht="20.100000000000001" customHeight="1" x14ac:dyDescent="0.3">
      <c r="A239" s="44">
        <v>231</v>
      </c>
      <c r="B239" s="22">
        <f>+'Order Details Apr23-Mar24'!P239</f>
        <v>45321</v>
      </c>
      <c r="C239" s="23"/>
      <c r="D239" s="53" t="str">
        <f>+'Order Details Apr23-Mar24'!T239</f>
        <v>Das Drug Centre Pvt Ltd, Habra</v>
      </c>
      <c r="E239" s="25"/>
      <c r="F239" s="183" t="str">
        <f>+'Order Details Apr23-Mar24'!D239</f>
        <v>Hipraviar Clon H-120 (Hipra)</v>
      </c>
      <c r="G239" s="184"/>
      <c r="H239" s="26" t="str">
        <f>+'Order Details Apr23-Mar24'!G239</f>
        <v>Dose</v>
      </c>
      <c r="I239" s="27">
        <f>+'Order Details Apr23-Mar24'!I239</f>
        <v>250000</v>
      </c>
      <c r="J239" s="28"/>
      <c r="K239" s="185" t="str">
        <f>+'Order Details Apr23-Mar24'!R239</f>
        <v>PO / NBF / 300124 / 160</v>
      </c>
      <c r="L239" s="186"/>
      <c r="M239" s="187"/>
      <c r="N239" s="100">
        <f>+'Order Details Apr23-Mar24'!F239*'Order Details Apr23-Mar24'!N239</f>
        <v>57750</v>
      </c>
      <c r="O239" s="25"/>
      <c r="P239" s="22"/>
      <c r="Q239" s="26">
        <v>45</v>
      </c>
      <c r="R239" s="26"/>
      <c r="S239" s="22">
        <f t="shared" si="4"/>
        <v>0</v>
      </c>
      <c r="T239" s="22"/>
      <c r="U239" s="31"/>
      <c r="V239" s="51"/>
    </row>
    <row r="240" spans="1:22" ht="20.100000000000001" customHeight="1" x14ac:dyDescent="0.3">
      <c r="A240" s="44">
        <v>232</v>
      </c>
      <c r="B240" s="22">
        <f>+'Order Details Apr23-Mar24'!P240</f>
        <v>45321</v>
      </c>
      <c r="C240" s="23"/>
      <c r="D240" s="53" t="str">
        <f>+'Order Details Apr23-Mar24'!T240</f>
        <v>Das Drug Centre Pvt Ltd, Habra</v>
      </c>
      <c r="E240" s="25"/>
      <c r="F240" s="183" t="str">
        <f>+'Order Details Apr23-Mar24'!D240</f>
        <v>Hipraviar Clon 79 (Hipra)</v>
      </c>
      <c r="G240" s="184"/>
      <c r="H240" s="26" t="str">
        <f>+'Order Details Apr23-Mar24'!G240</f>
        <v>Dose</v>
      </c>
      <c r="I240" s="27">
        <f>+'Order Details Apr23-Mar24'!I240</f>
        <v>52500</v>
      </c>
      <c r="J240" s="28"/>
      <c r="K240" s="185" t="str">
        <f>+'Order Details Apr23-Mar24'!R240</f>
        <v>PO / NBF / 300124 / 160</v>
      </c>
      <c r="L240" s="186"/>
      <c r="M240" s="187"/>
      <c r="N240" s="100">
        <f>+'Order Details Apr23-Mar24'!F240*'Order Details Apr23-Mar24'!N240</f>
        <v>6526.8</v>
      </c>
      <c r="O240" s="25"/>
      <c r="P240" s="22"/>
      <c r="Q240" s="26">
        <v>45</v>
      </c>
      <c r="R240" s="26"/>
      <c r="S240" s="22">
        <f t="shared" si="4"/>
        <v>0</v>
      </c>
      <c r="T240" s="22"/>
      <c r="U240" s="31"/>
      <c r="V240" s="51"/>
    </row>
    <row r="241" spans="1:22" ht="20.100000000000001" customHeight="1" x14ac:dyDescent="0.3">
      <c r="A241" s="44">
        <v>233</v>
      </c>
      <c r="B241" s="22">
        <f>+'Order Details Apr23-Mar24'!P241</f>
        <v>45321</v>
      </c>
      <c r="C241" s="23"/>
      <c r="D241" s="53" t="str">
        <f>+'Order Details Apr23-Mar24'!T241</f>
        <v>Das Drug Centre Pvt Ltd, Habra</v>
      </c>
      <c r="E241" s="25"/>
      <c r="F241" s="183" t="str">
        <f>+'Order Details Apr23-Mar24'!D241</f>
        <v>Hipraviar BPL-2 Killed (Hipra)</v>
      </c>
      <c r="G241" s="184"/>
      <c r="H241" s="26" t="str">
        <f>+'Order Details Apr23-Mar24'!G241</f>
        <v>Dose</v>
      </c>
      <c r="I241" s="27">
        <f>+'Order Details Apr23-Mar24'!I241</f>
        <v>51000</v>
      </c>
      <c r="J241" s="28"/>
      <c r="K241" s="185" t="str">
        <f>+'Order Details Apr23-Mar24'!R241</f>
        <v>PO / NBF / 300124 / 160</v>
      </c>
      <c r="L241" s="186"/>
      <c r="M241" s="187"/>
      <c r="N241" s="100">
        <f>+'Order Details Apr23-Mar24'!F241*'Order Details Apr23-Mar24'!N241</f>
        <v>100406.25</v>
      </c>
      <c r="O241" s="25"/>
      <c r="P241" s="22"/>
      <c r="Q241" s="26">
        <v>45</v>
      </c>
      <c r="R241" s="26"/>
      <c r="S241" s="22">
        <f t="shared" si="4"/>
        <v>0</v>
      </c>
      <c r="T241" s="22"/>
      <c r="U241" s="31"/>
      <c r="V241" s="51"/>
    </row>
    <row r="242" spans="1:22" ht="20.100000000000001" customHeight="1" x14ac:dyDescent="0.3">
      <c r="A242" s="44">
        <v>234</v>
      </c>
      <c r="B242" s="22">
        <f>+'Order Details Apr23-Mar24'!P242</f>
        <v>45321</v>
      </c>
      <c r="C242" s="23"/>
      <c r="D242" s="53" t="str">
        <f>+'Order Details Apr23-Mar24'!T242</f>
        <v>Das Drug Centre Pvt Ltd, Habra</v>
      </c>
      <c r="E242" s="25"/>
      <c r="F242" s="183" t="str">
        <f>+'Order Details Apr23-Mar24'!D242</f>
        <v>TRI REO KILLED (Zoetis)</v>
      </c>
      <c r="G242" s="184"/>
      <c r="H242" s="26" t="str">
        <f>+'Order Details Apr23-Mar24'!G242</f>
        <v>Dose</v>
      </c>
      <c r="I242" s="27">
        <f>+'Order Details Apr23-Mar24'!I242</f>
        <v>50000</v>
      </c>
      <c r="J242" s="28"/>
      <c r="K242" s="185" t="str">
        <f>+'Order Details Apr23-Mar24'!R242</f>
        <v>PO / NBF / 300124 / 160</v>
      </c>
      <c r="L242" s="186"/>
      <c r="M242" s="187"/>
      <c r="N242" s="100">
        <f>+'Order Details Apr23-Mar24'!F242*'Order Details Apr23-Mar24'!N242</f>
        <v>290745</v>
      </c>
      <c r="O242" s="25"/>
      <c r="P242" s="22"/>
      <c r="Q242" s="26">
        <v>45</v>
      </c>
      <c r="R242" s="26"/>
      <c r="S242" s="22">
        <f t="shared" si="4"/>
        <v>0</v>
      </c>
      <c r="T242" s="22"/>
      <c r="U242" s="31"/>
      <c r="V242" s="51"/>
    </row>
    <row r="243" spans="1:22" ht="20.100000000000001" customHeight="1" x14ac:dyDescent="0.3">
      <c r="A243" s="44">
        <v>235</v>
      </c>
      <c r="B243" s="22">
        <f>+'Order Details Apr23-Mar24'!P243</f>
        <v>45321</v>
      </c>
      <c r="C243" s="23"/>
      <c r="D243" s="53" t="str">
        <f>+'Order Details Apr23-Mar24'!T243</f>
        <v>Venkateshwara Hatcheries Ltd</v>
      </c>
      <c r="E243" s="25"/>
      <c r="F243" s="183" t="str">
        <f>+'Order Details Apr23-Mar24'!D243</f>
        <v>AE KILLED VAC (Venkys)</v>
      </c>
      <c r="G243" s="184"/>
      <c r="H243" s="26" t="str">
        <f>+'Order Details Apr23-Mar24'!G243</f>
        <v>Dose</v>
      </c>
      <c r="I243" s="27">
        <f>+'Order Details Apr23-Mar24'!I243</f>
        <v>96000</v>
      </c>
      <c r="J243" s="28"/>
      <c r="K243" s="185" t="str">
        <f>+'Order Details Apr23-Mar24'!R243</f>
        <v>PO / NBF / 300124 / 161</v>
      </c>
      <c r="L243" s="186"/>
      <c r="M243" s="187"/>
      <c r="N243" s="100">
        <f>+'Order Details Apr23-Mar24'!F243*'Order Details Apr23-Mar24'!N243</f>
        <v>201096</v>
      </c>
      <c r="O243" s="25"/>
      <c r="P243" s="22"/>
      <c r="Q243" s="61">
        <v>45</v>
      </c>
      <c r="R243" s="26"/>
      <c r="S243" s="22">
        <f t="shared" si="4"/>
        <v>0</v>
      </c>
      <c r="T243" s="22"/>
      <c r="U243" s="31"/>
      <c r="V243" s="51"/>
    </row>
    <row r="244" spans="1:22" ht="20.100000000000001" customHeight="1" x14ac:dyDescent="0.3">
      <c r="A244" s="44">
        <v>236</v>
      </c>
      <c r="B244" s="22">
        <f>+'Order Details Apr23-Mar24'!P244</f>
        <v>45321</v>
      </c>
      <c r="C244" s="23"/>
      <c r="D244" s="53" t="str">
        <f>+'Order Details Apr23-Mar24'!T244</f>
        <v>Venkateshwara Hatcheries Ltd</v>
      </c>
      <c r="E244" s="25"/>
      <c r="F244" s="183" t="str">
        <f>+'Order Details Apr23-Mar24'!D244</f>
        <v>IB ASTRO (AEIBH) KILLED VAC</v>
      </c>
      <c r="G244" s="184"/>
      <c r="H244" s="26" t="str">
        <f>+'Order Details Apr23-Mar24'!G244</f>
        <v>Dose</v>
      </c>
      <c r="I244" s="27">
        <f>+'Order Details Apr23-Mar24'!I244</f>
        <v>140000</v>
      </c>
      <c r="J244" s="28"/>
      <c r="K244" s="185" t="str">
        <f>+'Order Details Apr23-Mar24'!R244</f>
        <v>PO / NBF / 300124 / 161</v>
      </c>
      <c r="L244" s="186"/>
      <c r="M244" s="187"/>
      <c r="N244" s="100">
        <f>+'Order Details Apr23-Mar24'!F244*'Order Details Apr23-Mar24'!N244</f>
        <v>478485</v>
      </c>
      <c r="O244" s="25"/>
      <c r="P244" s="22"/>
      <c r="Q244" s="61">
        <v>45</v>
      </c>
      <c r="R244" s="26"/>
      <c r="S244" s="22">
        <f t="shared" si="4"/>
        <v>0</v>
      </c>
      <c r="T244" s="22"/>
      <c r="U244" s="31"/>
      <c r="V244" s="51"/>
    </row>
    <row r="245" spans="1:22" ht="20.100000000000001" customHeight="1" x14ac:dyDescent="0.3">
      <c r="A245" s="44">
        <v>237</v>
      </c>
      <c r="B245" s="22">
        <f>+'Order Details Apr23-Mar24'!P245</f>
        <v>45321</v>
      </c>
      <c r="C245" s="23"/>
      <c r="D245" s="53" t="str">
        <f>+'Order Details Apr23-Mar24'!T245</f>
        <v>Venkateshwara Hatcheries Ltd</v>
      </c>
      <c r="E245" s="25"/>
      <c r="F245" s="183" t="str">
        <f>+'Order Details Apr23-Mar24'!D245</f>
        <v>IBD KILLED VAC (Venkys)</v>
      </c>
      <c r="G245" s="184"/>
      <c r="H245" s="26" t="str">
        <f>+'Order Details Apr23-Mar24'!G245</f>
        <v>Dose</v>
      </c>
      <c r="I245" s="27">
        <f>+'Order Details Apr23-Mar24'!I245</f>
        <v>223000</v>
      </c>
      <c r="J245" s="28"/>
      <c r="K245" s="185" t="str">
        <f>+'Order Details Apr23-Mar24'!R245</f>
        <v>PO / NBF / 300124 / 161</v>
      </c>
      <c r="L245" s="186"/>
      <c r="M245" s="187"/>
      <c r="N245" s="100">
        <f>+'Order Details Apr23-Mar24'!F245*'Order Details Apr23-Mar24'!N245</f>
        <v>209798.39999999999</v>
      </c>
      <c r="O245" s="25"/>
      <c r="P245" s="22"/>
      <c r="Q245" s="61">
        <v>45</v>
      </c>
      <c r="R245" s="26"/>
      <c r="S245" s="22">
        <f t="shared" si="4"/>
        <v>0</v>
      </c>
      <c r="T245" s="22"/>
      <c r="U245" s="31"/>
      <c r="V245" s="51"/>
    </row>
    <row r="246" spans="1:22" ht="20.100000000000001" customHeight="1" x14ac:dyDescent="0.3">
      <c r="A246" s="44">
        <v>238</v>
      </c>
      <c r="B246" s="22">
        <f>+'Order Details Apr23-Mar24'!P246</f>
        <v>45321</v>
      </c>
      <c r="C246" s="23"/>
      <c r="D246" s="53" t="str">
        <f>+'Order Details Apr23-Mar24'!T246</f>
        <v>Venkateshwara Hatcheries Ltd</v>
      </c>
      <c r="E246" s="25"/>
      <c r="F246" s="183" t="str">
        <f>+'Order Details Apr23-Mar24'!D246</f>
        <v>IBH KILLED VAC (Venkys)</v>
      </c>
      <c r="G246" s="184"/>
      <c r="H246" s="26" t="str">
        <f>+'Order Details Apr23-Mar24'!G246</f>
        <v>Dose</v>
      </c>
      <c r="I246" s="27">
        <f>+'Order Details Apr23-Mar24'!I246</f>
        <v>89000</v>
      </c>
      <c r="J246" s="28"/>
      <c r="K246" s="185" t="str">
        <f>+'Order Details Apr23-Mar24'!R246</f>
        <v>PO / NBF / 300124 / 161</v>
      </c>
      <c r="L246" s="186"/>
      <c r="M246" s="187"/>
      <c r="N246" s="100">
        <f>+'Order Details Apr23-Mar24'!F246*'Order Details Apr23-Mar24'!N246</f>
        <v>147183.75</v>
      </c>
      <c r="O246" s="25"/>
      <c r="P246" s="22"/>
      <c r="Q246" s="61">
        <v>45</v>
      </c>
      <c r="R246" s="26"/>
      <c r="S246" s="22">
        <f t="shared" si="4"/>
        <v>0</v>
      </c>
      <c r="T246" s="22"/>
      <c r="U246" s="31"/>
      <c r="V246" s="51"/>
    </row>
    <row r="247" spans="1:22" ht="20.100000000000001" customHeight="1" x14ac:dyDescent="0.3">
      <c r="A247" s="44">
        <v>239</v>
      </c>
      <c r="B247" s="22">
        <f>+'Order Details Apr23-Mar24'!P247</f>
        <v>45321</v>
      </c>
      <c r="C247" s="23"/>
      <c r="D247" s="53" t="str">
        <f>+'Order Details Apr23-Mar24'!T247</f>
        <v>Venkateshwara Hatcheries Ltd</v>
      </c>
      <c r="E247" s="25"/>
      <c r="F247" s="183" t="str">
        <f>+'Order Details Apr23-Mar24'!D247</f>
        <v>MG KILLED VAC (Venkys)</v>
      </c>
      <c r="G247" s="184"/>
      <c r="H247" s="26" t="str">
        <f>+'Order Details Apr23-Mar24'!G247</f>
        <v>Dose</v>
      </c>
      <c r="I247" s="27">
        <f>+'Order Details Apr23-Mar24'!I247</f>
        <v>91000</v>
      </c>
      <c r="J247" s="28"/>
      <c r="K247" s="185" t="str">
        <f>+'Order Details Apr23-Mar24'!R247</f>
        <v>PO / NBF / 300124 / 161</v>
      </c>
      <c r="L247" s="186"/>
      <c r="M247" s="187"/>
      <c r="N247" s="100">
        <f>+'Order Details Apr23-Mar24'!F247*'Order Details Apr23-Mar24'!N247</f>
        <v>401310</v>
      </c>
      <c r="O247" s="25"/>
      <c r="P247" s="22"/>
      <c r="Q247" s="61">
        <v>45</v>
      </c>
      <c r="R247" s="26"/>
      <c r="S247" s="22">
        <f t="shared" si="4"/>
        <v>0</v>
      </c>
      <c r="T247" s="22"/>
      <c r="U247" s="31"/>
      <c r="V247" s="51"/>
    </row>
    <row r="248" spans="1:22" ht="20.100000000000001" customHeight="1" x14ac:dyDescent="0.3">
      <c r="A248" s="44">
        <v>240</v>
      </c>
      <c r="B248" s="22">
        <f>+'Order Details Apr23-Mar24'!P248</f>
        <v>45321</v>
      </c>
      <c r="C248" s="23"/>
      <c r="D248" s="53" t="str">
        <f>+'Order Details Apr23-Mar24'!T248</f>
        <v>Venkateshwara Hatcheries Ltd</v>
      </c>
      <c r="E248" s="25"/>
      <c r="F248" s="183" t="str">
        <f>+'Order Details Apr23-Mar24'!D248</f>
        <v>REO KILLED VAC (Venkys)</v>
      </c>
      <c r="G248" s="184"/>
      <c r="H248" s="26" t="str">
        <f>+'Order Details Apr23-Mar24'!G248</f>
        <v>Dose</v>
      </c>
      <c r="I248" s="27">
        <f>+'Order Details Apr23-Mar24'!I248</f>
        <v>51000</v>
      </c>
      <c r="J248" s="28"/>
      <c r="K248" s="185" t="str">
        <f>+'Order Details Apr23-Mar24'!R248</f>
        <v>PO / NBF / 300124 / 161</v>
      </c>
      <c r="L248" s="186"/>
      <c r="M248" s="187"/>
      <c r="N248" s="100">
        <f>+'Order Details Apr23-Mar24'!F248*'Order Details Apr23-Mar24'!N248</f>
        <v>108224.55</v>
      </c>
      <c r="O248" s="25"/>
      <c r="P248" s="22"/>
      <c r="Q248" s="61">
        <v>45</v>
      </c>
      <c r="R248" s="26"/>
      <c r="S248" s="22">
        <f t="shared" si="4"/>
        <v>0</v>
      </c>
      <c r="T248" s="22"/>
      <c r="U248" s="31"/>
      <c r="V248" s="51"/>
    </row>
    <row r="249" spans="1:22" ht="20.100000000000001" customHeight="1" x14ac:dyDescent="0.3">
      <c r="A249" s="44">
        <v>241</v>
      </c>
      <c r="B249" s="22">
        <f>+'Order Details Apr23-Mar24'!P249</f>
        <v>45321</v>
      </c>
      <c r="C249" s="23"/>
      <c r="D249" s="53" t="str">
        <f>+'Order Details Apr23-Mar24'!T249</f>
        <v>Venkateshwara Hatcheries Ltd</v>
      </c>
      <c r="E249" s="25"/>
      <c r="F249" s="183" t="str">
        <f>+'Order Details Apr23-Mar24'!D249</f>
        <v>SALMONELLA KILLED VAC</v>
      </c>
      <c r="G249" s="184"/>
      <c r="H249" s="26" t="str">
        <f>+'Order Details Apr23-Mar24'!G249</f>
        <v>Dose</v>
      </c>
      <c r="I249" s="27">
        <f>+'Order Details Apr23-Mar24'!I249</f>
        <v>51000</v>
      </c>
      <c r="J249" s="28"/>
      <c r="K249" s="185" t="str">
        <f>+'Order Details Apr23-Mar24'!R249</f>
        <v>PO / NBF / 300124 / 161</v>
      </c>
      <c r="L249" s="186"/>
      <c r="M249" s="187"/>
      <c r="N249" s="100">
        <f>+'Order Details Apr23-Mar24'!F249*'Order Details Apr23-Mar24'!N249</f>
        <v>151814.25</v>
      </c>
      <c r="O249" s="25"/>
      <c r="P249" s="22"/>
      <c r="Q249" s="61">
        <v>45</v>
      </c>
      <c r="R249" s="26"/>
      <c r="S249" s="22">
        <f t="shared" si="4"/>
        <v>0</v>
      </c>
      <c r="T249" s="22"/>
      <c r="U249" s="31"/>
      <c r="V249" s="51"/>
    </row>
    <row r="250" spans="1:22" ht="20.100000000000001" customHeight="1" x14ac:dyDescent="0.3">
      <c r="A250" s="44">
        <v>242</v>
      </c>
      <c r="B250" s="22">
        <f>+'Order Details Apr23-Mar24'!P250</f>
        <v>45321</v>
      </c>
      <c r="C250" s="23"/>
      <c r="D250" s="53" t="str">
        <f>+'Order Details Apr23-Mar24'!T250</f>
        <v>Venkateshwara Hatcheries Ltd</v>
      </c>
      <c r="E250" s="25"/>
      <c r="F250" s="183" t="str">
        <f>+'Order Details Apr23-Mar24'!D250</f>
        <v>Veennewbro (ND+IB Multi) KILLED VAC</v>
      </c>
      <c r="G250" s="184"/>
      <c r="H250" s="26" t="str">
        <f>+'Order Details Apr23-Mar24'!G250</f>
        <v>Dose</v>
      </c>
      <c r="I250" s="27">
        <f>+'Order Details Apr23-Mar24'!I250</f>
        <v>45000</v>
      </c>
      <c r="J250" s="28"/>
      <c r="K250" s="185" t="str">
        <f>+'Order Details Apr23-Mar24'!R250</f>
        <v>PO / NBF / 300124 / 161</v>
      </c>
      <c r="L250" s="186"/>
      <c r="M250" s="187"/>
      <c r="N250" s="100">
        <f>+'Order Details Apr23-Mar24'!F250*'Order Details Apr23-Mar24'!N250</f>
        <v>148601.25</v>
      </c>
      <c r="O250" s="25"/>
      <c r="P250" s="22"/>
      <c r="Q250" s="61">
        <v>45</v>
      </c>
      <c r="R250" s="26"/>
      <c r="S250" s="22">
        <f t="shared" si="4"/>
        <v>0</v>
      </c>
      <c r="T250" s="22"/>
      <c r="U250" s="31"/>
      <c r="V250" s="51"/>
    </row>
    <row r="251" spans="1:22" ht="20.100000000000001" customHeight="1" x14ac:dyDescent="0.3">
      <c r="A251" s="44">
        <v>243</v>
      </c>
      <c r="B251" s="22">
        <f>+'Order Details Apr23-Mar24'!P251</f>
        <v>45321</v>
      </c>
      <c r="C251" s="23"/>
      <c r="D251" s="53" t="str">
        <f>+'Order Details Apr23-Mar24'!T251</f>
        <v>Venkateshwara Hatcheries Ltd</v>
      </c>
      <c r="E251" s="25"/>
      <c r="F251" s="183" t="str">
        <f>+'Order Details Apr23-Mar24'!D251</f>
        <v>VH V- 4K (4way) KILLED VAC</v>
      </c>
      <c r="G251" s="184"/>
      <c r="H251" s="26" t="str">
        <f>+'Order Details Apr23-Mar24'!G251</f>
        <v>Dose</v>
      </c>
      <c r="I251" s="27">
        <f>+'Order Details Apr23-Mar24'!I251</f>
        <v>89000</v>
      </c>
      <c r="J251" s="28"/>
      <c r="K251" s="185" t="str">
        <f>+'Order Details Apr23-Mar24'!R251</f>
        <v>PO / NBF / 300124 / 161</v>
      </c>
      <c r="L251" s="186"/>
      <c r="M251" s="187"/>
      <c r="N251" s="100">
        <f>+'Order Details Apr23-Mar24'!F251*'Order Details Apr23-Mar24'!N251</f>
        <v>490612.5</v>
      </c>
      <c r="O251" s="25"/>
      <c r="P251" s="22"/>
      <c r="Q251" s="61">
        <v>45</v>
      </c>
      <c r="R251" s="26"/>
      <c r="S251" s="22">
        <f t="shared" ref="S251:S300" si="5">P251+R251</f>
        <v>0</v>
      </c>
      <c r="T251" s="22"/>
      <c r="U251" s="31"/>
      <c r="V251" s="51"/>
    </row>
    <row r="252" spans="1:22" ht="20.100000000000001" customHeight="1" x14ac:dyDescent="0.3">
      <c r="A252" s="44">
        <v>244</v>
      </c>
      <c r="B252" s="22">
        <f>+'Order Details Apr23-Mar24'!P252</f>
        <v>45321</v>
      </c>
      <c r="C252" s="23"/>
      <c r="D252" s="53" t="str">
        <f>+'Order Details Apr23-Mar24'!T252</f>
        <v>Venkateshwara Marketing, Hyd</v>
      </c>
      <c r="E252" s="25"/>
      <c r="F252" s="183" t="str">
        <f>+'Order Details Apr23-Mar24'!D252</f>
        <v>Nobilis CAV P-4 Live Vaccine (MSD)</v>
      </c>
      <c r="G252" s="184"/>
      <c r="H252" s="26" t="str">
        <f>+'Order Details Apr23-Mar24'!G252</f>
        <v>Dose</v>
      </c>
      <c r="I252" s="27">
        <f>+'Order Details Apr23-Mar24'!I252</f>
        <v>51000</v>
      </c>
      <c r="J252" s="28"/>
      <c r="K252" s="185" t="str">
        <f>+'Order Details Apr23-Mar24'!R252</f>
        <v>PO / NBF / 300124 / 162</v>
      </c>
      <c r="L252" s="186"/>
      <c r="M252" s="187"/>
      <c r="N252" s="100">
        <f>+'Order Details Apr23-Mar24'!F252*'Order Details Apr23-Mar24'!N252</f>
        <v>337365</v>
      </c>
      <c r="O252" s="25"/>
      <c r="P252" s="22"/>
      <c r="Q252" s="26">
        <v>45</v>
      </c>
      <c r="R252" s="26"/>
      <c r="S252" s="22">
        <f t="shared" si="5"/>
        <v>0</v>
      </c>
      <c r="T252" s="22"/>
      <c r="U252" s="31"/>
      <c r="V252" s="51"/>
    </row>
    <row r="253" spans="1:22" ht="20.100000000000001" customHeight="1" x14ac:dyDescent="0.3">
      <c r="A253" s="44">
        <v>245</v>
      </c>
      <c r="B253" s="22">
        <f>+'Order Details Apr23-Mar24'!P253</f>
        <v>45324</v>
      </c>
      <c r="C253" s="23"/>
      <c r="D253" s="53" t="str">
        <f>+'Order Details Apr23-Mar24'!T253</f>
        <v>Das Drug Centre Pvt Ltd, Habra</v>
      </c>
      <c r="E253" s="25"/>
      <c r="F253" s="183" t="str">
        <f>+'Order Details Apr23-Mar24'!D253</f>
        <v>STODI (Natural Remedies)</v>
      </c>
      <c r="G253" s="184"/>
      <c r="H253" s="26" t="str">
        <f>+'Order Details Apr23-Mar24'!G253</f>
        <v>Kg</v>
      </c>
      <c r="I253" s="27">
        <f>+'Order Details Apr23-Mar24'!I253</f>
        <v>500</v>
      </c>
      <c r="J253" s="28"/>
      <c r="K253" s="185" t="str">
        <f>+'Order Details Apr23-Mar24'!R253</f>
        <v>PO / NBF / 020224 / 163</v>
      </c>
      <c r="L253" s="186"/>
      <c r="M253" s="187"/>
      <c r="N253" s="100">
        <f>+'Order Details Apr23-Mar24'!F253*'Order Details Apr23-Mar24'!N253</f>
        <v>35500</v>
      </c>
      <c r="O253" s="25"/>
      <c r="P253" s="22"/>
      <c r="Q253" s="26">
        <v>45</v>
      </c>
      <c r="R253" s="26"/>
      <c r="S253" s="22">
        <f t="shared" si="5"/>
        <v>0</v>
      </c>
      <c r="T253" s="22"/>
      <c r="U253" s="31"/>
      <c r="V253" s="51"/>
    </row>
    <row r="254" spans="1:22" ht="20.100000000000001" customHeight="1" x14ac:dyDescent="0.3">
      <c r="A254" s="44">
        <v>246</v>
      </c>
      <c r="B254" s="22">
        <f>+'Order Details Apr23-Mar24'!P254</f>
        <v>45332</v>
      </c>
      <c r="C254" s="23"/>
      <c r="D254" s="53" t="str">
        <f>+'Order Details Apr23-Mar24'!T254</f>
        <v>Alivira Animal Health Ltd</v>
      </c>
      <c r="E254" s="25"/>
      <c r="F254" s="183" t="str">
        <f>+'Order Details Apr23-Mar24'!D254</f>
        <v>TRITYL- 62.5 (Alivira)</v>
      </c>
      <c r="G254" s="184"/>
      <c r="H254" s="26" t="str">
        <f>+'Order Details Apr23-Mar24'!G254</f>
        <v>Gms</v>
      </c>
      <c r="I254" s="27">
        <f>+'Order Details Apr23-Mar24'!I254</f>
        <v>16000</v>
      </c>
      <c r="J254" s="28"/>
      <c r="K254" s="185" t="str">
        <f>+'Order Details Apr23-Mar24'!R254</f>
        <v>PO / NBF / 100224 / 164</v>
      </c>
      <c r="L254" s="186"/>
      <c r="M254" s="187"/>
      <c r="N254" s="100">
        <f>+'Order Details Apr23-Mar24'!F254*'Order Details Apr23-Mar24'!N254</f>
        <v>383040</v>
      </c>
      <c r="O254" s="25"/>
      <c r="P254" s="22"/>
      <c r="Q254" s="26">
        <v>45</v>
      </c>
      <c r="R254" s="26"/>
      <c r="S254" s="22">
        <f t="shared" si="5"/>
        <v>0</v>
      </c>
      <c r="T254" s="22"/>
      <c r="U254" s="31"/>
      <c r="V254" s="51"/>
    </row>
    <row r="255" spans="1:22" ht="20.100000000000001" customHeight="1" x14ac:dyDescent="0.3">
      <c r="A255" s="44">
        <v>247</v>
      </c>
      <c r="B255" s="22">
        <f>+'Order Details Apr23-Mar24'!P255</f>
        <v>45332</v>
      </c>
      <c r="C255" s="23"/>
      <c r="D255" s="53" t="str">
        <f>+'Order Details Apr23-Mar24'!T255</f>
        <v>B V Biocrop, Hitech Division</v>
      </c>
      <c r="E255" s="25"/>
      <c r="F255" s="183" t="str">
        <f>+'Order Details Apr23-Mar24'!D255</f>
        <v>AQUAMAX (BV Biocrop)</v>
      </c>
      <c r="G255" s="184"/>
      <c r="H255" s="26" t="str">
        <f>+'Order Details Apr23-Mar24'!G255</f>
        <v>Ltr</v>
      </c>
      <c r="I255" s="27">
        <f>+'Order Details Apr23-Mar24'!I255</f>
        <v>100</v>
      </c>
      <c r="J255" s="28"/>
      <c r="K255" s="185" t="str">
        <f>+'Order Details Apr23-Mar24'!R255</f>
        <v>PO / NBF / 100224 / 165</v>
      </c>
      <c r="L255" s="186"/>
      <c r="M255" s="187"/>
      <c r="N255" s="100">
        <f>+'Order Details Apr23-Mar24'!F255*'Order Details Apr23-Mar24'!N255</f>
        <v>10785.2</v>
      </c>
      <c r="O255" s="25"/>
      <c r="P255" s="22"/>
      <c r="Q255" s="61">
        <v>45</v>
      </c>
      <c r="R255" s="26"/>
      <c r="S255" s="22">
        <f t="shared" si="5"/>
        <v>0</v>
      </c>
      <c r="T255" s="22"/>
      <c r="U255" s="31"/>
      <c r="V255" s="51"/>
    </row>
    <row r="256" spans="1:22" ht="20.100000000000001" customHeight="1" x14ac:dyDescent="0.3">
      <c r="A256" s="44">
        <v>248</v>
      </c>
      <c r="B256" s="22">
        <f>+'Order Details Apr23-Mar24'!P256</f>
        <v>45332</v>
      </c>
      <c r="C256" s="23"/>
      <c r="D256" s="53" t="str">
        <f>+'Order Details Apr23-Mar24'!T256</f>
        <v>B V Biocrop, Hitech Division</v>
      </c>
      <c r="E256" s="25"/>
      <c r="F256" s="183" t="str">
        <f>+'Order Details Apr23-Mar24'!D256</f>
        <v>BVCLO2 (10 Gms) TAB (BV Biocrop)</v>
      </c>
      <c r="G256" s="184"/>
      <c r="H256" s="26" t="str">
        <f>+'Order Details Apr23-Mar24'!G256</f>
        <v>Pcs</v>
      </c>
      <c r="I256" s="27">
        <f>+'Order Details Apr23-Mar24'!I256</f>
        <v>2000</v>
      </c>
      <c r="J256" s="28"/>
      <c r="K256" s="185" t="str">
        <f>+'Order Details Apr23-Mar24'!R256</f>
        <v>PO / NBF / 100224 / 165</v>
      </c>
      <c r="L256" s="186"/>
      <c r="M256" s="187"/>
      <c r="N256" s="100">
        <f>+'Order Details Apr23-Mar24'!F256*'Order Details Apr23-Mar24'!N256</f>
        <v>47200</v>
      </c>
      <c r="O256" s="25"/>
      <c r="P256" s="22"/>
      <c r="Q256" s="61">
        <v>45</v>
      </c>
      <c r="R256" s="26"/>
      <c r="S256" s="22">
        <f t="shared" si="5"/>
        <v>0</v>
      </c>
      <c r="T256" s="22"/>
      <c r="U256" s="31"/>
      <c r="V256" s="51"/>
    </row>
    <row r="257" spans="1:22" ht="20.100000000000001" customHeight="1" x14ac:dyDescent="0.3">
      <c r="A257" s="44">
        <v>249</v>
      </c>
      <c r="B257" s="22">
        <f>+'Order Details Apr23-Mar24'!P257</f>
        <v>45332</v>
      </c>
      <c r="C257" s="23"/>
      <c r="D257" s="53" t="str">
        <f>+'Order Details Apr23-Mar24'!T257</f>
        <v>B V Biocrop, Hitech Division</v>
      </c>
      <c r="E257" s="25"/>
      <c r="F257" s="183" t="str">
        <f>+'Order Details Apr23-Mar24'!D257</f>
        <v>CPG-100 (BV Biocrop)</v>
      </c>
      <c r="G257" s="184"/>
      <c r="H257" s="26" t="str">
        <f>+'Order Details Apr23-Mar24'!G257</f>
        <v>Ltr</v>
      </c>
      <c r="I257" s="27">
        <f>+'Order Details Apr23-Mar24'!I257</f>
        <v>100</v>
      </c>
      <c r="J257" s="28"/>
      <c r="K257" s="185" t="str">
        <f>+'Order Details Apr23-Mar24'!R257</f>
        <v>PO / NBF / 100224 / 165</v>
      </c>
      <c r="L257" s="186"/>
      <c r="M257" s="187"/>
      <c r="N257" s="100">
        <f>+'Order Details Apr23-Mar24'!F257*'Order Details Apr23-Mar24'!N257</f>
        <v>10384</v>
      </c>
      <c r="O257" s="25"/>
      <c r="P257" s="22"/>
      <c r="Q257" s="61">
        <v>45</v>
      </c>
      <c r="R257" s="26"/>
      <c r="S257" s="22">
        <f t="shared" si="5"/>
        <v>0</v>
      </c>
      <c r="T257" s="22"/>
      <c r="U257" s="31"/>
      <c r="V257" s="51"/>
    </row>
    <row r="258" spans="1:22" ht="20.100000000000001" customHeight="1" x14ac:dyDescent="0.3">
      <c r="A258" s="44">
        <v>250</v>
      </c>
      <c r="B258" s="22">
        <f>+'Order Details Apr23-Mar24'!P258</f>
        <v>45332</v>
      </c>
      <c r="C258" s="23"/>
      <c r="D258" s="53" t="str">
        <f>+'Order Details Apr23-Mar24'!T258</f>
        <v>B V Biocrop, Hitech Division</v>
      </c>
      <c r="E258" s="25"/>
      <c r="F258" s="183" t="str">
        <f>+'Order Details Apr23-Mar24'!D258</f>
        <v>SAFEGARD (BV Biocrop)</v>
      </c>
      <c r="G258" s="184"/>
      <c r="H258" s="26" t="str">
        <f>+'Order Details Apr23-Mar24'!G258</f>
        <v>Ltr</v>
      </c>
      <c r="I258" s="27">
        <f>+'Order Details Apr23-Mar24'!I258</f>
        <v>100</v>
      </c>
      <c r="J258" s="28"/>
      <c r="K258" s="185" t="str">
        <f>+'Order Details Apr23-Mar24'!R258</f>
        <v>PO / NBF / 100224 / 165</v>
      </c>
      <c r="L258" s="186"/>
      <c r="M258" s="187"/>
      <c r="N258" s="100">
        <f>+'Order Details Apr23-Mar24'!F258*'Order Details Apr23-Mar24'!N258</f>
        <v>26856.799999999999</v>
      </c>
      <c r="O258" s="25"/>
      <c r="P258" s="22"/>
      <c r="Q258" s="61">
        <v>45</v>
      </c>
      <c r="R258" s="26"/>
      <c r="S258" s="22">
        <f t="shared" si="5"/>
        <v>0</v>
      </c>
      <c r="T258" s="22"/>
      <c r="U258" s="31"/>
      <c r="V258" s="51"/>
    </row>
    <row r="259" spans="1:22" ht="20.100000000000001" customHeight="1" x14ac:dyDescent="0.3">
      <c r="A259" s="44">
        <v>251</v>
      </c>
      <c r="B259" s="22">
        <f>+'Order Details Apr23-Mar24'!P259</f>
        <v>45332</v>
      </c>
      <c r="C259" s="23"/>
      <c r="D259" s="53" t="str">
        <f>+'Order Details Apr23-Mar24'!T259</f>
        <v>B V Biocrop, Hitech Division</v>
      </c>
      <c r="E259" s="25"/>
      <c r="F259" s="183" t="str">
        <f>+'Order Details Apr23-Mar24'!D259</f>
        <v>VACCSURE (20 Gram) TAB</v>
      </c>
      <c r="G259" s="184"/>
      <c r="H259" s="26" t="str">
        <f>+'Order Details Apr23-Mar24'!G259</f>
        <v>Pcs</v>
      </c>
      <c r="I259" s="27">
        <f>+'Order Details Apr23-Mar24'!I259</f>
        <v>400</v>
      </c>
      <c r="J259" s="28"/>
      <c r="K259" s="185" t="str">
        <f>+'Order Details Apr23-Mar24'!R259</f>
        <v>PO / NBF / 100224 / 165</v>
      </c>
      <c r="L259" s="186"/>
      <c r="M259" s="187"/>
      <c r="N259" s="100">
        <f>+'Order Details Apr23-Mar24'!F259*'Order Details Apr23-Mar24'!N259</f>
        <v>30094.720000000001</v>
      </c>
      <c r="O259" s="25"/>
      <c r="P259" s="22"/>
      <c r="Q259" s="61">
        <v>45</v>
      </c>
      <c r="R259" s="26"/>
      <c r="S259" s="22">
        <f t="shared" si="5"/>
        <v>0</v>
      </c>
      <c r="T259" s="22"/>
      <c r="U259" s="31"/>
      <c r="V259" s="51"/>
    </row>
    <row r="260" spans="1:22" ht="20.100000000000001" customHeight="1" x14ac:dyDescent="0.3">
      <c r="A260" s="44">
        <v>252</v>
      </c>
      <c r="B260" s="22">
        <f>+'Order Details Apr23-Mar24'!P260</f>
        <v>45332</v>
      </c>
      <c r="C260" s="23"/>
      <c r="D260" s="53" t="str">
        <f>+'Order Details Apr23-Mar24'!T260</f>
        <v>Das Drug Centre Pvt Ltd, Habra</v>
      </c>
      <c r="E260" s="25"/>
      <c r="F260" s="183" t="str">
        <f>+'Order Details Apr23-Mar24'!D260</f>
        <v>ELECTROCARE PLUS (Cargill)</v>
      </c>
      <c r="G260" s="184"/>
      <c r="H260" s="26" t="str">
        <f>+'Order Details Apr23-Mar24'!G260</f>
        <v>Kg</v>
      </c>
      <c r="I260" s="27">
        <f>+'Order Details Apr23-Mar24'!I260</f>
        <v>100</v>
      </c>
      <c r="J260" s="28"/>
      <c r="K260" s="185" t="str">
        <f>+'Order Details Apr23-Mar24'!R260</f>
        <v>PO / NBF / 100224 / 166</v>
      </c>
      <c r="L260" s="186"/>
      <c r="M260" s="187"/>
      <c r="N260" s="100">
        <f>+'Order Details Apr23-Mar24'!F260*'Order Details Apr23-Mar24'!N260</f>
        <v>18900</v>
      </c>
      <c r="O260" s="25"/>
      <c r="P260" s="22"/>
      <c r="Q260" s="26">
        <v>45</v>
      </c>
      <c r="R260" s="26"/>
      <c r="S260" s="22">
        <f t="shared" si="5"/>
        <v>0</v>
      </c>
      <c r="T260" s="22"/>
      <c r="U260" s="31"/>
      <c r="V260" s="51"/>
    </row>
    <row r="261" spans="1:22" ht="20.100000000000001" customHeight="1" x14ac:dyDescent="0.3">
      <c r="A261" s="44">
        <v>253</v>
      </c>
      <c r="B261" s="22">
        <f>+'Order Details Apr23-Mar24'!P261</f>
        <v>45332</v>
      </c>
      <c r="C261" s="23"/>
      <c r="D261" s="53" t="str">
        <f>+'Order Details Apr23-Mar24'!T261</f>
        <v>Das Drug Centre Pvt Ltd, Habra</v>
      </c>
      <c r="E261" s="25"/>
      <c r="F261" s="183" t="str">
        <f>+'Order Details Apr23-Mar24'!D261</f>
        <v>KHORSOLIN-TH (Virbac)</v>
      </c>
      <c r="G261" s="184"/>
      <c r="H261" s="26" t="str">
        <f>+'Order Details Apr23-Mar24'!G261</f>
        <v>Ltr</v>
      </c>
      <c r="I261" s="27">
        <f>+'Order Details Apr23-Mar24'!I261</f>
        <v>60</v>
      </c>
      <c r="J261" s="28"/>
      <c r="K261" s="185" t="str">
        <f>+'Order Details Apr23-Mar24'!R261</f>
        <v>PO / NBF / 100224 / 166</v>
      </c>
      <c r="L261" s="186"/>
      <c r="M261" s="187"/>
      <c r="N261" s="100">
        <f>+'Order Details Apr23-Mar24'!F261*'Order Details Apr23-Mar24'!N261</f>
        <v>63803.8272</v>
      </c>
      <c r="O261" s="25"/>
      <c r="P261" s="22"/>
      <c r="Q261" s="26">
        <v>45</v>
      </c>
      <c r="R261" s="26"/>
      <c r="S261" s="22">
        <f t="shared" si="5"/>
        <v>0</v>
      </c>
      <c r="T261" s="22"/>
      <c r="U261" s="31"/>
      <c r="V261" s="51"/>
    </row>
    <row r="262" spans="1:22" ht="20.100000000000001" customHeight="1" x14ac:dyDescent="0.3">
      <c r="A262" s="44">
        <v>254</v>
      </c>
      <c r="B262" s="22">
        <f>+'Order Details Apr23-Mar24'!P262</f>
        <v>45332</v>
      </c>
      <c r="C262" s="23"/>
      <c r="D262" s="53" t="str">
        <f>+'Order Details Apr23-Mar24'!T262</f>
        <v>Das Drug Centre Pvt Ltd, Habra</v>
      </c>
      <c r="E262" s="25"/>
      <c r="F262" s="183" t="str">
        <f>+'Order Details Apr23-Mar24'!D262</f>
        <v>LEMASOL-P (Zenex-AH)</v>
      </c>
      <c r="G262" s="184"/>
      <c r="H262" s="26" t="str">
        <f>+'Order Details Apr23-Mar24'!G262</f>
        <v>Kg</v>
      </c>
      <c r="I262" s="27">
        <f>+'Order Details Apr23-Mar24'!I262</f>
        <v>20</v>
      </c>
      <c r="J262" s="28"/>
      <c r="K262" s="185" t="str">
        <f>+'Order Details Apr23-Mar24'!R262</f>
        <v>PO / NBF / 100224 / 166</v>
      </c>
      <c r="L262" s="186"/>
      <c r="M262" s="187"/>
      <c r="N262" s="100">
        <f>+'Order Details Apr23-Mar24'!F262*'Order Details Apr23-Mar24'!N262</f>
        <v>76339.199999999997</v>
      </c>
      <c r="O262" s="25"/>
      <c r="P262" s="22"/>
      <c r="Q262" s="26">
        <v>45</v>
      </c>
      <c r="R262" s="26"/>
      <c r="S262" s="22">
        <f t="shared" si="5"/>
        <v>0</v>
      </c>
      <c r="T262" s="22"/>
      <c r="U262" s="31"/>
      <c r="V262" s="51"/>
    </row>
    <row r="263" spans="1:22" ht="20.100000000000001" customHeight="1" x14ac:dyDescent="0.3">
      <c r="A263" s="44">
        <v>255</v>
      </c>
      <c r="B263" s="22">
        <f>+'Order Details Apr23-Mar24'!P263</f>
        <v>45332</v>
      </c>
      <c r="C263" s="23"/>
      <c r="D263" s="53" t="str">
        <f>+'Order Details Apr23-Mar24'!T263</f>
        <v>Das Drug Centre Pvt Ltd, Habra</v>
      </c>
      <c r="E263" s="25"/>
      <c r="F263" s="183" t="str">
        <f>+'Order Details Apr23-Mar24'!D263</f>
        <v>LIV-52 PROTEC (Himalaya)</v>
      </c>
      <c r="G263" s="184"/>
      <c r="H263" s="26" t="str">
        <f>+'Order Details Apr23-Mar24'!G263</f>
        <v>Ltr</v>
      </c>
      <c r="I263" s="27">
        <f>+'Order Details Apr23-Mar24'!I263</f>
        <v>100</v>
      </c>
      <c r="J263" s="28"/>
      <c r="K263" s="185" t="str">
        <f>+'Order Details Apr23-Mar24'!R263</f>
        <v>PO / NBF / 100224 / 166</v>
      </c>
      <c r="L263" s="186"/>
      <c r="M263" s="187"/>
      <c r="N263" s="100">
        <f>+'Order Details Apr23-Mar24'!F263*'Order Details Apr23-Mar24'!N263</f>
        <v>9900</v>
      </c>
      <c r="O263" s="25"/>
      <c r="P263" s="22"/>
      <c r="Q263" s="26">
        <v>45</v>
      </c>
      <c r="R263" s="26"/>
      <c r="S263" s="22">
        <f t="shared" si="5"/>
        <v>0</v>
      </c>
      <c r="T263" s="22"/>
      <c r="U263" s="31"/>
      <c r="V263" s="51"/>
    </row>
    <row r="264" spans="1:22" ht="20.100000000000001" customHeight="1" x14ac:dyDescent="0.3">
      <c r="A264" s="44">
        <v>256</v>
      </c>
      <c r="B264" s="22">
        <f>+'Order Details Apr23-Mar24'!P264</f>
        <v>45332</v>
      </c>
      <c r="C264" s="23"/>
      <c r="D264" s="53" t="str">
        <f>+'Order Details Apr23-Mar24'!T264</f>
        <v>Das Drug Centre Pvt Ltd, Habra</v>
      </c>
      <c r="E264" s="25"/>
      <c r="F264" s="183" t="str">
        <f>+'Order Details Apr23-Mar24'!D264</f>
        <v>OXY-LA Injection (Zenex-AH)</v>
      </c>
      <c r="G264" s="184"/>
      <c r="H264" s="26" t="str">
        <f>+'Order Details Apr23-Mar24'!G264</f>
        <v>Ml</v>
      </c>
      <c r="I264" s="27">
        <f>+'Order Details Apr23-Mar24'!I264</f>
        <v>10000</v>
      </c>
      <c r="J264" s="28"/>
      <c r="K264" s="185" t="str">
        <f>+'Order Details Apr23-Mar24'!R264</f>
        <v>PO / NBF / 100224 / 166</v>
      </c>
      <c r="L264" s="186"/>
      <c r="M264" s="187"/>
      <c r="N264" s="100">
        <f>+'Order Details Apr23-Mar24'!F264*'Order Details Apr23-Mar24'!N264</f>
        <v>25983.999999999996</v>
      </c>
      <c r="O264" s="25"/>
      <c r="P264" s="22"/>
      <c r="Q264" s="26">
        <v>45</v>
      </c>
      <c r="R264" s="26"/>
      <c r="S264" s="22">
        <f t="shared" si="5"/>
        <v>0</v>
      </c>
      <c r="T264" s="22"/>
      <c r="U264" s="31"/>
      <c r="V264" s="51"/>
    </row>
    <row r="265" spans="1:22" ht="20.100000000000001" customHeight="1" x14ac:dyDescent="0.3">
      <c r="A265" s="44">
        <v>257</v>
      </c>
      <c r="B265" s="22">
        <f>+'Order Details Apr23-Mar24'!P265</f>
        <v>45332</v>
      </c>
      <c r="C265" s="23"/>
      <c r="D265" s="53" t="str">
        <f>+'Order Details Apr23-Mar24'!T265</f>
        <v>Das Drug Centre Pvt Ltd, Habra</v>
      </c>
      <c r="E265" s="25"/>
      <c r="F265" s="183" t="str">
        <f>+'Order Details Apr23-Mar24'!D265</f>
        <v>STODI (Natural Remedies)</v>
      </c>
      <c r="G265" s="184"/>
      <c r="H265" s="26" t="str">
        <f>+'Order Details Apr23-Mar24'!G265</f>
        <v>Kg</v>
      </c>
      <c r="I265" s="27">
        <f>+'Order Details Apr23-Mar24'!I265</f>
        <v>500</v>
      </c>
      <c r="J265" s="28"/>
      <c r="K265" s="185" t="str">
        <f>+'Order Details Apr23-Mar24'!R265</f>
        <v>PO / NBF / 100224 / 166</v>
      </c>
      <c r="L265" s="186"/>
      <c r="M265" s="187"/>
      <c r="N265" s="100">
        <f>+'Order Details Apr23-Mar24'!F265*'Order Details Apr23-Mar24'!N265</f>
        <v>35500</v>
      </c>
      <c r="O265" s="25"/>
      <c r="P265" s="22"/>
      <c r="Q265" s="26">
        <v>45</v>
      </c>
      <c r="R265" s="26"/>
      <c r="S265" s="22">
        <f t="shared" si="5"/>
        <v>0</v>
      </c>
      <c r="T265" s="22"/>
      <c r="U265" s="31"/>
      <c r="V265" s="51"/>
    </row>
    <row r="266" spans="1:22" ht="20.100000000000001" customHeight="1" x14ac:dyDescent="0.3">
      <c r="A266" s="44">
        <v>258</v>
      </c>
      <c r="B266" s="22">
        <f>+'Order Details Apr23-Mar24'!P266</f>
        <v>45332</v>
      </c>
      <c r="C266" s="23"/>
      <c r="D266" s="53" t="str">
        <f>+'Order Details Apr23-Mar24'!T266</f>
        <v>Das Drug Centre Pvt Ltd, Habra</v>
      </c>
      <c r="E266" s="25"/>
      <c r="F266" s="183" t="str">
        <f>+'Order Details Apr23-Mar24'!D266</f>
        <v>TRYSIL (Kemin Inds.)</v>
      </c>
      <c r="G266" s="184"/>
      <c r="H266" s="26" t="str">
        <f>+'Order Details Apr23-Mar24'!G266</f>
        <v>Kg</v>
      </c>
      <c r="I266" s="27">
        <f>+'Order Details Apr23-Mar24'!I266</f>
        <v>60</v>
      </c>
      <c r="J266" s="28"/>
      <c r="K266" s="185" t="str">
        <f>+'Order Details Apr23-Mar24'!R266</f>
        <v>PO / NBF / 100224 / 166</v>
      </c>
      <c r="L266" s="186"/>
      <c r="M266" s="187"/>
      <c r="N266" s="100">
        <f>+'Order Details Apr23-Mar24'!F266*'Order Details Apr23-Mar24'!N266</f>
        <v>53910.66</v>
      </c>
      <c r="O266" s="25"/>
      <c r="P266" s="22"/>
      <c r="Q266" s="26">
        <v>45</v>
      </c>
      <c r="R266" s="26"/>
      <c r="S266" s="22">
        <f t="shared" si="5"/>
        <v>0</v>
      </c>
      <c r="T266" s="22"/>
      <c r="U266" s="31"/>
      <c r="V266" s="51"/>
    </row>
    <row r="267" spans="1:22" ht="20.100000000000001" customHeight="1" x14ac:dyDescent="0.3">
      <c r="A267" s="44">
        <v>259</v>
      </c>
      <c r="B267" s="22">
        <f>+'Order Details Apr23-Mar24'!P267</f>
        <v>45332</v>
      </c>
      <c r="C267" s="23"/>
      <c r="D267" s="53" t="str">
        <f>+'Order Details Apr23-Mar24'!T267</f>
        <v>Kemin Industries South Asia</v>
      </c>
      <c r="E267" s="25"/>
      <c r="F267" s="183" t="str">
        <f>+'Order Details Apr23-Mar24'!D267</f>
        <v>CLOSTAT-365 / 12 (Kemin Indus)</v>
      </c>
      <c r="G267" s="184"/>
      <c r="H267" s="26" t="str">
        <f>+'Order Details Apr23-Mar24'!G267</f>
        <v>Kg</v>
      </c>
      <c r="I267" s="27">
        <f>+'Order Details Apr23-Mar24'!I267</f>
        <v>300</v>
      </c>
      <c r="J267" s="28"/>
      <c r="K267" s="185" t="str">
        <f>+'Order Details Apr23-Mar24'!R267</f>
        <v>PO / NBF / 100224 / 167</v>
      </c>
      <c r="L267" s="186"/>
      <c r="M267" s="187"/>
      <c r="N267" s="100">
        <f>+'Order Details Apr23-Mar24'!F267*'Order Details Apr23-Mar24'!N267</f>
        <v>150000</v>
      </c>
      <c r="O267" s="25"/>
      <c r="P267" s="22"/>
      <c r="Q267" s="26">
        <v>45</v>
      </c>
      <c r="R267" s="26"/>
      <c r="S267" s="22">
        <f t="shared" si="5"/>
        <v>0</v>
      </c>
      <c r="T267" s="22"/>
      <c r="U267" s="31"/>
      <c r="V267" s="51"/>
    </row>
    <row r="268" spans="1:22" ht="20.100000000000001" customHeight="1" x14ac:dyDescent="0.3">
      <c r="A268" s="44">
        <v>260</v>
      </c>
      <c r="B268" s="22">
        <f>+'Order Details Apr23-Mar24'!P268</f>
        <v>45332</v>
      </c>
      <c r="C268" s="23"/>
      <c r="D268" s="53" t="str">
        <f>+'Order Details Apr23-Mar24'!T268</f>
        <v>Zeus Biotech Pvt Ltd, Mysore</v>
      </c>
      <c r="E268" s="25"/>
      <c r="F268" s="183" t="str">
        <f>+'Order Details Apr23-Mar24'!D268</f>
        <v>SELCON FORTE (Zeus Biotech)</v>
      </c>
      <c r="G268" s="184"/>
      <c r="H268" s="26" t="str">
        <f>+'Order Details Apr23-Mar24'!G268</f>
        <v>Kg</v>
      </c>
      <c r="I268" s="27">
        <f>+'Order Details Apr23-Mar24'!I268</f>
        <v>200</v>
      </c>
      <c r="J268" s="28"/>
      <c r="K268" s="185" t="str">
        <f>+'Order Details Apr23-Mar24'!R268</f>
        <v>PO / NBF / 100224 / 168</v>
      </c>
      <c r="L268" s="186"/>
      <c r="M268" s="187"/>
      <c r="N268" s="100">
        <f>+'Order Details Apr23-Mar24'!F268*'Order Details Apr23-Mar24'!N268</f>
        <v>80000</v>
      </c>
      <c r="O268" s="25"/>
      <c r="P268" s="22"/>
      <c r="Q268" s="87">
        <v>45</v>
      </c>
      <c r="R268" s="26"/>
      <c r="S268" s="22">
        <f t="shared" si="5"/>
        <v>0</v>
      </c>
      <c r="T268" s="22"/>
      <c r="U268" s="31"/>
      <c r="V268" s="51"/>
    </row>
    <row r="269" spans="1:22" ht="20.100000000000001" customHeight="1" x14ac:dyDescent="0.3">
      <c r="A269" s="44">
        <v>261</v>
      </c>
      <c r="B269" s="22">
        <f>+'Order Details Apr23-Mar24'!P269</f>
        <v>45334</v>
      </c>
      <c r="C269" s="23"/>
      <c r="D269" s="53" t="str">
        <f>+'Order Details Apr23-Mar24'!T269</f>
        <v>APC Nutrients Limited</v>
      </c>
      <c r="E269" s="25"/>
      <c r="F269" s="183" t="str">
        <f>+'Order Details Apr23-Mar24'!D269</f>
        <v>VOLAMEL (Nukamel)</v>
      </c>
      <c r="G269" s="184"/>
      <c r="H269" s="26" t="str">
        <f>+'Order Details Apr23-Mar24'!G269</f>
        <v>Kg</v>
      </c>
      <c r="I269" s="27">
        <f>+'Order Details Apr23-Mar24'!I269</f>
        <v>500</v>
      </c>
      <c r="J269" s="28"/>
      <c r="K269" s="185" t="str">
        <f>+'Order Details Apr23-Mar24'!R269</f>
        <v>PO / NBF / 120224 / 169</v>
      </c>
      <c r="L269" s="186"/>
      <c r="M269" s="187"/>
      <c r="N269" s="100">
        <f>+'Order Details Apr23-Mar24'!F269*'Order Details Apr23-Mar24'!N269</f>
        <v>285000</v>
      </c>
      <c r="O269" s="25"/>
      <c r="P269" s="22"/>
      <c r="Q269" s="26">
        <v>7</v>
      </c>
      <c r="R269" s="26"/>
      <c r="S269" s="22">
        <f t="shared" si="5"/>
        <v>0</v>
      </c>
      <c r="T269" s="22"/>
      <c r="U269" s="31"/>
      <c r="V269" s="51"/>
    </row>
    <row r="270" spans="1:22" ht="20.100000000000001" customHeight="1" x14ac:dyDescent="0.3">
      <c r="A270" s="44">
        <v>262</v>
      </c>
      <c r="B270" s="22">
        <f>+'Order Details Apr23-Mar24'!P270</f>
        <v>45334</v>
      </c>
      <c r="C270" s="23"/>
      <c r="D270" s="53" t="str">
        <f>+'Order Details Apr23-Mar24'!T270</f>
        <v>P P &amp; B Mart Pvt Ltd, Habra</v>
      </c>
      <c r="E270" s="25"/>
      <c r="F270" s="183" t="str">
        <f>+'Order Details Apr23-Mar24'!D270</f>
        <v>MASTERSORB (EW Nutrition)</v>
      </c>
      <c r="G270" s="184"/>
      <c r="H270" s="26" t="str">
        <f>+'Order Details Apr23-Mar24'!G270</f>
        <v>Kg</v>
      </c>
      <c r="I270" s="27">
        <f>+'Order Details Apr23-Mar24'!I270</f>
        <v>500</v>
      </c>
      <c r="J270" s="28"/>
      <c r="K270" s="185" t="str">
        <f>+'Order Details Apr23-Mar24'!R270</f>
        <v>PO / NBF / 120224 / 170</v>
      </c>
      <c r="L270" s="186"/>
      <c r="M270" s="187"/>
      <c r="N270" s="100">
        <f>+'Order Details Apr23-Mar24'!F270*'Order Details Apr23-Mar24'!N270</f>
        <v>64000</v>
      </c>
      <c r="O270" s="25"/>
      <c r="P270" s="22"/>
      <c r="Q270" s="26">
        <v>45</v>
      </c>
      <c r="R270" s="26"/>
      <c r="S270" s="22">
        <f t="shared" si="5"/>
        <v>0</v>
      </c>
      <c r="T270" s="22"/>
      <c r="U270" s="31"/>
      <c r="V270" s="51"/>
    </row>
    <row r="271" spans="1:22" ht="20.100000000000001" customHeight="1" x14ac:dyDescent="0.3">
      <c r="A271" s="44">
        <v>263</v>
      </c>
      <c r="B271" s="22">
        <f>+'Order Details Apr23-Mar24'!P271</f>
        <v>45337</v>
      </c>
      <c r="C271" s="23"/>
      <c r="D271" s="53" t="str">
        <f>+'Order Details Apr23-Mar24'!T271</f>
        <v>B V Biocrop, Biotech Division</v>
      </c>
      <c r="E271" s="25"/>
      <c r="F271" s="183" t="str">
        <f>+'Order Details Apr23-Mar24'!D271</f>
        <v>LEVUCELL- SB (BV Biocrop)</v>
      </c>
      <c r="G271" s="184"/>
      <c r="H271" s="26" t="str">
        <f>+'Order Details Apr23-Mar24'!G271</f>
        <v>Kg</v>
      </c>
      <c r="I271" s="27">
        <f>+'Order Details Apr23-Mar24'!I271</f>
        <v>80</v>
      </c>
      <c r="J271" s="28"/>
      <c r="K271" s="185" t="str">
        <f>+'Order Details Apr23-Mar24'!R271</f>
        <v>PO / NBF / 150224 / 171</v>
      </c>
      <c r="L271" s="186"/>
      <c r="M271" s="187"/>
      <c r="N271" s="100">
        <f>+'Order Details Apr23-Mar24'!F271*'Order Details Apr23-Mar24'!N271</f>
        <v>34400</v>
      </c>
      <c r="O271" s="25"/>
      <c r="P271" s="22"/>
      <c r="Q271" s="61">
        <v>45</v>
      </c>
      <c r="R271" s="26"/>
      <c r="S271" s="22">
        <f t="shared" si="5"/>
        <v>0</v>
      </c>
      <c r="T271" s="22"/>
      <c r="U271" s="31"/>
      <c r="V271" s="51"/>
    </row>
    <row r="272" spans="1:22" ht="20.100000000000001" customHeight="1" x14ac:dyDescent="0.3">
      <c r="A272" s="44">
        <v>264</v>
      </c>
      <c r="B272" s="22">
        <f>+'Order Details Apr23-Mar24'!P272</f>
        <v>45338</v>
      </c>
      <c r="C272" s="23"/>
      <c r="D272" s="53" t="str">
        <f>+'Order Details Apr23-Mar24'!T272</f>
        <v>Sapience Agribusiness Cons LLP</v>
      </c>
      <c r="E272" s="25"/>
      <c r="F272" s="183" t="str">
        <f>+'Order Details Apr23-Mar24'!D272</f>
        <v>AO BIOTICS EQE (BioZyme)</v>
      </c>
      <c r="G272" s="184"/>
      <c r="H272" s="26" t="str">
        <f>+'Order Details Apr23-Mar24'!G272</f>
        <v>Kg</v>
      </c>
      <c r="I272" s="27">
        <f>+'Order Details Apr23-Mar24'!I272</f>
        <v>50</v>
      </c>
      <c r="J272" s="28"/>
      <c r="K272" s="185" t="str">
        <f>+'Order Details Apr23-Mar24'!R272</f>
        <v>PO / NBF / 160224 / 172</v>
      </c>
      <c r="L272" s="186"/>
      <c r="M272" s="187"/>
      <c r="N272" s="100">
        <f>+'Order Details Apr23-Mar24'!F272*'Order Details Apr23-Mar24'!N272</f>
        <v>177500</v>
      </c>
      <c r="O272" s="25"/>
      <c r="P272" s="22"/>
      <c r="Q272" s="26">
        <v>15</v>
      </c>
      <c r="R272" s="26"/>
      <c r="S272" s="22">
        <f t="shared" si="5"/>
        <v>0</v>
      </c>
      <c r="T272" s="22"/>
      <c r="U272" s="31"/>
      <c r="V272" s="51"/>
    </row>
    <row r="273" spans="1:22" ht="20.100000000000001" customHeight="1" x14ac:dyDescent="0.3">
      <c r="A273" s="44">
        <v>265</v>
      </c>
      <c r="B273" s="22">
        <f>+'Order Details Apr23-Mar24'!P273</f>
        <v>45346</v>
      </c>
      <c r="C273" s="23"/>
      <c r="D273" s="53" t="str">
        <f>+'Order Details Apr23-Mar24'!T273</f>
        <v>Das Drug Centre Pvt Ltd, Habra</v>
      </c>
      <c r="E273" s="25"/>
      <c r="F273" s="183" t="str">
        <f>+'Order Details Apr23-Mar24'!D273</f>
        <v>KOLIN PLUS (Natural Remedies)</v>
      </c>
      <c r="G273" s="184"/>
      <c r="H273" s="26" t="str">
        <f>+'Order Details Apr23-Mar24'!G273</f>
        <v>Kg</v>
      </c>
      <c r="I273" s="27">
        <f>+'Order Details Apr23-Mar24'!I273</f>
        <v>500</v>
      </c>
      <c r="J273" s="28"/>
      <c r="K273" s="185" t="str">
        <f>+'Order Details Apr23-Mar24'!R273</f>
        <v>PO / NBF / 240224 / 173</v>
      </c>
      <c r="L273" s="186"/>
      <c r="M273" s="187"/>
      <c r="N273" s="100">
        <f>+'Order Details Apr23-Mar24'!F273*'Order Details Apr23-Mar24'!N273</f>
        <v>35000</v>
      </c>
      <c r="O273" s="25"/>
      <c r="P273" s="22"/>
      <c r="Q273" s="26">
        <v>45</v>
      </c>
      <c r="R273" s="26"/>
      <c r="S273" s="22">
        <f t="shared" si="5"/>
        <v>0</v>
      </c>
      <c r="T273" s="22"/>
      <c r="U273" s="31"/>
      <c r="V273" s="51"/>
    </row>
    <row r="274" spans="1:22" ht="20.100000000000001" customHeight="1" x14ac:dyDescent="0.3">
      <c r="A274" s="44">
        <v>266</v>
      </c>
      <c r="B274" s="22">
        <f>+'Order Details Apr23-Mar24'!P274</f>
        <v>45346</v>
      </c>
      <c r="C274" s="23"/>
      <c r="D274" s="53" t="str">
        <f>+'Order Details Apr23-Mar24'!T274</f>
        <v>Das Drug Centre Pvt Ltd, Habra</v>
      </c>
      <c r="E274" s="25"/>
      <c r="F274" s="183" t="str">
        <f>+'Order Details Apr23-Mar24'!D274</f>
        <v>PHYTOCEE (Natural Remedies)</v>
      </c>
      <c r="G274" s="184"/>
      <c r="H274" s="26" t="str">
        <f>+'Order Details Apr23-Mar24'!G274</f>
        <v>Kg</v>
      </c>
      <c r="I274" s="27">
        <f>+'Order Details Apr23-Mar24'!I274</f>
        <v>500</v>
      </c>
      <c r="J274" s="28"/>
      <c r="K274" s="185" t="str">
        <f>+'Order Details Apr23-Mar24'!R274</f>
        <v>PO / NBF / 240224 / 173</v>
      </c>
      <c r="L274" s="186"/>
      <c r="M274" s="187"/>
      <c r="N274" s="100">
        <f>+'Order Details Apr23-Mar24'!F274*'Order Details Apr23-Mar24'!N274</f>
        <v>97000</v>
      </c>
      <c r="O274" s="25"/>
      <c r="P274" s="22"/>
      <c r="Q274" s="26">
        <v>45</v>
      </c>
      <c r="R274" s="26"/>
      <c r="S274" s="22">
        <f t="shared" si="5"/>
        <v>0</v>
      </c>
      <c r="T274" s="22"/>
      <c r="U274" s="31"/>
      <c r="V274" s="51"/>
    </row>
    <row r="275" spans="1:22" ht="20.100000000000001" customHeight="1" x14ac:dyDescent="0.3">
      <c r="A275" s="44">
        <v>267</v>
      </c>
      <c r="B275" s="22">
        <f>+'Order Details Apr23-Mar24'!P275</f>
        <v>45346</v>
      </c>
      <c r="C275" s="23"/>
      <c r="D275" s="53" t="str">
        <f>+'Order Details Apr23-Mar24'!T275</f>
        <v>Varsha Multitech, Bangallore</v>
      </c>
      <c r="E275" s="25"/>
      <c r="F275" s="183" t="str">
        <f>+'Order Details Apr23-Mar24'!D275</f>
        <v>HEPATOCARE PREMIX (Varsha)</v>
      </c>
      <c r="G275" s="184"/>
      <c r="H275" s="26" t="str">
        <f>+'Order Details Apr23-Mar24'!G275</f>
        <v>Kg</v>
      </c>
      <c r="I275" s="27">
        <f>+'Order Details Apr23-Mar24'!I275</f>
        <v>500</v>
      </c>
      <c r="J275" s="28"/>
      <c r="K275" s="185" t="str">
        <f>+'Order Details Apr23-Mar24'!R275</f>
        <v>PO / NBF / 240224 / 174</v>
      </c>
      <c r="L275" s="186"/>
      <c r="M275" s="187"/>
      <c r="N275" s="100">
        <f>+'Order Details Apr23-Mar24'!F275*'Order Details Apr23-Mar24'!N275</f>
        <v>25000</v>
      </c>
      <c r="O275" s="25"/>
      <c r="P275" s="22"/>
      <c r="Q275" s="26">
        <v>45</v>
      </c>
      <c r="R275" s="26"/>
      <c r="S275" s="22">
        <f t="shared" si="5"/>
        <v>0</v>
      </c>
      <c r="T275" s="22"/>
      <c r="U275" s="31"/>
      <c r="V275" s="51"/>
    </row>
    <row r="276" spans="1:22" ht="20.100000000000001" customHeight="1" x14ac:dyDescent="0.3">
      <c r="A276" s="44">
        <v>268</v>
      </c>
      <c r="B276" s="22">
        <f>+'Order Details Apr23-Mar24'!P276</f>
        <v>45348</v>
      </c>
      <c r="C276" s="23"/>
      <c r="D276" s="53" t="str">
        <f>+'Order Details Apr23-Mar24'!T276</f>
        <v>Das Drug Centre Pvt Ltd, Habra</v>
      </c>
      <c r="E276" s="25"/>
      <c r="F276" s="183" t="str">
        <f>+'Order Details Apr23-Mar24'!D276</f>
        <v>BRONCHIN KILLED (Zenex-AH)</v>
      </c>
      <c r="G276" s="184"/>
      <c r="H276" s="26" t="str">
        <f>+'Order Details Apr23-Mar24'!G276</f>
        <v>Dose</v>
      </c>
      <c r="I276" s="27">
        <f>+'Order Details Apr23-Mar24'!I276</f>
        <v>20000</v>
      </c>
      <c r="J276" s="28"/>
      <c r="K276" s="185" t="str">
        <f>+'Order Details Apr23-Mar24'!R276</f>
        <v>PO / NBF / 260224 / 175</v>
      </c>
      <c r="L276" s="186"/>
      <c r="M276" s="187"/>
      <c r="N276" s="100">
        <f>+'Order Details Apr23-Mar24'!F276*'Order Details Apr23-Mar24'!N276</f>
        <v>58212</v>
      </c>
      <c r="O276" s="25"/>
      <c r="P276" s="22"/>
      <c r="Q276" s="26">
        <v>45</v>
      </c>
      <c r="R276" s="26"/>
      <c r="S276" s="22">
        <f t="shared" si="5"/>
        <v>0</v>
      </c>
      <c r="T276" s="22"/>
      <c r="U276" s="31"/>
      <c r="V276" s="51"/>
    </row>
    <row r="277" spans="1:22" ht="20.100000000000001" customHeight="1" x14ac:dyDescent="0.3">
      <c r="A277" s="44">
        <v>269</v>
      </c>
      <c r="B277" s="22">
        <f>+'Order Details Apr23-Mar24'!P277</f>
        <v>45348</v>
      </c>
      <c r="C277" s="23"/>
      <c r="D277" s="53" t="str">
        <f>+'Order Details Apr23-Mar24'!T277</f>
        <v>Das Drug Centre Pvt Ltd, Habra</v>
      </c>
      <c r="E277" s="25"/>
      <c r="F277" s="183" t="str">
        <f>+'Order Details Apr23-Mar24'!D277</f>
        <v>KAYSOL FORTE (Cargill)</v>
      </c>
      <c r="G277" s="184"/>
      <c r="H277" s="26" t="str">
        <f>+'Order Details Apr23-Mar24'!G277</f>
        <v>Gms</v>
      </c>
      <c r="I277" s="27">
        <f>+'Order Details Apr23-Mar24'!I277</f>
        <v>4000</v>
      </c>
      <c r="J277" s="28"/>
      <c r="K277" s="185" t="str">
        <f>+'Order Details Apr23-Mar24'!R277</f>
        <v>PO / NBF / 260224 / 175</v>
      </c>
      <c r="L277" s="186"/>
      <c r="M277" s="187"/>
      <c r="N277" s="100">
        <f>+'Order Details Apr23-Mar24'!F277*'Order Details Apr23-Mar24'!N277</f>
        <v>5720</v>
      </c>
      <c r="O277" s="25"/>
      <c r="P277" s="22"/>
      <c r="Q277" s="26">
        <v>45</v>
      </c>
      <c r="R277" s="26"/>
      <c r="S277" s="22">
        <f t="shared" si="5"/>
        <v>0</v>
      </c>
      <c r="T277" s="22"/>
      <c r="U277" s="31"/>
      <c r="V277" s="51"/>
    </row>
    <row r="278" spans="1:22" ht="20.100000000000001" customHeight="1" x14ac:dyDescent="0.3">
      <c r="A278" s="44">
        <v>270</v>
      </c>
      <c r="B278" s="22">
        <f>+'Order Details Apr23-Mar24'!P278</f>
        <v>45348</v>
      </c>
      <c r="C278" s="23"/>
      <c r="D278" s="53" t="str">
        <f>+'Order Details Apr23-Mar24'!T278</f>
        <v>Das Drug Centre Pvt Ltd, Habra</v>
      </c>
      <c r="E278" s="25"/>
      <c r="F278" s="183" t="str">
        <f>+'Order Details Apr23-Mar24'!D278</f>
        <v>SELVO-BH (Alivira)</v>
      </c>
      <c r="G278" s="184"/>
      <c r="H278" s="26" t="str">
        <f>+'Order Details Apr23-Mar24'!G278</f>
        <v>Ltr</v>
      </c>
      <c r="I278" s="27">
        <f>+'Order Details Apr23-Mar24'!I278</f>
        <v>100</v>
      </c>
      <c r="J278" s="28"/>
      <c r="K278" s="185" t="str">
        <f>+'Order Details Apr23-Mar24'!R278</f>
        <v>PO / NBF / 260224 / 175</v>
      </c>
      <c r="L278" s="186"/>
      <c r="M278" s="187"/>
      <c r="N278" s="100">
        <f>+'Order Details Apr23-Mar24'!F278*'Order Details Apr23-Mar24'!N278</f>
        <v>103488.00000000001</v>
      </c>
      <c r="O278" s="25"/>
      <c r="P278" s="22"/>
      <c r="Q278" s="26">
        <v>45</v>
      </c>
      <c r="R278" s="26"/>
      <c r="S278" s="22">
        <f t="shared" si="5"/>
        <v>0</v>
      </c>
      <c r="T278" s="22"/>
      <c r="U278" s="31"/>
      <c r="V278" s="51"/>
    </row>
    <row r="279" spans="1:22" ht="20.100000000000001" customHeight="1" x14ac:dyDescent="0.3">
      <c r="A279" s="44">
        <v>271</v>
      </c>
      <c r="B279" s="22">
        <f>+'Order Details Apr23-Mar24'!P279</f>
        <v>45348</v>
      </c>
      <c r="C279" s="23"/>
      <c r="D279" s="53" t="str">
        <f>+'Order Details Apr23-Mar24'!T279</f>
        <v>Das Drug Centre Pvt Ltd, Habra</v>
      </c>
      <c r="E279" s="25"/>
      <c r="F279" s="183" t="str">
        <f>+'Order Details Apr23-Mar24'!D279</f>
        <v>VVANDOX (Vivan)</v>
      </c>
      <c r="G279" s="184"/>
      <c r="H279" s="26" t="str">
        <f>+'Order Details Apr23-Mar24'!G279</f>
        <v>Gms</v>
      </c>
      <c r="I279" s="27">
        <f>+'Order Details Apr23-Mar24'!I279</f>
        <v>20000</v>
      </c>
      <c r="J279" s="28"/>
      <c r="K279" s="185" t="str">
        <f>+'Order Details Apr23-Mar24'!R279</f>
        <v>PO / NBF / 260224 / 175</v>
      </c>
      <c r="L279" s="186"/>
      <c r="M279" s="187"/>
      <c r="N279" s="100">
        <f>+'Order Details Apr23-Mar24'!F279*'Order Details Apr23-Mar24'!N279</f>
        <v>35840</v>
      </c>
      <c r="O279" s="25"/>
      <c r="P279" s="22"/>
      <c r="Q279" s="26">
        <v>45</v>
      </c>
      <c r="R279" s="26"/>
      <c r="S279" s="22">
        <f t="shared" si="5"/>
        <v>0</v>
      </c>
      <c r="T279" s="22"/>
      <c r="U279" s="31"/>
      <c r="V279" s="51"/>
    </row>
    <row r="280" spans="1:22" ht="20.100000000000001" customHeight="1" x14ac:dyDescent="0.3">
      <c r="A280" s="44">
        <v>272</v>
      </c>
      <c r="B280" s="22">
        <f>+'Order Details Apr23-Mar24'!P280</f>
        <v>45348</v>
      </c>
      <c r="C280" s="23"/>
      <c r="D280" s="53" t="str">
        <f>+'Order Details Apr23-Mar24'!T280</f>
        <v>Hester Biosciences Limited</v>
      </c>
      <c r="E280" s="25"/>
      <c r="F280" s="183" t="str">
        <f>+'Order Details Apr23-Mar24'!D280</f>
        <v>ILT (G-10000) Live Vaccine</v>
      </c>
      <c r="G280" s="184"/>
      <c r="H280" s="26" t="str">
        <f>+'Order Details Apr23-Mar24'!G280</f>
        <v>Dose</v>
      </c>
      <c r="I280" s="27">
        <f>+'Order Details Apr23-Mar24'!I280</f>
        <v>40000</v>
      </c>
      <c r="J280" s="28"/>
      <c r="K280" s="185" t="str">
        <f>+'Order Details Apr23-Mar24'!R280</f>
        <v>PO / NBF / 260224 / 176</v>
      </c>
      <c r="L280" s="186"/>
      <c r="M280" s="187"/>
      <c r="N280" s="100">
        <f>+'Order Details Apr23-Mar24'!F280*'Order Details Apr23-Mar24'!N280</f>
        <v>63000</v>
      </c>
      <c r="O280" s="25"/>
      <c r="P280" s="22"/>
      <c r="Q280" s="87">
        <v>45</v>
      </c>
      <c r="R280" s="26"/>
      <c r="S280" s="22">
        <f t="shared" si="5"/>
        <v>0</v>
      </c>
      <c r="T280" s="22"/>
      <c r="U280" s="31"/>
      <c r="V280" s="51"/>
    </row>
    <row r="281" spans="1:22" ht="20.100000000000001" customHeight="1" x14ac:dyDescent="0.3">
      <c r="A281" s="44">
        <v>273</v>
      </c>
      <c r="B281" s="22">
        <f>+'Order Details Apr23-Mar24'!P281</f>
        <v>45348</v>
      </c>
      <c r="C281" s="23"/>
      <c r="D281" s="53" t="str">
        <f>+'Order Details Apr23-Mar24'!T281</f>
        <v>Hester Biosciences Limited</v>
      </c>
      <c r="E281" s="25"/>
      <c r="F281" s="183" t="str">
        <f>+'Order Details Apr23-Mar24'!D281</f>
        <v>INACTIVATED PULLET(LPAI) VAC</v>
      </c>
      <c r="G281" s="184"/>
      <c r="H281" s="26" t="str">
        <f>+'Order Details Apr23-Mar24'!G281</f>
        <v>Dose</v>
      </c>
      <c r="I281" s="27">
        <f>+'Order Details Apr23-Mar24'!I281</f>
        <v>42000</v>
      </c>
      <c r="J281" s="28"/>
      <c r="K281" s="185" t="str">
        <f>+'Order Details Apr23-Mar24'!R281</f>
        <v>PO / NBF / 260224 / 176</v>
      </c>
      <c r="L281" s="186"/>
      <c r="M281" s="187"/>
      <c r="N281" s="100">
        <f>+'Order Details Apr23-Mar24'!F281*'Order Details Apr23-Mar24'!N281</f>
        <v>40843.214999999997</v>
      </c>
      <c r="O281" s="25"/>
      <c r="P281" s="22"/>
      <c r="Q281" s="87">
        <v>45</v>
      </c>
      <c r="R281" s="26"/>
      <c r="S281" s="22">
        <f t="shared" si="5"/>
        <v>0</v>
      </c>
      <c r="T281" s="22"/>
      <c r="U281" s="31"/>
      <c r="V281" s="51"/>
    </row>
    <row r="282" spans="1:22" ht="20.100000000000001" customHeight="1" x14ac:dyDescent="0.3">
      <c r="A282" s="44">
        <v>274</v>
      </c>
      <c r="B282" s="22">
        <f>+'Order Details Apr23-Mar24'!P282</f>
        <v>45348</v>
      </c>
      <c r="C282" s="23"/>
      <c r="D282" s="53" t="str">
        <f>+'Order Details Apr23-Mar24'!T282</f>
        <v>Hester Biosciences Limited</v>
      </c>
      <c r="E282" s="25"/>
      <c r="F282" s="183" t="str">
        <f>+'Order Details Apr23-Mar24'!D282</f>
        <v>INACTIVATED PULLET(HPAI) VAC</v>
      </c>
      <c r="G282" s="184"/>
      <c r="H282" s="26" t="str">
        <f>+'Order Details Apr23-Mar24'!G282</f>
        <v>Dose</v>
      </c>
      <c r="I282" s="27">
        <f>+'Order Details Apr23-Mar24'!I282</f>
        <v>62000</v>
      </c>
      <c r="J282" s="28"/>
      <c r="K282" s="185" t="str">
        <f>+'Order Details Apr23-Mar24'!R282</f>
        <v>PO / NBF / 260224 / 176</v>
      </c>
      <c r="L282" s="186"/>
      <c r="M282" s="187"/>
      <c r="N282" s="100">
        <f>+'Order Details Apr23-Mar24'!F282*'Order Details Apr23-Mar24'!N282</f>
        <v>162679.04099999997</v>
      </c>
      <c r="O282" s="25"/>
      <c r="P282" s="22"/>
      <c r="Q282" s="87">
        <v>45</v>
      </c>
      <c r="R282" s="26"/>
      <c r="S282" s="22">
        <f t="shared" si="5"/>
        <v>0</v>
      </c>
      <c r="T282" s="22"/>
      <c r="U282" s="31"/>
      <c r="V282" s="51"/>
    </row>
    <row r="283" spans="1:22" ht="20.100000000000001" customHeight="1" x14ac:dyDescent="0.3">
      <c r="A283" s="44">
        <v>275</v>
      </c>
      <c r="B283" s="22">
        <f>+'Order Details Apr23-Mar24'!P283</f>
        <v>45348</v>
      </c>
      <c r="C283" s="23"/>
      <c r="D283" s="53" t="str">
        <f>+'Order Details Apr23-Mar24'!T283</f>
        <v>Huve Pharma Sea Pune Pvt Ltd</v>
      </c>
      <c r="E283" s="25"/>
      <c r="F283" s="183" t="str">
        <f>+'Order Details Apr23-Mar24'!D283</f>
        <v>TILMOVET (Huvepharma)</v>
      </c>
      <c r="G283" s="184"/>
      <c r="H283" s="26" t="str">
        <f>+'Order Details Apr23-Mar24'!G283</f>
        <v>Ml</v>
      </c>
      <c r="I283" s="27">
        <f>+'Order Details Apr23-Mar24'!I283</f>
        <v>23040</v>
      </c>
      <c r="J283" s="28"/>
      <c r="K283" s="185" t="str">
        <f>+'Order Details Apr23-Mar24'!R283</f>
        <v>PO / NBF / 260224 / 177</v>
      </c>
      <c r="L283" s="186"/>
      <c r="M283" s="187"/>
      <c r="N283" s="100">
        <f>+'Order Details Apr23-Mar24'!F283*'Order Details Apr23-Mar24'!N283</f>
        <v>249984</v>
      </c>
      <c r="O283" s="25"/>
      <c r="P283" s="22"/>
      <c r="Q283" s="26">
        <v>45</v>
      </c>
      <c r="R283" s="26"/>
      <c r="S283" s="22">
        <f t="shared" si="5"/>
        <v>0</v>
      </c>
      <c r="T283" s="22"/>
      <c r="U283" s="31"/>
      <c r="V283" s="51"/>
    </row>
    <row r="284" spans="1:22" ht="20.100000000000001" customHeight="1" x14ac:dyDescent="0.3">
      <c r="A284" s="44">
        <v>276</v>
      </c>
      <c r="B284" s="22">
        <f>+'Order Details Apr23-Mar24'!P284</f>
        <v>45348</v>
      </c>
      <c r="C284" s="23"/>
      <c r="D284" s="53" t="str">
        <f>+'Order Details Apr23-Mar24'!T284</f>
        <v>Venkateshwara Hatcheries Ltd</v>
      </c>
      <c r="E284" s="25"/>
      <c r="F284" s="183" t="str">
        <f>+'Order Details Apr23-Mar24'!D284</f>
        <v>IBD Intermediate (Standard) Live</v>
      </c>
      <c r="G284" s="184"/>
      <c r="H284" s="26" t="str">
        <f>+'Order Details Apr23-Mar24'!G284</f>
        <v>Dose</v>
      </c>
      <c r="I284" s="27">
        <f>+'Order Details Apr23-Mar24'!I284</f>
        <v>38000</v>
      </c>
      <c r="J284" s="28"/>
      <c r="K284" s="185" t="str">
        <f>+'Order Details Apr23-Mar24'!R284</f>
        <v>PO / NBF / 260224 / 178</v>
      </c>
      <c r="L284" s="186"/>
      <c r="M284" s="187"/>
      <c r="N284" s="100">
        <f>+'Order Details Apr23-Mar24'!F284*'Order Details Apr23-Mar24'!N284</f>
        <v>6783</v>
      </c>
      <c r="O284" s="25"/>
      <c r="P284" s="22"/>
      <c r="Q284" s="61">
        <v>45</v>
      </c>
      <c r="R284" s="26"/>
      <c r="S284" s="22">
        <f t="shared" si="5"/>
        <v>0</v>
      </c>
      <c r="T284" s="22"/>
      <c r="U284" s="31"/>
      <c r="V284" s="51"/>
    </row>
    <row r="285" spans="1:22" ht="20.100000000000001" customHeight="1" x14ac:dyDescent="0.3">
      <c r="A285" s="44">
        <v>277</v>
      </c>
      <c r="B285" s="22">
        <f>+'Order Details Apr23-Mar24'!P285</f>
        <v>45348</v>
      </c>
      <c r="C285" s="23"/>
      <c r="D285" s="53" t="str">
        <f>+'Order Details Apr23-Mar24'!T285</f>
        <v>Venkateshwara Hatcheries Ltd</v>
      </c>
      <c r="E285" s="25"/>
      <c r="F285" s="183" t="str">
        <f>+'Order Details Apr23-Mar24'!D285</f>
        <v>IBD Intermediate (Plus Type) Live</v>
      </c>
      <c r="G285" s="184"/>
      <c r="H285" s="26" t="str">
        <f>+'Order Details Apr23-Mar24'!G285</f>
        <v>Dose</v>
      </c>
      <c r="I285" s="27">
        <f>+'Order Details Apr23-Mar24'!I285</f>
        <v>79000</v>
      </c>
      <c r="J285" s="28"/>
      <c r="K285" s="185" t="str">
        <f>+'Order Details Apr23-Mar24'!R285</f>
        <v>PO / NBF / 260224 / 178</v>
      </c>
      <c r="L285" s="186"/>
      <c r="M285" s="187"/>
      <c r="N285" s="100">
        <f>+'Order Details Apr23-Mar24'!F285*'Order Details Apr23-Mar24'!N285</f>
        <v>19078.5</v>
      </c>
      <c r="O285" s="25"/>
      <c r="P285" s="22"/>
      <c r="Q285" s="61">
        <v>45</v>
      </c>
      <c r="R285" s="26"/>
      <c r="S285" s="22">
        <f t="shared" si="5"/>
        <v>0</v>
      </c>
      <c r="T285" s="22"/>
      <c r="U285" s="31"/>
      <c r="V285" s="51"/>
    </row>
    <row r="286" spans="1:22" ht="20.100000000000001" customHeight="1" x14ac:dyDescent="0.3">
      <c r="A286" s="44">
        <v>278</v>
      </c>
      <c r="B286" s="22">
        <f>+'Order Details Apr23-Mar24'!P286</f>
        <v>45348</v>
      </c>
      <c r="C286" s="23"/>
      <c r="D286" s="53" t="str">
        <f>+'Order Details Apr23-Mar24'!T286</f>
        <v>Venkateshwara Hatcheries Ltd</v>
      </c>
      <c r="E286" s="25"/>
      <c r="F286" s="183" t="str">
        <f>+'Order Details Apr23-Mar24'!D286</f>
        <v>IB (H-120) Live Vacine</v>
      </c>
      <c r="G286" s="184"/>
      <c r="H286" s="26" t="str">
        <f>+'Order Details Apr23-Mar24'!G286</f>
        <v>Dose</v>
      </c>
      <c r="I286" s="27">
        <f>+'Order Details Apr23-Mar24'!I286</f>
        <v>40000</v>
      </c>
      <c r="J286" s="28"/>
      <c r="K286" s="185" t="str">
        <f>+'Order Details Apr23-Mar24'!R286</f>
        <v>PO / NBF / 260224 / 178</v>
      </c>
      <c r="L286" s="186"/>
      <c r="M286" s="187"/>
      <c r="N286" s="100">
        <f>+'Order Details Apr23-Mar24'!F286*'Order Details Apr23-Mar24'!N286</f>
        <v>4452</v>
      </c>
      <c r="O286" s="25"/>
      <c r="P286" s="22"/>
      <c r="Q286" s="61">
        <v>45</v>
      </c>
      <c r="R286" s="26"/>
      <c r="S286" s="22">
        <f t="shared" si="5"/>
        <v>0</v>
      </c>
      <c r="T286" s="22"/>
      <c r="U286" s="31"/>
      <c r="V286" s="51"/>
    </row>
    <row r="287" spans="1:22" ht="20.100000000000001" customHeight="1" x14ac:dyDescent="0.3">
      <c r="A287" s="44">
        <v>279</v>
      </c>
      <c r="B287" s="22">
        <f>+'Order Details Apr23-Mar24'!P287</f>
        <v>45348</v>
      </c>
      <c r="C287" s="23"/>
      <c r="D287" s="53" t="str">
        <f>+'Order Details Apr23-Mar24'!T287</f>
        <v>Venkateshwara Hatcheries Ltd</v>
      </c>
      <c r="E287" s="25"/>
      <c r="F287" s="183" t="str">
        <f>+'Order Details Apr23-Mar24'!D287</f>
        <v>IB (Mass Type) Live Vacine</v>
      </c>
      <c r="G287" s="184"/>
      <c r="H287" s="26" t="str">
        <f>+'Order Details Apr23-Mar24'!G287</f>
        <v>Dose</v>
      </c>
      <c r="I287" s="27">
        <f>+'Order Details Apr23-Mar24'!I287</f>
        <v>40000</v>
      </c>
      <c r="J287" s="28"/>
      <c r="K287" s="185" t="str">
        <f>+'Order Details Apr23-Mar24'!R287</f>
        <v>PO / NBF / 260224 / 178</v>
      </c>
      <c r="L287" s="186"/>
      <c r="M287" s="187"/>
      <c r="N287" s="100">
        <f>+'Order Details Apr23-Mar24'!F287*'Order Details Apr23-Mar24'!N287</f>
        <v>4452</v>
      </c>
      <c r="O287" s="25"/>
      <c r="P287" s="22"/>
      <c r="Q287" s="61">
        <v>45</v>
      </c>
      <c r="R287" s="26"/>
      <c r="S287" s="22">
        <f t="shared" si="5"/>
        <v>0</v>
      </c>
      <c r="T287" s="22"/>
      <c r="U287" s="31"/>
      <c r="V287" s="51"/>
    </row>
    <row r="288" spans="1:22" ht="20.100000000000001" customHeight="1" x14ac:dyDescent="0.3">
      <c r="A288" s="44">
        <v>280</v>
      </c>
      <c r="B288" s="22">
        <f>+'Order Details Apr23-Mar24'!P288</f>
        <v>45348</v>
      </c>
      <c r="C288" s="23"/>
      <c r="D288" s="53" t="str">
        <f>+'Order Details Apr23-Mar24'!T288</f>
        <v>Venkateshwara Hatcheries Ltd</v>
      </c>
      <c r="E288" s="25"/>
      <c r="F288" s="183" t="str">
        <f>+'Order Details Apr23-Mar24'!D288</f>
        <v>ND (Lasota) Live Vaccine</v>
      </c>
      <c r="G288" s="184"/>
      <c r="H288" s="26" t="str">
        <f>+'Order Details Apr23-Mar24'!G288</f>
        <v>Dose</v>
      </c>
      <c r="I288" s="27">
        <f>+'Order Details Apr23-Mar24'!I288</f>
        <v>40000</v>
      </c>
      <c r="J288" s="28"/>
      <c r="K288" s="185" t="str">
        <f>+'Order Details Apr23-Mar24'!R288</f>
        <v>PO / NBF / 260224 / 178</v>
      </c>
      <c r="L288" s="186"/>
      <c r="M288" s="187"/>
      <c r="N288" s="100">
        <f>+'Order Details Apr23-Mar24'!F288*'Order Details Apr23-Mar24'!N288</f>
        <v>2352</v>
      </c>
      <c r="O288" s="25"/>
      <c r="P288" s="22"/>
      <c r="Q288" s="61">
        <v>45</v>
      </c>
      <c r="R288" s="26"/>
      <c r="S288" s="22">
        <f t="shared" si="5"/>
        <v>0</v>
      </c>
      <c r="T288" s="22"/>
      <c r="U288" s="31"/>
      <c r="V288" s="51"/>
    </row>
    <row r="289" spans="1:22" ht="20.100000000000001" customHeight="1" x14ac:dyDescent="0.3">
      <c r="A289" s="44">
        <v>281</v>
      </c>
      <c r="B289" s="22">
        <f>+'Order Details Apr23-Mar24'!P289</f>
        <v>45348</v>
      </c>
      <c r="C289" s="23"/>
      <c r="D289" s="53" t="str">
        <f>+'Order Details Apr23-Mar24'!T289</f>
        <v>Venkateshwara Hatcheries Ltd</v>
      </c>
      <c r="E289" s="25"/>
      <c r="F289" s="183" t="str">
        <f>+'Order Details Apr23-Mar24'!D289</f>
        <v>Fowl Pox Live Vaccine</v>
      </c>
      <c r="G289" s="184"/>
      <c r="H289" s="26" t="str">
        <f>+'Order Details Apr23-Mar24'!G289</f>
        <v>Dose</v>
      </c>
      <c r="I289" s="27">
        <f>+'Order Details Apr23-Mar24'!I289</f>
        <v>36000</v>
      </c>
      <c r="J289" s="28"/>
      <c r="K289" s="185" t="str">
        <f>+'Order Details Apr23-Mar24'!R289</f>
        <v>PO / NBF / 260224 / 178</v>
      </c>
      <c r="L289" s="186"/>
      <c r="M289" s="187"/>
      <c r="N289" s="100">
        <f>+'Order Details Apr23-Mar24'!F289*'Order Details Apr23-Mar24'!N289</f>
        <v>4725</v>
      </c>
      <c r="O289" s="25"/>
      <c r="P289" s="22"/>
      <c r="Q289" s="61">
        <v>45</v>
      </c>
      <c r="R289" s="26"/>
      <c r="S289" s="22">
        <f t="shared" si="5"/>
        <v>0</v>
      </c>
      <c r="T289" s="22"/>
      <c r="U289" s="31"/>
      <c r="V289" s="51"/>
    </row>
    <row r="290" spans="1:22" ht="20.100000000000001" customHeight="1" x14ac:dyDescent="0.3">
      <c r="A290" s="44">
        <v>282</v>
      </c>
      <c r="B290" s="22">
        <f>+'Order Details Apr23-Mar24'!P290</f>
        <v>45348</v>
      </c>
      <c r="C290" s="23"/>
      <c r="D290" s="53" t="str">
        <f>+'Order Details Apr23-Mar24'!T290</f>
        <v>Venkateshwara Hatcheries Ltd</v>
      </c>
      <c r="E290" s="25"/>
      <c r="F290" s="183" t="str">
        <f>+'Order Details Apr23-Mar24'!D290</f>
        <v>R2B Live Vaccine</v>
      </c>
      <c r="G290" s="184"/>
      <c r="H290" s="26" t="str">
        <f>+'Order Details Apr23-Mar24'!G290</f>
        <v>Dose</v>
      </c>
      <c r="I290" s="27">
        <f>+'Order Details Apr23-Mar24'!I290</f>
        <v>40000</v>
      </c>
      <c r="J290" s="28"/>
      <c r="K290" s="185" t="str">
        <f>+'Order Details Apr23-Mar24'!R290</f>
        <v>PO / NBF / 260224 / 178</v>
      </c>
      <c r="L290" s="186"/>
      <c r="M290" s="187"/>
      <c r="N290" s="100">
        <f>+'Order Details Apr23-Mar24'!F290*'Order Details Apr23-Mar24'!N290</f>
        <v>5292</v>
      </c>
      <c r="O290" s="25"/>
      <c r="P290" s="22"/>
      <c r="Q290" s="61">
        <v>45</v>
      </c>
      <c r="R290" s="26"/>
      <c r="S290" s="22">
        <f t="shared" si="5"/>
        <v>0</v>
      </c>
      <c r="T290" s="22"/>
      <c r="U290" s="31"/>
      <c r="V290" s="51"/>
    </row>
    <row r="291" spans="1:22" ht="20.100000000000001" customHeight="1" x14ac:dyDescent="0.3">
      <c r="A291" s="44">
        <v>283</v>
      </c>
      <c r="B291" s="22">
        <f>+'Order Details Apr23-Mar24'!P291</f>
        <v>45348</v>
      </c>
      <c r="C291" s="23"/>
      <c r="D291" s="53" t="str">
        <f>+'Order Details Apr23-Mar24'!T291</f>
        <v>Venkateshwara Hatcheries Ltd</v>
      </c>
      <c r="E291" s="25"/>
      <c r="F291" s="183" t="str">
        <f>+'Order Details Apr23-Mar24'!D291</f>
        <v>VVMD (HVT+SB-1) Live Vaccine</v>
      </c>
      <c r="G291" s="184"/>
      <c r="H291" s="26" t="str">
        <f>+'Order Details Apr23-Mar24'!G291</f>
        <v>Dose</v>
      </c>
      <c r="I291" s="27">
        <f>+'Order Details Apr23-Mar24'!I291</f>
        <v>83000</v>
      </c>
      <c r="J291" s="28"/>
      <c r="K291" s="185" t="str">
        <f>+'Order Details Apr23-Mar24'!R291</f>
        <v>PO / NBF / 260224 / 178</v>
      </c>
      <c r="L291" s="186"/>
      <c r="M291" s="187"/>
      <c r="N291" s="100">
        <f>+'Order Details Apr23-Mar24'!F291*'Order Details Apr23-Mar24'!N291</f>
        <v>170901.15000000002</v>
      </c>
      <c r="O291" s="25"/>
      <c r="P291" s="22"/>
      <c r="Q291" s="61">
        <v>45</v>
      </c>
      <c r="R291" s="26"/>
      <c r="S291" s="22">
        <f t="shared" si="5"/>
        <v>0</v>
      </c>
      <c r="T291" s="22"/>
      <c r="U291" s="31"/>
      <c r="V291" s="51"/>
    </row>
    <row r="292" spans="1:22" ht="20.100000000000001" customHeight="1" x14ac:dyDescent="0.3">
      <c r="A292" s="44">
        <v>284</v>
      </c>
      <c r="B292" s="22">
        <f>+'Order Details Apr23-Mar24'!P292</f>
        <v>45348</v>
      </c>
      <c r="C292" s="23"/>
      <c r="D292" s="53" t="str">
        <f>+'Order Details Apr23-Mar24'!T292</f>
        <v>Venkateshwara Hatcheries Ltd</v>
      </c>
      <c r="E292" s="25"/>
      <c r="F292" s="183" t="str">
        <f>+'Order Details Apr23-Mar24'!D292</f>
        <v>ND (Visa-15) KILLED VAC</v>
      </c>
      <c r="G292" s="184"/>
      <c r="H292" s="26" t="str">
        <f>+'Order Details Apr23-Mar24'!G292</f>
        <v>Dose</v>
      </c>
      <c r="I292" s="27">
        <f>+'Order Details Apr23-Mar24'!I292</f>
        <v>21000</v>
      </c>
      <c r="J292" s="28"/>
      <c r="K292" s="185" t="str">
        <f>+'Order Details Apr23-Mar24'!R292</f>
        <v>PO / NBF / 260224 / 178</v>
      </c>
      <c r="L292" s="186"/>
      <c r="M292" s="187"/>
      <c r="N292" s="100">
        <f>+'Order Details Apr23-Mar24'!F292*'Order Details Apr23-Mar24'!N292</f>
        <v>22601.25</v>
      </c>
      <c r="O292" s="25"/>
      <c r="P292" s="22"/>
      <c r="Q292" s="61">
        <v>45</v>
      </c>
      <c r="R292" s="26"/>
      <c r="S292" s="22">
        <f t="shared" si="5"/>
        <v>0</v>
      </c>
      <c r="T292" s="22"/>
      <c r="U292" s="31"/>
      <c r="V292" s="51"/>
    </row>
    <row r="293" spans="1:22" ht="20.100000000000001" customHeight="1" x14ac:dyDescent="0.3">
      <c r="A293" s="44">
        <v>285</v>
      </c>
      <c r="B293" s="22">
        <f>+'Order Details Apr23-Mar24'!P293</f>
        <v>45348</v>
      </c>
      <c r="C293" s="23"/>
      <c r="D293" s="53" t="str">
        <f>+'Order Details Apr23-Mar24'!T293</f>
        <v>Venkateshwara Hatcheries Ltd</v>
      </c>
      <c r="E293" s="25"/>
      <c r="F293" s="183" t="str">
        <f>+'Order Details Apr23-Mar24'!D293</f>
        <v>REO KILLED VAC</v>
      </c>
      <c r="G293" s="184"/>
      <c r="H293" s="26" t="str">
        <f>+'Order Details Apr23-Mar24'!G293</f>
        <v>Dose</v>
      </c>
      <c r="I293" s="27">
        <f>+'Order Details Apr23-Mar24'!I293</f>
        <v>41000</v>
      </c>
      <c r="J293" s="28"/>
      <c r="K293" s="185" t="str">
        <f>+'Order Details Apr23-Mar24'!R293</f>
        <v>PO / NBF / 260224 / 178</v>
      </c>
      <c r="L293" s="186"/>
      <c r="M293" s="187"/>
      <c r="N293" s="100">
        <f>+'Order Details Apr23-Mar24'!F293*'Order Details Apr23-Mar24'!N293</f>
        <v>87004.05</v>
      </c>
      <c r="O293" s="25"/>
      <c r="P293" s="22"/>
      <c r="Q293" s="61">
        <v>45</v>
      </c>
      <c r="R293" s="26"/>
      <c r="S293" s="22">
        <f t="shared" si="5"/>
        <v>0</v>
      </c>
      <c r="T293" s="22"/>
      <c r="U293" s="31"/>
      <c r="V293" s="51"/>
    </row>
    <row r="294" spans="1:22" ht="20.100000000000001" customHeight="1" x14ac:dyDescent="0.3">
      <c r="A294" s="44">
        <v>286</v>
      </c>
      <c r="B294" s="22">
        <f>+'Order Details Apr23-Mar24'!P294</f>
        <v>45348</v>
      </c>
      <c r="C294" s="23"/>
      <c r="D294" s="53" t="str">
        <f>+'Order Details Apr23-Mar24'!T294</f>
        <v>Venkateshwara Hatcheries Ltd</v>
      </c>
      <c r="E294" s="25"/>
      <c r="F294" s="183" t="str">
        <f>+'Order Details Apr23-Mar24'!D294</f>
        <v>SALMONELLA KILLED VAC</v>
      </c>
      <c r="G294" s="184"/>
      <c r="H294" s="26" t="str">
        <f>+'Order Details Apr23-Mar24'!G294</f>
        <v>Dose</v>
      </c>
      <c r="I294" s="27">
        <f>+'Order Details Apr23-Mar24'!I294</f>
        <v>40000</v>
      </c>
      <c r="J294" s="28"/>
      <c r="K294" s="185" t="str">
        <f>+'Order Details Apr23-Mar24'!R294</f>
        <v>PO / NBF / 260224 / 178</v>
      </c>
      <c r="L294" s="186"/>
      <c r="M294" s="187"/>
      <c r="N294" s="100">
        <f>+'Order Details Apr23-Mar24'!F294*'Order Details Apr23-Mar24'!N294</f>
        <v>119070</v>
      </c>
      <c r="O294" s="25"/>
      <c r="P294" s="22"/>
      <c r="Q294" s="61">
        <v>45</v>
      </c>
      <c r="R294" s="26"/>
      <c r="S294" s="22">
        <f t="shared" si="5"/>
        <v>0</v>
      </c>
      <c r="T294" s="22"/>
      <c r="U294" s="31"/>
      <c r="V294" s="51"/>
    </row>
    <row r="295" spans="1:22" ht="20.100000000000001" customHeight="1" x14ac:dyDescent="0.3">
      <c r="A295" s="44">
        <v>287</v>
      </c>
      <c r="B295" s="22">
        <f>+'Order Details Apr23-Mar24'!P295</f>
        <v>45348</v>
      </c>
      <c r="C295" s="23"/>
      <c r="D295" s="53" t="str">
        <f>+'Order Details Apr23-Mar24'!T295</f>
        <v>Venkateshwara Hatcheries Ltd</v>
      </c>
      <c r="E295" s="25"/>
      <c r="F295" s="183" t="str">
        <f>+'Order Details Apr23-Mar24'!D295</f>
        <v>VH F1-C7 (FC+IC) KILLED VAC</v>
      </c>
      <c r="G295" s="184"/>
      <c r="H295" s="26" t="str">
        <f>+'Order Details Apr23-Mar24'!G295</f>
        <v>Dose</v>
      </c>
      <c r="I295" s="27">
        <f>+'Order Details Apr23-Mar24'!I295</f>
        <v>62000</v>
      </c>
      <c r="J295" s="28"/>
      <c r="K295" s="185" t="str">
        <f>+'Order Details Apr23-Mar24'!R295</f>
        <v>PO / NBF / 260224 / 178</v>
      </c>
      <c r="L295" s="186"/>
      <c r="M295" s="187"/>
      <c r="N295" s="100">
        <f>+'Order Details Apr23-Mar24'!F295*'Order Details Apr23-Mar24'!N295</f>
        <v>153831.30000000002</v>
      </c>
      <c r="O295" s="25"/>
      <c r="P295" s="22"/>
      <c r="Q295" s="61">
        <v>45</v>
      </c>
      <c r="R295" s="26"/>
      <c r="S295" s="22">
        <f t="shared" si="5"/>
        <v>0</v>
      </c>
      <c r="T295" s="22"/>
      <c r="U295" s="31"/>
      <c r="V295" s="51"/>
    </row>
    <row r="296" spans="1:22" ht="20.100000000000001" customHeight="1" x14ac:dyDescent="0.3">
      <c r="A296" s="44">
        <v>288</v>
      </c>
      <c r="B296" s="22">
        <f>+'Order Details Apr23-Mar24'!P296</f>
        <v>45348</v>
      </c>
      <c r="C296" s="23"/>
      <c r="D296" s="53" t="str">
        <f>+'Order Details Apr23-Mar24'!T296</f>
        <v>Venkateshwara Hatcheries Ltd</v>
      </c>
      <c r="E296" s="25"/>
      <c r="F296" s="183" t="str">
        <f>+'Order Details Apr23-Mar24'!D296</f>
        <v>Sterile Diluent for Fowl Pox Live</v>
      </c>
      <c r="G296" s="184"/>
      <c r="H296" s="26" t="str">
        <f>+'Order Details Apr23-Mar24'!G296</f>
        <v>Ml</v>
      </c>
      <c r="I296" s="27">
        <f>+'Order Details Apr23-Mar24'!I296</f>
        <v>8000</v>
      </c>
      <c r="J296" s="28"/>
      <c r="K296" s="185" t="str">
        <f>+'Order Details Apr23-Mar24'!R296</f>
        <v>PO / NBF / 260224 / 178</v>
      </c>
      <c r="L296" s="186"/>
      <c r="M296" s="187"/>
      <c r="N296" s="100">
        <f>+'Order Details Apr23-Mar24'!F296*'Order Details Apr23-Mar24'!N296</f>
        <v>73.5</v>
      </c>
      <c r="O296" s="25"/>
      <c r="P296" s="22"/>
      <c r="Q296" s="61">
        <v>45</v>
      </c>
      <c r="R296" s="26"/>
      <c r="S296" s="22">
        <f t="shared" si="5"/>
        <v>0</v>
      </c>
      <c r="T296" s="22"/>
      <c r="U296" s="31"/>
      <c r="V296" s="51"/>
    </row>
    <row r="297" spans="1:22" ht="20.100000000000001" customHeight="1" x14ac:dyDescent="0.3">
      <c r="A297" s="44">
        <v>289</v>
      </c>
      <c r="B297" s="22">
        <f>+'Order Details Apr23-Mar24'!P297</f>
        <v>45348</v>
      </c>
      <c r="C297" s="23"/>
      <c r="D297" s="53" t="str">
        <f>+'Order Details Apr23-Mar24'!T297</f>
        <v>Venkateshwara Hatcheries Ltd</v>
      </c>
      <c r="E297" s="25"/>
      <c r="F297" s="183" t="str">
        <f>+'Order Details Apr23-Mar24'!D297</f>
        <v>Sterile Diluent for R2B Live</v>
      </c>
      <c r="G297" s="184"/>
      <c r="H297" s="26" t="str">
        <f>+'Order Details Apr23-Mar24'!G297</f>
        <v>Ml</v>
      </c>
      <c r="I297" s="27">
        <f>+'Order Details Apr23-Mar24'!I297</f>
        <v>20000</v>
      </c>
      <c r="J297" s="28"/>
      <c r="K297" s="185" t="str">
        <f>+'Order Details Apr23-Mar24'!R297</f>
        <v>PO / NBF / 260224 / 178</v>
      </c>
      <c r="L297" s="186"/>
      <c r="M297" s="187"/>
      <c r="N297" s="100">
        <f>+'Order Details Apr23-Mar24'!F297*'Order Details Apr23-Mar24'!N297</f>
        <v>73.5</v>
      </c>
      <c r="O297" s="25"/>
      <c r="P297" s="22"/>
      <c r="Q297" s="61">
        <v>45</v>
      </c>
      <c r="R297" s="26"/>
      <c r="S297" s="22">
        <f t="shared" si="5"/>
        <v>0</v>
      </c>
      <c r="T297" s="22"/>
      <c r="U297" s="31"/>
      <c r="V297" s="51"/>
    </row>
    <row r="298" spans="1:22" ht="20.100000000000001" customHeight="1" x14ac:dyDescent="0.3">
      <c r="A298" s="44">
        <v>290</v>
      </c>
      <c r="B298" s="22">
        <f>+'Order Details Apr23-Mar24'!P298</f>
        <v>45348</v>
      </c>
      <c r="C298" s="23"/>
      <c r="D298" s="53" t="str">
        <f>+'Order Details Apr23-Mar24'!T298</f>
        <v>Venkateshwara Hatcheries Ltd</v>
      </c>
      <c r="E298" s="25"/>
      <c r="F298" s="183" t="str">
        <f>+'Order Details Apr23-Mar24'!D298</f>
        <v>Sterile Diluent for VVMD Live</v>
      </c>
      <c r="G298" s="184"/>
      <c r="H298" s="26" t="str">
        <f>+'Order Details Apr23-Mar24'!G298</f>
        <v>Ml</v>
      </c>
      <c r="I298" s="27">
        <f>+'Order Details Apr23-Mar24'!I298</f>
        <v>18000</v>
      </c>
      <c r="J298" s="28"/>
      <c r="K298" s="185" t="str">
        <f>+'Order Details Apr23-Mar24'!R298</f>
        <v>PO / NBF / 260224 / 178</v>
      </c>
      <c r="L298" s="186"/>
      <c r="M298" s="187"/>
      <c r="N298" s="100">
        <f>+'Order Details Apr23-Mar24'!F298*'Order Details Apr23-Mar24'!N298</f>
        <v>118.125</v>
      </c>
      <c r="O298" s="25"/>
      <c r="P298" s="22"/>
      <c r="Q298" s="61">
        <v>45</v>
      </c>
      <c r="R298" s="26"/>
      <c r="S298" s="22">
        <f t="shared" si="5"/>
        <v>0</v>
      </c>
      <c r="T298" s="22"/>
      <c r="U298" s="31"/>
      <c r="V298" s="51"/>
    </row>
    <row r="299" spans="1:22" ht="20.100000000000001" customHeight="1" x14ac:dyDescent="0.3">
      <c r="A299" s="44">
        <v>291</v>
      </c>
      <c r="B299" s="22">
        <f>+'Order Details Apr23-Mar24'!P299</f>
        <v>45348</v>
      </c>
      <c r="C299" s="23"/>
      <c r="D299" s="53" t="str">
        <f>+'Order Details Apr23-Mar24'!T299</f>
        <v>Venkateshwara Hatcheries Ltd</v>
      </c>
      <c r="E299" s="25"/>
      <c r="F299" s="183" t="str">
        <f>+'Order Details Apr23-Mar24'!D299</f>
        <v>Sterile Diluent for Others Live</v>
      </c>
      <c r="G299" s="184"/>
      <c r="H299" s="26" t="str">
        <f>+'Order Details Apr23-Mar24'!G299</f>
        <v>Ml</v>
      </c>
      <c r="I299" s="27">
        <f>+'Order Details Apr23-Mar24'!I299</f>
        <v>7500</v>
      </c>
      <c r="J299" s="28"/>
      <c r="K299" s="185" t="str">
        <f>+'Order Details Apr23-Mar24'!R299</f>
        <v>PO / NBF / 260224 / 178</v>
      </c>
      <c r="L299" s="186"/>
      <c r="M299" s="187"/>
      <c r="N299" s="100">
        <f>+'Order Details Apr23-Mar24'!F299*'Order Details Apr23-Mar24'!N299</f>
        <v>459.375</v>
      </c>
      <c r="O299" s="25"/>
      <c r="P299" s="22"/>
      <c r="Q299" s="61">
        <v>45</v>
      </c>
      <c r="R299" s="26"/>
      <c r="S299" s="22">
        <f t="shared" si="5"/>
        <v>0</v>
      </c>
      <c r="T299" s="22"/>
      <c r="U299" s="31"/>
      <c r="V299" s="51"/>
    </row>
    <row r="300" spans="1:22" ht="20.100000000000001" customHeight="1" x14ac:dyDescent="0.3">
      <c r="A300" s="44">
        <v>292</v>
      </c>
      <c r="B300" s="22">
        <f>+'Order Details Apr23-Mar24'!P300</f>
        <v>45348</v>
      </c>
      <c r="C300" s="23"/>
      <c r="D300" s="53" t="str">
        <f>+'Order Details Apr23-Mar24'!T300</f>
        <v>Venkateshwara Marketing, Hyd</v>
      </c>
      <c r="E300" s="25"/>
      <c r="F300" s="183" t="str">
        <f>+'Order Details Apr23-Mar24'!D300</f>
        <v>Nobilis CAV P-4 Live Vaccine (MSD)</v>
      </c>
      <c r="G300" s="184"/>
      <c r="H300" s="26" t="str">
        <f>+'Order Details Apr23-Mar24'!G300</f>
        <v>Dose</v>
      </c>
      <c r="I300" s="27">
        <f>+'Order Details Apr23-Mar24'!I300</f>
        <v>40000</v>
      </c>
      <c r="J300" s="28"/>
      <c r="K300" s="185" t="str">
        <f>+'Order Details Apr23-Mar24'!R300</f>
        <v>PO / NBF / 260224 / 179</v>
      </c>
      <c r="L300" s="186"/>
      <c r="M300" s="187"/>
      <c r="N300" s="100">
        <f>+'Order Details Apr23-Mar24'!F300*'Order Details Apr23-Mar24'!N300</f>
        <v>264600</v>
      </c>
      <c r="O300" s="25"/>
      <c r="P300" s="22"/>
      <c r="Q300" s="61">
        <v>45</v>
      </c>
      <c r="R300" s="26"/>
      <c r="S300" s="22">
        <f t="shared" si="5"/>
        <v>0</v>
      </c>
      <c r="T300" s="22"/>
      <c r="U300" s="31"/>
      <c r="V300" s="51"/>
    </row>
    <row r="301" spans="1:22" ht="20.100000000000001" customHeight="1" x14ac:dyDescent="0.3">
      <c r="A301" s="44">
        <v>293</v>
      </c>
      <c r="B301" s="22">
        <f>+'Order Details Apr23-Mar24'!P301</f>
        <v>45348</v>
      </c>
      <c r="C301" s="23"/>
      <c r="D301" s="53" t="str">
        <f>+'Order Details Apr23-Mar24'!T301</f>
        <v>Venkateshwara Marketing, Hyd</v>
      </c>
      <c r="E301" s="25"/>
      <c r="F301" s="183" t="str">
        <f>+'Order Details Apr23-Mar24'!D301</f>
        <v>Nobilis IB MA-5 Live Vaccine (MSD)</v>
      </c>
      <c r="G301" s="184"/>
      <c r="H301" s="26" t="str">
        <f>+'Order Details Apr23-Mar24'!G301</f>
        <v>Dose</v>
      </c>
      <c r="I301" s="27">
        <f>+'Order Details Apr23-Mar24'!I301</f>
        <v>40000</v>
      </c>
      <c r="J301" s="28"/>
      <c r="K301" s="185" t="str">
        <f>+'Order Details Apr23-Mar24'!R301</f>
        <v>PO / NBF / 260224 / 179</v>
      </c>
      <c r="L301" s="186"/>
      <c r="M301" s="187"/>
      <c r="N301" s="100">
        <f>+'Order Details Apr23-Mar24'!F301*'Order Details Apr23-Mar24'!N301</f>
        <v>20160</v>
      </c>
      <c r="O301" s="25"/>
      <c r="P301" s="22"/>
      <c r="Q301" s="61">
        <v>45</v>
      </c>
      <c r="R301" s="26"/>
      <c r="S301" s="22">
        <f t="shared" ref="S301:S330" si="6">P301+R301</f>
        <v>0</v>
      </c>
      <c r="T301" s="22"/>
      <c r="U301" s="31"/>
      <c r="V301" s="51"/>
    </row>
    <row r="302" spans="1:22" ht="20.100000000000001" customHeight="1" x14ac:dyDescent="0.3">
      <c r="A302" s="44">
        <v>294</v>
      </c>
      <c r="B302" s="22">
        <f>+'Order Details Apr23-Mar24'!P302</f>
        <v>45348</v>
      </c>
      <c r="C302" s="23"/>
      <c r="D302" s="53" t="str">
        <f>+'Order Details Apr23-Mar24'!T302</f>
        <v>Venkateshwara Marketing, Hyd</v>
      </c>
      <c r="E302" s="25"/>
      <c r="F302" s="183" t="str">
        <f>+'Order Details Apr23-Mar24'!D302</f>
        <v>Nobilis REO 1133 Live Vaccine (MSD)</v>
      </c>
      <c r="G302" s="184"/>
      <c r="H302" s="26" t="str">
        <f>+'Order Details Apr23-Mar24'!G302</f>
        <v>Dose</v>
      </c>
      <c r="I302" s="27">
        <f>+'Order Details Apr23-Mar24'!I302</f>
        <v>40000</v>
      </c>
      <c r="J302" s="28"/>
      <c r="K302" s="185" t="str">
        <f>+'Order Details Apr23-Mar24'!R302</f>
        <v>PO / NBF / 260224 / 179</v>
      </c>
      <c r="L302" s="186"/>
      <c r="M302" s="187"/>
      <c r="N302" s="100">
        <f>+'Order Details Apr23-Mar24'!F302*'Order Details Apr23-Mar24'!N302</f>
        <v>109200</v>
      </c>
      <c r="O302" s="25"/>
      <c r="P302" s="22"/>
      <c r="Q302" s="61">
        <v>45</v>
      </c>
      <c r="R302" s="26"/>
      <c r="S302" s="22">
        <f t="shared" si="6"/>
        <v>0</v>
      </c>
      <c r="T302" s="22"/>
      <c r="U302" s="31"/>
      <c r="V302" s="51"/>
    </row>
    <row r="303" spans="1:22" ht="20.100000000000001" customHeight="1" x14ac:dyDescent="0.3">
      <c r="A303" s="44">
        <v>295</v>
      </c>
      <c r="B303" s="22">
        <f>+'Order Details Apr23-Mar24'!P303</f>
        <v>45348</v>
      </c>
      <c r="C303" s="23"/>
      <c r="D303" s="53" t="str">
        <f>+'Order Details Apr23-Mar24'!T303</f>
        <v>Venkys India Ltd, AHP Division</v>
      </c>
      <c r="E303" s="25"/>
      <c r="F303" s="183" t="str">
        <f>+'Order Details Apr23-Mar24'!D303</f>
        <v>ELMIN-8 (AHP-Division)</v>
      </c>
      <c r="G303" s="184"/>
      <c r="H303" s="26" t="str">
        <f>+'Order Details Apr23-Mar24'!G303</f>
        <v>Ltr</v>
      </c>
      <c r="I303" s="27">
        <f>+'Order Details Apr23-Mar24'!I303</f>
        <v>60</v>
      </c>
      <c r="J303" s="28"/>
      <c r="K303" s="185" t="str">
        <f>+'Order Details Apr23-Mar24'!R303</f>
        <v>PO / NBF / 260224 / 180</v>
      </c>
      <c r="L303" s="186"/>
      <c r="M303" s="187"/>
      <c r="N303" s="100">
        <f>+'Order Details Apr23-Mar24'!F303*'Order Details Apr23-Mar24'!N303</f>
        <v>13140</v>
      </c>
      <c r="O303" s="25"/>
      <c r="P303" s="22"/>
      <c r="Q303" s="61">
        <v>45</v>
      </c>
      <c r="R303" s="26"/>
      <c r="S303" s="22">
        <f t="shared" si="6"/>
        <v>0</v>
      </c>
      <c r="T303" s="22"/>
      <c r="U303" s="31"/>
      <c r="V303" s="51"/>
    </row>
    <row r="304" spans="1:22" ht="20.100000000000001" customHeight="1" x14ac:dyDescent="0.3">
      <c r="A304" s="44">
        <v>296</v>
      </c>
      <c r="B304" s="22">
        <f>+'Order Details Apr23-Mar24'!P304</f>
        <v>45348</v>
      </c>
      <c r="C304" s="23"/>
      <c r="D304" s="53" t="str">
        <f>+'Order Details Apr23-Mar24'!T304</f>
        <v>Venkys India Ltd, AHP Division</v>
      </c>
      <c r="E304" s="25"/>
      <c r="F304" s="183" t="str">
        <f>+'Order Details Apr23-Mar24'!D304</f>
        <v>SOLUCAL (AHP Div)</v>
      </c>
      <c r="G304" s="184"/>
      <c r="H304" s="26" t="str">
        <f>+'Order Details Apr23-Mar24'!G304</f>
        <v>Ltr</v>
      </c>
      <c r="I304" s="27">
        <f>+'Order Details Apr23-Mar24'!I304</f>
        <v>100</v>
      </c>
      <c r="J304" s="28"/>
      <c r="K304" s="185" t="str">
        <f>+'Order Details Apr23-Mar24'!R304</f>
        <v>PO / NBF / 260224 / 180</v>
      </c>
      <c r="L304" s="186"/>
      <c r="M304" s="187"/>
      <c r="N304" s="100">
        <f>+'Order Details Apr23-Mar24'!F304*'Order Details Apr23-Mar24'!N304</f>
        <v>13840</v>
      </c>
      <c r="O304" s="25"/>
      <c r="P304" s="22"/>
      <c r="Q304" s="61">
        <v>45</v>
      </c>
      <c r="R304" s="26"/>
      <c r="S304" s="22">
        <f t="shared" si="6"/>
        <v>0</v>
      </c>
      <c r="T304" s="22"/>
      <c r="U304" s="31"/>
      <c r="V304" s="51"/>
    </row>
    <row r="305" spans="1:22" ht="20.100000000000001" customHeight="1" x14ac:dyDescent="0.3">
      <c r="A305" s="44">
        <v>297</v>
      </c>
      <c r="B305" s="22">
        <f>+'Order Details Apr23-Mar24'!P305</f>
        <v>45348</v>
      </c>
      <c r="C305" s="23"/>
      <c r="D305" s="53" t="str">
        <f>+'Order Details Apr23-Mar24'!T305</f>
        <v>We Care Animal Health, Bengal</v>
      </c>
      <c r="E305" s="25"/>
      <c r="F305" s="183" t="str">
        <f>+'Order Details Apr23-Mar24'!D305</f>
        <v>FLYVIN (We Care Animal Health)</v>
      </c>
      <c r="G305" s="184"/>
      <c r="H305" s="26" t="str">
        <f>+'Order Details Apr23-Mar24'!G305</f>
        <v>Kg</v>
      </c>
      <c r="I305" s="27">
        <f>+'Order Details Apr23-Mar24'!I305</f>
        <v>100</v>
      </c>
      <c r="J305" s="28"/>
      <c r="K305" s="185" t="str">
        <f>+'Order Details Apr23-Mar24'!R305</f>
        <v>PO / NBF / 260224 / 181</v>
      </c>
      <c r="L305" s="186"/>
      <c r="M305" s="187"/>
      <c r="N305" s="100">
        <f>+'Order Details Apr23-Mar24'!F305*'Order Details Apr23-Mar24'!N305</f>
        <v>72000</v>
      </c>
      <c r="O305" s="25"/>
      <c r="P305" s="22"/>
      <c r="Q305" s="90">
        <v>45</v>
      </c>
      <c r="R305" s="26"/>
      <c r="S305" s="22">
        <f t="shared" si="6"/>
        <v>0</v>
      </c>
      <c r="T305" s="22"/>
      <c r="U305" s="31"/>
      <c r="V305" s="51"/>
    </row>
    <row r="306" spans="1:22" ht="20.100000000000001" customHeight="1" x14ac:dyDescent="0.3">
      <c r="A306" s="44">
        <v>298</v>
      </c>
      <c r="B306" s="22">
        <f>+'Order Details Apr23-Mar24'!P306</f>
        <v>45363</v>
      </c>
      <c r="C306" s="23"/>
      <c r="D306" s="53" t="str">
        <f>+'Order Details Apr23-Mar24'!T306</f>
        <v>Das Drug Centre Pvt Ltd, Habra</v>
      </c>
      <c r="E306" s="25"/>
      <c r="F306" s="183" t="str">
        <f>+'Order Details Apr23-Mar24'!D306</f>
        <v>HIMFLORA (Himalaya)</v>
      </c>
      <c r="G306" s="184"/>
      <c r="H306" s="26" t="str">
        <f>+'Order Details Apr23-Mar24'!G306</f>
        <v>Kg</v>
      </c>
      <c r="I306" s="27">
        <f>+'Order Details Apr23-Mar24'!I306</f>
        <v>300</v>
      </c>
      <c r="J306" s="28"/>
      <c r="K306" s="185" t="str">
        <f>+'Order Details Apr23-Mar24'!R306</f>
        <v>PO / NBF / 120324 / 182</v>
      </c>
      <c r="L306" s="186"/>
      <c r="M306" s="187"/>
      <c r="N306" s="100">
        <f>+'Order Details Apr23-Mar24'!F306*'Order Details Apr23-Mar24'!N306</f>
        <v>172500</v>
      </c>
      <c r="O306" s="25"/>
      <c r="P306" s="22"/>
      <c r="Q306" s="26">
        <v>45</v>
      </c>
      <c r="R306" s="26"/>
      <c r="S306" s="22">
        <f t="shared" si="6"/>
        <v>0</v>
      </c>
      <c r="T306" s="22"/>
      <c r="U306" s="31"/>
      <c r="V306" s="51"/>
    </row>
    <row r="307" spans="1:22" ht="20.100000000000001" customHeight="1" x14ac:dyDescent="0.3">
      <c r="A307" s="44">
        <v>299</v>
      </c>
      <c r="B307" s="22">
        <f>+'Order Details Apr23-Mar24'!P307</f>
        <v>45371</v>
      </c>
      <c r="C307" s="23"/>
      <c r="D307" s="53" t="str">
        <f>+'Order Details Apr23-Mar24'!T307</f>
        <v>Alivira Animal Health Ltd</v>
      </c>
      <c r="E307" s="25"/>
      <c r="F307" s="183" t="str">
        <f>+'Order Details Apr23-Mar24'!D307</f>
        <v>CITRINAL (Alivira)</v>
      </c>
      <c r="G307" s="184"/>
      <c r="H307" s="26" t="str">
        <f>+'Order Details Apr23-Mar24'!G307</f>
        <v>Kg</v>
      </c>
      <c r="I307" s="27">
        <f>+'Order Details Apr23-Mar24'!I307</f>
        <v>1000</v>
      </c>
      <c r="J307" s="28"/>
      <c r="K307" s="185" t="str">
        <f>+'Order Details Apr23-Mar24'!R307</f>
        <v>PO / NBF / 200324 / 183</v>
      </c>
      <c r="L307" s="186"/>
      <c r="M307" s="187"/>
      <c r="N307" s="100">
        <f>+'Order Details Apr23-Mar24'!F307*'Order Details Apr23-Mar24'!N307</f>
        <v>150000</v>
      </c>
      <c r="O307" s="25"/>
      <c r="P307" s="22"/>
      <c r="Q307" s="26">
        <v>45</v>
      </c>
      <c r="R307" s="26"/>
      <c r="S307" s="22">
        <f t="shared" si="6"/>
        <v>0</v>
      </c>
      <c r="T307" s="22"/>
      <c r="U307" s="31"/>
      <c r="V307" s="51"/>
    </row>
    <row r="308" spans="1:22" ht="20.100000000000001" customHeight="1" x14ac:dyDescent="0.3">
      <c r="A308" s="44">
        <v>300</v>
      </c>
      <c r="B308" s="22">
        <f>+'Order Details Apr23-Mar24'!P308</f>
        <v>45371</v>
      </c>
      <c r="C308" s="23"/>
      <c r="D308" s="53" t="str">
        <f>+'Order Details Apr23-Mar24'!T308</f>
        <v>B V Biocrop, Biotech Division</v>
      </c>
      <c r="E308" s="25"/>
      <c r="F308" s="183" t="str">
        <f>+'Order Details Apr23-Mar24'!D308</f>
        <v>LEVUCELL- SB (BV Biocrop)</v>
      </c>
      <c r="G308" s="184"/>
      <c r="H308" s="26" t="str">
        <f>+'Order Details Apr23-Mar24'!G308</f>
        <v>Kg</v>
      </c>
      <c r="I308" s="27">
        <f>+'Order Details Apr23-Mar24'!I308</f>
        <v>300</v>
      </c>
      <c r="J308" s="28"/>
      <c r="K308" s="185" t="str">
        <f>+'Order Details Apr23-Mar24'!R308</f>
        <v>PO / NBF / 200324 / 184</v>
      </c>
      <c r="L308" s="186"/>
      <c r="M308" s="187"/>
      <c r="N308" s="100">
        <f>+'Order Details Apr23-Mar24'!F308*'Order Details Apr23-Mar24'!N308</f>
        <v>129000</v>
      </c>
      <c r="O308" s="25"/>
      <c r="P308" s="22"/>
      <c r="Q308" s="61">
        <v>45</v>
      </c>
      <c r="R308" s="26"/>
      <c r="S308" s="22">
        <f t="shared" si="6"/>
        <v>0</v>
      </c>
      <c r="T308" s="22"/>
      <c r="U308" s="31"/>
      <c r="V308" s="51"/>
    </row>
    <row r="309" spans="1:22" ht="20.100000000000001" customHeight="1" x14ac:dyDescent="0.3">
      <c r="A309" s="44">
        <v>301</v>
      </c>
      <c r="B309" s="22">
        <f>+'Order Details Apr23-Mar24'!P309</f>
        <v>45377</v>
      </c>
      <c r="C309" s="23"/>
      <c r="D309" s="53" t="str">
        <f>+'Order Details Apr23-Mar24'!T309</f>
        <v>Das Drug Centre Pvt Ltd, Habra</v>
      </c>
      <c r="E309" s="25"/>
      <c r="F309" s="183" t="str">
        <f>+'Order Details Apr23-Mar24'!D309</f>
        <v>HIMLAY (Himalaya)</v>
      </c>
      <c r="G309" s="184"/>
      <c r="H309" s="26" t="str">
        <f>+'Order Details Apr23-Mar24'!G309</f>
        <v>Kg</v>
      </c>
      <c r="I309" s="27">
        <f>+'Order Details Apr23-Mar24'!I309</f>
        <v>504</v>
      </c>
      <c r="J309" s="28"/>
      <c r="K309" s="185" t="str">
        <f>+'Order Details Apr23-Mar24'!R309</f>
        <v>PO / NBF / 260324 / 185</v>
      </c>
      <c r="L309" s="186"/>
      <c r="M309" s="187"/>
      <c r="N309" s="100">
        <f>+'Order Details Apr23-Mar24'!F309*'Order Details Apr23-Mar24'!N309</f>
        <v>302400</v>
      </c>
      <c r="O309" s="25"/>
      <c r="P309" s="22"/>
      <c r="Q309" s="26">
        <v>45</v>
      </c>
      <c r="R309" s="26"/>
      <c r="S309" s="22">
        <f t="shared" si="6"/>
        <v>0</v>
      </c>
      <c r="T309" s="22"/>
      <c r="U309" s="31"/>
      <c r="V309" s="51"/>
    </row>
    <row r="310" spans="1:22" ht="20.100000000000001" customHeight="1" x14ac:dyDescent="0.3">
      <c r="A310" s="44">
        <v>302</v>
      </c>
      <c r="B310" s="22">
        <f>+'Order Details Apr23-Mar24'!P310</f>
        <v>45377</v>
      </c>
      <c r="C310" s="23"/>
      <c r="D310" s="53" t="str">
        <f>+'Order Details Apr23-Mar24'!T310</f>
        <v>Healers Associates, Vijayawada</v>
      </c>
      <c r="E310" s="25"/>
      <c r="F310" s="183" t="str">
        <f>+'Order Details Apr23-Mar24'!D310</f>
        <v>TIAMU-MED (Medichem Product)</v>
      </c>
      <c r="G310" s="184"/>
      <c r="H310" s="26" t="str">
        <f>+'Order Details Apr23-Mar24'!G310</f>
        <v>Kg</v>
      </c>
      <c r="I310" s="27">
        <f>+'Order Details Apr23-Mar24'!I310</f>
        <v>300</v>
      </c>
      <c r="J310" s="28"/>
      <c r="K310" s="185" t="str">
        <f>+'Order Details Apr23-Mar24'!R310</f>
        <v>PO / NBF / 260324 / 186</v>
      </c>
      <c r="L310" s="186"/>
      <c r="M310" s="187"/>
      <c r="N310" s="100">
        <f>+'Order Details Apr23-Mar24'!F310*'Order Details Apr23-Mar24'!N310</f>
        <v>202500</v>
      </c>
      <c r="O310" s="25"/>
      <c r="P310" s="22"/>
      <c r="Q310" s="26">
        <v>45</v>
      </c>
      <c r="R310" s="26"/>
      <c r="S310" s="22">
        <f t="shared" si="6"/>
        <v>0</v>
      </c>
      <c r="T310" s="22"/>
      <c r="U310" s="31"/>
      <c r="V310" s="51"/>
    </row>
    <row r="311" spans="1:22" ht="20.100000000000001" customHeight="1" x14ac:dyDescent="0.3">
      <c r="A311" s="44">
        <v>303</v>
      </c>
      <c r="B311" s="22">
        <f>+'Order Details Apr23-Mar24'!P311</f>
        <v>45377</v>
      </c>
      <c r="C311" s="23"/>
      <c r="D311" s="53" t="str">
        <f>+'Order Details Apr23-Mar24'!T311</f>
        <v>Huve Pharma Sea Pune Pvt Ltd</v>
      </c>
      <c r="E311" s="25"/>
      <c r="F311" s="183" t="str">
        <f>+'Order Details Apr23-Mar24'!D311</f>
        <v>BIO - D 100 (Huvepharma)</v>
      </c>
      <c r="G311" s="184"/>
      <c r="H311" s="26" t="str">
        <f>+'Order Details Apr23-Mar24'!G311</f>
        <v>Kg</v>
      </c>
      <c r="I311" s="27">
        <f>+'Order Details Apr23-Mar24'!I311</f>
        <v>200</v>
      </c>
      <c r="J311" s="28"/>
      <c r="K311" s="185" t="str">
        <f>+'Order Details Apr23-Mar24'!R311</f>
        <v>PO / NBF / 260324 / 187</v>
      </c>
      <c r="L311" s="186"/>
      <c r="M311" s="187"/>
      <c r="N311" s="100">
        <f>+'Order Details Apr23-Mar24'!F311*'Order Details Apr23-Mar24'!N311</f>
        <v>310000</v>
      </c>
      <c r="O311" s="25"/>
      <c r="P311" s="22"/>
      <c r="Q311" s="103">
        <v>45</v>
      </c>
      <c r="R311" s="26"/>
      <c r="S311" s="22">
        <f t="shared" si="6"/>
        <v>0</v>
      </c>
      <c r="T311" s="22"/>
      <c r="U311" s="31"/>
      <c r="V311" s="51"/>
    </row>
    <row r="312" spans="1:22" ht="20.100000000000001" customHeight="1" x14ac:dyDescent="0.3">
      <c r="A312" s="44">
        <v>304</v>
      </c>
      <c r="B312" s="22">
        <f>+'Order Details Apr23-Mar24'!P312</f>
        <v>45377</v>
      </c>
      <c r="C312" s="23"/>
      <c r="D312" s="53" t="str">
        <f>+'Order Details Apr23-Mar24'!T312</f>
        <v>Ves Spa, Barasat, West Bengal</v>
      </c>
      <c r="E312" s="25"/>
      <c r="F312" s="183" t="str">
        <f>+'Order Details Apr23-Mar24'!D312</f>
        <v>VES CHOL 60% (Vesper)</v>
      </c>
      <c r="G312" s="184"/>
      <c r="H312" s="26" t="str">
        <f>+'Order Details Apr23-Mar24'!G312</f>
        <v>Kg</v>
      </c>
      <c r="I312" s="27">
        <f>+'Order Details Apr23-Mar24'!I312</f>
        <v>1000</v>
      </c>
      <c r="J312" s="28"/>
      <c r="K312" s="185" t="str">
        <f>+'Order Details Apr23-Mar24'!R312</f>
        <v>PO / NBF / 260324 / 188</v>
      </c>
      <c r="L312" s="186"/>
      <c r="M312" s="187"/>
      <c r="N312" s="100">
        <f>+'Order Details Apr23-Mar24'!F312*'Order Details Apr23-Mar24'!N312</f>
        <v>90000</v>
      </c>
      <c r="O312" s="25"/>
      <c r="P312" s="22"/>
      <c r="Q312" s="26">
        <v>45</v>
      </c>
      <c r="R312" s="26"/>
      <c r="S312" s="22">
        <f t="shared" si="6"/>
        <v>0</v>
      </c>
      <c r="T312" s="22"/>
      <c r="U312" s="31"/>
      <c r="V312" s="51"/>
    </row>
    <row r="313" spans="1:22" ht="20.100000000000001" customHeight="1" x14ac:dyDescent="0.3">
      <c r="A313" s="44">
        <v>305</v>
      </c>
      <c r="B313" s="22">
        <f>+'Order Details Apr23-Mar24'!P313</f>
        <v>45381</v>
      </c>
      <c r="C313" s="23"/>
      <c r="D313" s="53" t="str">
        <f>+'Order Details Apr23-Mar24'!T313</f>
        <v>PP &amp; B Mart Pvt Ltd, Habra</v>
      </c>
      <c r="E313" s="25"/>
      <c r="F313" s="183" t="str">
        <f>+'Order Details Apr23-Mar24'!D313</f>
        <v>MASTERSORB (EW Nutrition)</v>
      </c>
      <c r="G313" s="184"/>
      <c r="H313" s="26" t="str">
        <f>+'Order Details Apr23-Mar24'!G313</f>
        <v>Kg</v>
      </c>
      <c r="I313" s="27">
        <f>+'Order Details Apr23-Mar24'!I313</f>
        <v>1000</v>
      </c>
      <c r="J313" s="28"/>
      <c r="K313" s="185" t="str">
        <f>+'Order Details Apr23-Mar24'!R313</f>
        <v>PO / NBF / 300324 / 189</v>
      </c>
      <c r="L313" s="186"/>
      <c r="M313" s="187"/>
      <c r="N313" s="100">
        <f>+'Order Details Apr23-Mar24'!F313*'Order Details Apr23-Mar24'!N313</f>
        <v>128000</v>
      </c>
      <c r="O313" s="25"/>
      <c r="P313" s="22"/>
      <c r="Q313" s="26">
        <v>45</v>
      </c>
      <c r="R313" s="26"/>
      <c r="S313" s="22">
        <f t="shared" si="6"/>
        <v>0</v>
      </c>
      <c r="T313" s="22"/>
      <c r="U313" s="31"/>
      <c r="V313" s="51"/>
    </row>
    <row r="314" spans="1:22" ht="20.100000000000001" customHeight="1" x14ac:dyDescent="0.3">
      <c r="A314" s="44">
        <v>306</v>
      </c>
      <c r="B314" s="22">
        <f>+'Order Details Apr23-Mar24'!P314</f>
        <v>0</v>
      </c>
      <c r="C314" s="23"/>
      <c r="D314" s="53">
        <f>+'Order Details Apr23-Mar24'!T314</f>
        <v>0</v>
      </c>
      <c r="E314" s="25"/>
      <c r="F314" s="183">
        <f>+'Order Details Apr23-Mar24'!D314</f>
        <v>0</v>
      </c>
      <c r="G314" s="184"/>
      <c r="H314" s="26">
        <f>+'Order Details Apr23-Mar24'!G314</f>
        <v>0</v>
      </c>
      <c r="I314" s="27">
        <f>+'Order Details Apr23-Mar24'!I314</f>
        <v>0</v>
      </c>
      <c r="J314" s="28"/>
      <c r="K314" s="185">
        <f>+'Order Details Apr23-Mar24'!R314</f>
        <v>0</v>
      </c>
      <c r="L314" s="186"/>
      <c r="M314" s="187"/>
      <c r="N314" s="100">
        <f>+'Order Details Apr23-Mar24'!F314*'Order Details Apr23-Mar24'!N314</f>
        <v>0</v>
      </c>
      <c r="O314" s="25"/>
      <c r="P314" s="22"/>
      <c r="Q314" s="26"/>
      <c r="R314" s="26"/>
      <c r="S314" s="22">
        <f t="shared" si="6"/>
        <v>0</v>
      </c>
      <c r="T314" s="22"/>
      <c r="U314" s="31"/>
      <c r="V314" s="51"/>
    </row>
    <row r="315" spans="1:22" ht="20.100000000000001" customHeight="1" x14ac:dyDescent="0.3">
      <c r="A315" s="44">
        <v>307</v>
      </c>
      <c r="B315" s="22">
        <f>+'Order Details Apr23-Mar24'!P315</f>
        <v>0</v>
      </c>
      <c r="C315" s="23"/>
      <c r="D315" s="53">
        <f>+'Order Details Apr23-Mar24'!T315</f>
        <v>0</v>
      </c>
      <c r="E315" s="25"/>
      <c r="F315" s="183">
        <f>+'Order Details Apr23-Mar24'!D315</f>
        <v>0</v>
      </c>
      <c r="G315" s="184"/>
      <c r="H315" s="26">
        <f>+'Order Details Apr23-Mar24'!G315</f>
        <v>0</v>
      </c>
      <c r="I315" s="27">
        <f>+'Order Details Apr23-Mar24'!I315</f>
        <v>0</v>
      </c>
      <c r="J315" s="28"/>
      <c r="K315" s="185">
        <f>+'Order Details Apr23-Mar24'!R315</f>
        <v>0</v>
      </c>
      <c r="L315" s="186"/>
      <c r="M315" s="187"/>
      <c r="N315" s="100">
        <f>+'Order Details Apr23-Mar24'!F315*'Order Details Apr23-Mar24'!N315</f>
        <v>0</v>
      </c>
      <c r="O315" s="25"/>
      <c r="P315" s="22"/>
      <c r="Q315" s="26"/>
      <c r="R315" s="26"/>
      <c r="S315" s="22">
        <f t="shared" si="6"/>
        <v>0</v>
      </c>
      <c r="T315" s="22"/>
      <c r="U315" s="31"/>
      <c r="V315" s="51"/>
    </row>
    <row r="316" spans="1:22" ht="20.100000000000001" customHeight="1" x14ac:dyDescent="0.3">
      <c r="A316" s="44">
        <v>308</v>
      </c>
      <c r="B316" s="22">
        <f>+'Order Details Apr23-Mar24'!P316</f>
        <v>0</v>
      </c>
      <c r="C316" s="23"/>
      <c r="D316" s="53">
        <f>+'Order Details Apr23-Mar24'!T316</f>
        <v>0</v>
      </c>
      <c r="E316" s="25"/>
      <c r="F316" s="183">
        <f>+'Order Details Apr23-Mar24'!D316</f>
        <v>0</v>
      </c>
      <c r="G316" s="184"/>
      <c r="H316" s="26">
        <f>+'Order Details Apr23-Mar24'!G316</f>
        <v>0</v>
      </c>
      <c r="I316" s="27">
        <f>+'Order Details Apr23-Mar24'!I316</f>
        <v>0</v>
      </c>
      <c r="J316" s="28"/>
      <c r="K316" s="185">
        <f>+'Order Details Apr23-Mar24'!R316</f>
        <v>0</v>
      </c>
      <c r="L316" s="186"/>
      <c r="M316" s="187"/>
      <c r="N316" s="100">
        <f>+'Order Details Apr23-Mar24'!F316*'Order Details Apr23-Mar24'!N316</f>
        <v>0</v>
      </c>
      <c r="O316" s="25"/>
      <c r="P316" s="22"/>
      <c r="Q316" s="26"/>
      <c r="R316" s="26"/>
      <c r="S316" s="22">
        <f t="shared" si="6"/>
        <v>0</v>
      </c>
      <c r="T316" s="22"/>
      <c r="U316" s="31"/>
      <c r="V316" s="51"/>
    </row>
    <row r="317" spans="1:22" ht="20.100000000000001" customHeight="1" x14ac:dyDescent="0.3">
      <c r="A317" s="44">
        <v>309</v>
      </c>
      <c r="B317" s="22">
        <f>+'Order Details Apr23-Mar24'!P317</f>
        <v>0</v>
      </c>
      <c r="C317" s="23"/>
      <c r="D317" s="53">
        <f>+'Order Details Apr23-Mar24'!T317</f>
        <v>0</v>
      </c>
      <c r="E317" s="25"/>
      <c r="F317" s="183">
        <f>+'Order Details Apr23-Mar24'!D317</f>
        <v>0</v>
      </c>
      <c r="G317" s="184"/>
      <c r="H317" s="26">
        <f>+'Order Details Apr23-Mar24'!G317</f>
        <v>0</v>
      </c>
      <c r="I317" s="27">
        <f>+'Order Details Apr23-Mar24'!I317</f>
        <v>0</v>
      </c>
      <c r="J317" s="28"/>
      <c r="K317" s="185">
        <f>+'Order Details Apr23-Mar24'!R317</f>
        <v>0</v>
      </c>
      <c r="L317" s="186"/>
      <c r="M317" s="187"/>
      <c r="N317" s="100">
        <f>+'Order Details Apr23-Mar24'!F317*'Order Details Apr23-Mar24'!N317</f>
        <v>0</v>
      </c>
      <c r="O317" s="25"/>
      <c r="P317" s="22"/>
      <c r="Q317" s="26"/>
      <c r="R317" s="26"/>
      <c r="S317" s="22">
        <f t="shared" si="6"/>
        <v>0</v>
      </c>
      <c r="T317" s="22"/>
      <c r="U317" s="31"/>
      <c r="V317" s="51"/>
    </row>
    <row r="318" spans="1:22" ht="20.100000000000001" customHeight="1" x14ac:dyDescent="0.3">
      <c r="A318" s="44">
        <v>310</v>
      </c>
      <c r="B318" s="22">
        <f>+'Order Details Apr23-Mar24'!P318</f>
        <v>0</v>
      </c>
      <c r="C318" s="23"/>
      <c r="D318" s="53">
        <f>+'Order Details Apr23-Mar24'!T318</f>
        <v>0</v>
      </c>
      <c r="E318" s="25"/>
      <c r="F318" s="183">
        <f>+'Order Details Apr23-Mar24'!D318</f>
        <v>0</v>
      </c>
      <c r="G318" s="184"/>
      <c r="H318" s="26">
        <f>+'Order Details Apr23-Mar24'!G318</f>
        <v>0</v>
      </c>
      <c r="I318" s="27">
        <f>+'Order Details Apr23-Mar24'!I318</f>
        <v>0</v>
      </c>
      <c r="J318" s="28"/>
      <c r="K318" s="185">
        <f>+'Order Details Apr23-Mar24'!R318</f>
        <v>0</v>
      </c>
      <c r="L318" s="186"/>
      <c r="M318" s="187"/>
      <c r="N318" s="100">
        <f>+'Order Details Apr23-Mar24'!F318*'Order Details Apr23-Mar24'!N318</f>
        <v>0</v>
      </c>
      <c r="O318" s="25"/>
      <c r="P318" s="22"/>
      <c r="Q318" s="26"/>
      <c r="R318" s="26"/>
      <c r="S318" s="22">
        <f t="shared" si="6"/>
        <v>0</v>
      </c>
      <c r="T318" s="22"/>
      <c r="U318" s="31"/>
      <c r="V318" s="51"/>
    </row>
    <row r="319" spans="1:22" ht="20.100000000000001" customHeight="1" x14ac:dyDescent="0.3">
      <c r="A319" s="44">
        <v>311</v>
      </c>
      <c r="B319" s="22">
        <f>+'Order Details Apr23-Mar24'!P319</f>
        <v>0</v>
      </c>
      <c r="C319" s="23"/>
      <c r="D319" s="53">
        <f>+'Order Details Apr23-Mar24'!T319</f>
        <v>0</v>
      </c>
      <c r="E319" s="25"/>
      <c r="F319" s="183">
        <f>+'Order Details Apr23-Mar24'!D319</f>
        <v>0</v>
      </c>
      <c r="G319" s="184"/>
      <c r="H319" s="26">
        <f>+'Order Details Apr23-Mar24'!G319</f>
        <v>0</v>
      </c>
      <c r="I319" s="27">
        <f>+'Order Details Apr23-Mar24'!I319</f>
        <v>0</v>
      </c>
      <c r="J319" s="28"/>
      <c r="K319" s="185">
        <f>+'Order Details Apr23-Mar24'!R319</f>
        <v>0</v>
      </c>
      <c r="L319" s="186"/>
      <c r="M319" s="187"/>
      <c r="N319" s="100">
        <f>+'Order Details Apr23-Mar24'!F319*'Order Details Apr23-Mar24'!N319</f>
        <v>0</v>
      </c>
      <c r="O319" s="25"/>
      <c r="P319" s="22"/>
      <c r="Q319" s="26"/>
      <c r="R319" s="26"/>
      <c r="S319" s="22">
        <f t="shared" si="6"/>
        <v>0</v>
      </c>
      <c r="T319" s="22"/>
      <c r="U319" s="31"/>
      <c r="V319" s="51"/>
    </row>
    <row r="320" spans="1:22" ht="20.100000000000001" customHeight="1" x14ac:dyDescent="0.3">
      <c r="A320" s="44">
        <v>312</v>
      </c>
      <c r="B320" s="22">
        <f>+'Order Details Apr23-Mar24'!P320</f>
        <v>0</v>
      </c>
      <c r="C320" s="23"/>
      <c r="D320" s="53">
        <f>+'Order Details Apr23-Mar24'!T320</f>
        <v>0</v>
      </c>
      <c r="E320" s="25"/>
      <c r="F320" s="183">
        <f>+'Order Details Apr23-Mar24'!D320</f>
        <v>0</v>
      </c>
      <c r="G320" s="184"/>
      <c r="H320" s="26">
        <f>+'Order Details Apr23-Mar24'!G320</f>
        <v>0</v>
      </c>
      <c r="I320" s="27">
        <f>+'Order Details Apr23-Mar24'!I320</f>
        <v>0</v>
      </c>
      <c r="J320" s="28"/>
      <c r="K320" s="185">
        <f>+'Order Details Apr23-Mar24'!R320</f>
        <v>0</v>
      </c>
      <c r="L320" s="186"/>
      <c r="M320" s="187"/>
      <c r="N320" s="100">
        <f>+'Order Details Apr23-Mar24'!F320*'Order Details Apr23-Mar24'!N320</f>
        <v>0</v>
      </c>
      <c r="O320" s="25"/>
      <c r="P320" s="22"/>
      <c r="Q320" s="26"/>
      <c r="R320" s="26"/>
      <c r="S320" s="22">
        <f t="shared" si="6"/>
        <v>0</v>
      </c>
      <c r="T320" s="22"/>
      <c r="U320" s="31"/>
      <c r="V320" s="51"/>
    </row>
    <row r="321" spans="1:22" ht="20.100000000000001" customHeight="1" x14ac:dyDescent="0.3">
      <c r="A321" s="44">
        <v>313</v>
      </c>
      <c r="B321" s="22">
        <f>+'Order Details Apr23-Mar24'!P321</f>
        <v>0</v>
      </c>
      <c r="C321" s="23"/>
      <c r="D321" s="53">
        <f>+'Order Details Apr23-Mar24'!T321</f>
        <v>0</v>
      </c>
      <c r="E321" s="25"/>
      <c r="F321" s="183">
        <f>+'Order Details Apr23-Mar24'!D321</f>
        <v>0</v>
      </c>
      <c r="G321" s="184"/>
      <c r="H321" s="26">
        <f>+'Order Details Apr23-Mar24'!G321</f>
        <v>0</v>
      </c>
      <c r="I321" s="27">
        <f>+'Order Details Apr23-Mar24'!I321</f>
        <v>0</v>
      </c>
      <c r="J321" s="28"/>
      <c r="K321" s="185">
        <f>+'Order Details Apr23-Mar24'!R321</f>
        <v>0</v>
      </c>
      <c r="L321" s="186"/>
      <c r="M321" s="187"/>
      <c r="N321" s="100">
        <f>+'Order Details Apr23-Mar24'!F321*'Order Details Apr23-Mar24'!N321</f>
        <v>0</v>
      </c>
      <c r="O321" s="25"/>
      <c r="P321" s="22"/>
      <c r="Q321" s="26"/>
      <c r="R321" s="26"/>
      <c r="S321" s="22">
        <f t="shared" si="6"/>
        <v>0</v>
      </c>
      <c r="T321" s="22"/>
      <c r="U321" s="31"/>
      <c r="V321" s="51"/>
    </row>
    <row r="322" spans="1:22" ht="20.100000000000001" customHeight="1" x14ac:dyDescent="0.3">
      <c r="A322" s="44">
        <v>314</v>
      </c>
      <c r="B322" s="22">
        <f>+'Order Details Apr23-Mar24'!P322</f>
        <v>0</v>
      </c>
      <c r="C322" s="23"/>
      <c r="D322" s="53">
        <f>+'Order Details Apr23-Mar24'!T322</f>
        <v>0</v>
      </c>
      <c r="E322" s="25"/>
      <c r="F322" s="183">
        <f>+'Order Details Apr23-Mar24'!D322</f>
        <v>0</v>
      </c>
      <c r="G322" s="184"/>
      <c r="H322" s="26">
        <f>+'Order Details Apr23-Mar24'!G322</f>
        <v>0</v>
      </c>
      <c r="I322" s="27">
        <f>+'Order Details Apr23-Mar24'!I322</f>
        <v>0</v>
      </c>
      <c r="J322" s="28"/>
      <c r="K322" s="185">
        <f>+'Order Details Apr23-Mar24'!R322</f>
        <v>0</v>
      </c>
      <c r="L322" s="186"/>
      <c r="M322" s="187"/>
      <c r="N322" s="100">
        <f>+'Order Details Apr23-Mar24'!F322*'Order Details Apr23-Mar24'!N322</f>
        <v>0</v>
      </c>
      <c r="O322" s="25"/>
      <c r="P322" s="22"/>
      <c r="Q322" s="26"/>
      <c r="R322" s="26"/>
      <c r="S322" s="22">
        <f t="shared" si="6"/>
        <v>0</v>
      </c>
      <c r="T322" s="22"/>
      <c r="U322" s="31"/>
      <c r="V322" s="51"/>
    </row>
    <row r="323" spans="1:22" ht="20.100000000000001" customHeight="1" x14ac:dyDescent="0.3">
      <c r="A323" s="44">
        <v>315</v>
      </c>
      <c r="B323" s="22">
        <f>+'Order Details Apr23-Mar24'!P323</f>
        <v>0</v>
      </c>
      <c r="C323" s="23"/>
      <c r="D323" s="53">
        <f>+'Order Details Apr23-Mar24'!T323</f>
        <v>0</v>
      </c>
      <c r="E323" s="25"/>
      <c r="F323" s="183">
        <f>+'Order Details Apr23-Mar24'!D323</f>
        <v>0</v>
      </c>
      <c r="G323" s="184"/>
      <c r="H323" s="26">
        <f>+'Order Details Apr23-Mar24'!G323</f>
        <v>0</v>
      </c>
      <c r="I323" s="27">
        <f>+'Order Details Apr23-Mar24'!I323</f>
        <v>0</v>
      </c>
      <c r="J323" s="28"/>
      <c r="K323" s="185">
        <f>+'Order Details Apr23-Mar24'!R323</f>
        <v>0</v>
      </c>
      <c r="L323" s="186"/>
      <c r="M323" s="187"/>
      <c r="N323" s="100">
        <f>+'Order Details Apr23-Mar24'!F323*'Order Details Apr23-Mar24'!N323</f>
        <v>0</v>
      </c>
      <c r="O323" s="25"/>
      <c r="P323" s="22"/>
      <c r="Q323" s="26"/>
      <c r="R323" s="26"/>
      <c r="S323" s="22">
        <f t="shared" si="6"/>
        <v>0</v>
      </c>
      <c r="T323" s="22"/>
      <c r="U323" s="31"/>
      <c r="V323" s="51"/>
    </row>
    <row r="324" spans="1:22" ht="20.100000000000001" customHeight="1" x14ac:dyDescent="0.3">
      <c r="A324" s="44">
        <v>316</v>
      </c>
      <c r="B324" s="22">
        <f>+'Order Details Apr23-Mar24'!P324</f>
        <v>0</v>
      </c>
      <c r="C324" s="23"/>
      <c r="D324" s="53">
        <f>+'Order Details Apr23-Mar24'!T324</f>
        <v>0</v>
      </c>
      <c r="E324" s="25"/>
      <c r="F324" s="183">
        <f>+'Order Details Apr23-Mar24'!D324</f>
        <v>0</v>
      </c>
      <c r="G324" s="184"/>
      <c r="H324" s="26">
        <f>+'Order Details Apr23-Mar24'!G324</f>
        <v>0</v>
      </c>
      <c r="I324" s="27">
        <f>+'Order Details Apr23-Mar24'!I324</f>
        <v>0</v>
      </c>
      <c r="J324" s="28"/>
      <c r="K324" s="185">
        <f>+'Order Details Apr23-Mar24'!R324</f>
        <v>0</v>
      </c>
      <c r="L324" s="186"/>
      <c r="M324" s="187"/>
      <c r="N324" s="100">
        <f>+'Order Details Apr23-Mar24'!F324*'Order Details Apr23-Mar24'!N324</f>
        <v>0</v>
      </c>
      <c r="O324" s="25"/>
      <c r="P324" s="22"/>
      <c r="Q324" s="26"/>
      <c r="R324" s="26"/>
      <c r="S324" s="22">
        <f t="shared" si="6"/>
        <v>0</v>
      </c>
      <c r="T324" s="22"/>
      <c r="U324" s="31"/>
      <c r="V324" s="51"/>
    </row>
    <row r="325" spans="1:22" ht="20.100000000000001" customHeight="1" x14ac:dyDescent="0.3">
      <c r="A325" s="44">
        <v>317</v>
      </c>
      <c r="B325" s="22">
        <f>+'Order Details Apr23-Mar24'!P325</f>
        <v>0</v>
      </c>
      <c r="C325" s="23"/>
      <c r="D325" s="53">
        <f>+'Order Details Apr23-Mar24'!T325</f>
        <v>0</v>
      </c>
      <c r="E325" s="25"/>
      <c r="F325" s="183">
        <f>+'Order Details Apr23-Mar24'!D325</f>
        <v>0</v>
      </c>
      <c r="G325" s="184"/>
      <c r="H325" s="26">
        <f>+'Order Details Apr23-Mar24'!G325</f>
        <v>0</v>
      </c>
      <c r="I325" s="27">
        <f>+'Order Details Apr23-Mar24'!I325</f>
        <v>0</v>
      </c>
      <c r="J325" s="28"/>
      <c r="K325" s="185">
        <f>+'Order Details Apr23-Mar24'!R325</f>
        <v>0</v>
      </c>
      <c r="L325" s="186"/>
      <c r="M325" s="187"/>
      <c r="N325" s="100">
        <f>+'Order Details Apr23-Mar24'!F325*'Order Details Apr23-Mar24'!N325</f>
        <v>0</v>
      </c>
      <c r="O325" s="25"/>
      <c r="P325" s="22"/>
      <c r="Q325" s="26"/>
      <c r="R325" s="26"/>
      <c r="S325" s="22">
        <f t="shared" si="6"/>
        <v>0</v>
      </c>
      <c r="T325" s="22"/>
      <c r="U325" s="31"/>
      <c r="V325" s="51"/>
    </row>
    <row r="326" spans="1:22" ht="20.100000000000001" customHeight="1" x14ac:dyDescent="0.3">
      <c r="A326" s="44">
        <v>318</v>
      </c>
      <c r="B326" s="22">
        <f>+'Order Details Apr23-Mar24'!P326</f>
        <v>0</v>
      </c>
      <c r="C326" s="23"/>
      <c r="D326" s="53">
        <f>+'Order Details Apr23-Mar24'!T326</f>
        <v>0</v>
      </c>
      <c r="E326" s="25"/>
      <c r="F326" s="183">
        <f>+'Order Details Apr23-Mar24'!D326</f>
        <v>0</v>
      </c>
      <c r="G326" s="184"/>
      <c r="H326" s="26">
        <f>+'Order Details Apr23-Mar24'!G326</f>
        <v>0</v>
      </c>
      <c r="I326" s="27">
        <f>+'Order Details Apr23-Mar24'!I326</f>
        <v>0</v>
      </c>
      <c r="J326" s="28"/>
      <c r="K326" s="185">
        <f>+'Order Details Apr23-Mar24'!R326</f>
        <v>0</v>
      </c>
      <c r="L326" s="186"/>
      <c r="M326" s="187"/>
      <c r="N326" s="100">
        <f>+'Order Details Apr23-Mar24'!F326*'Order Details Apr23-Mar24'!N326</f>
        <v>0</v>
      </c>
      <c r="O326" s="25"/>
      <c r="P326" s="22"/>
      <c r="Q326" s="26"/>
      <c r="R326" s="26"/>
      <c r="S326" s="22">
        <f t="shared" si="6"/>
        <v>0</v>
      </c>
      <c r="T326" s="22"/>
      <c r="U326" s="31"/>
      <c r="V326" s="51"/>
    </row>
    <row r="327" spans="1:22" ht="20.100000000000001" customHeight="1" x14ac:dyDescent="0.3">
      <c r="A327" s="44">
        <v>319</v>
      </c>
      <c r="B327" s="22">
        <f>+'Order Details Apr23-Mar24'!P327</f>
        <v>0</v>
      </c>
      <c r="C327" s="23"/>
      <c r="D327" s="53">
        <f>+'Order Details Apr23-Mar24'!T327</f>
        <v>0</v>
      </c>
      <c r="E327" s="25"/>
      <c r="F327" s="183">
        <f>+'Order Details Apr23-Mar24'!D327</f>
        <v>0</v>
      </c>
      <c r="G327" s="184"/>
      <c r="H327" s="26">
        <f>+'Order Details Apr23-Mar24'!G327</f>
        <v>0</v>
      </c>
      <c r="I327" s="27">
        <f>+'Order Details Apr23-Mar24'!I327</f>
        <v>0</v>
      </c>
      <c r="J327" s="28"/>
      <c r="K327" s="185">
        <f>+'Order Details Apr23-Mar24'!R327</f>
        <v>0</v>
      </c>
      <c r="L327" s="186"/>
      <c r="M327" s="187"/>
      <c r="N327" s="100">
        <f>+'Order Details Apr23-Mar24'!F327*'Order Details Apr23-Mar24'!N327</f>
        <v>0</v>
      </c>
      <c r="O327" s="25"/>
      <c r="P327" s="22"/>
      <c r="Q327" s="26"/>
      <c r="R327" s="26"/>
      <c r="S327" s="22">
        <f t="shared" si="6"/>
        <v>0</v>
      </c>
      <c r="T327" s="22"/>
      <c r="U327" s="31"/>
      <c r="V327" s="51"/>
    </row>
    <row r="328" spans="1:22" ht="20.100000000000001" customHeight="1" x14ac:dyDescent="0.3">
      <c r="A328" s="44">
        <v>320</v>
      </c>
      <c r="B328" s="22">
        <f>+'Order Details Apr23-Mar24'!P328</f>
        <v>0</v>
      </c>
      <c r="C328" s="23"/>
      <c r="D328" s="53">
        <f>+'Order Details Apr23-Mar24'!T328</f>
        <v>0</v>
      </c>
      <c r="E328" s="25"/>
      <c r="F328" s="183">
        <f>+'Order Details Apr23-Mar24'!D328</f>
        <v>0</v>
      </c>
      <c r="G328" s="184"/>
      <c r="H328" s="26">
        <f>+'Order Details Apr23-Mar24'!G328</f>
        <v>0</v>
      </c>
      <c r="I328" s="27">
        <f>+'Order Details Apr23-Mar24'!I328</f>
        <v>0</v>
      </c>
      <c r="J328" s="28"/>
      <c r="K328" s="185">
        <f>+'Order Details Apr23-Mar24'!R328</f>
        <v>0</v>
      </c>
      <c r="L328" s="186"/>
      <c r="M328" s="187"/>
      <c r="N328" s="100">
        <f>+'Order Details Apr23-Mar24'!F328*'Order Details Apr23-Mar24'!N328</f>
        <v>0</v>
      </c>
      <c r="O328" s="25"/>
      <c r="P328" s="22"/>
      <c r="Q328" s="26"/>
      <c r="R328" s="26"/>
      <c r="S328" s="22">
        <f t="shared" si="6"/>
        <v>0</v>
      </c>
      <c r="T328" s="22"/>
      <c r="U328" s="31"/>
      <c r="V328" s="51"/>
    </row>
    <row r="329" spans="1:22" ht="20.100000000000001" customHeight="1" x14ac:dyDescent="0.3">
      <c r="A329" s="44">
        <v>321</v>
      </c>
      <c r="B329" s="22">
        <f>+'Order Details Apr23-Mar24'!P329</f>
        <v>0</v>
      </c>
      <c r="C329" s="23"/>
      <c r="D329" s="53">
        <f>+'Order Details Apr23-Mar24'!T329</f>
        <v>0</v>
      </c>
      <c r="E329" s="25"/>
      <c r="F329" s="183">
        <f>+'Order Details Apr23-Mar24'!D329</f>
        <v>0</v>
      </c>
      <c r="G329" s="184"/>
      <c r="H329" s="26">
        <f>+'Order Details Apr23-Mar24'!G329</f>
        <v>0</v>
      </c>
      <c r="I329" s="27">
        <f>+'Order Details Apr23-Mar24'!I329</f>
        <v>0</v>
      </c>
      <c r="J329" s="28"/>
      <c r="K329" s="185">
        <f>+'Order Details Apr23-Mar24'!R329</f>
        <v>0</v>
      </c>
      <c r="L329" s="186"/>
      <c r="M329" s="187"/>
      <c r="N329" s="100">
        <f>+'Order Details Apr23-Mar24'!F329*'Order Details Apr23-Mar24'!N329</f>
        <v>0</v>
      </c>
      <c r="O329" s="25"/>
      <c r="P329" s="22"/>
      <c r="Q329" s="26"/>
      <c r="R329" s="26"/>
      <c r="S329" s="22">
        <f t="shared" si="6"/>
        <v>0</v>
      </c>
      <c r="T329" s="22"/>
      <c r="U329" s="31"/>
      <c r="V329" s="51"/>
    </row>
    <row r="330" spans="1:22" ht="20.100000000000001" customHeight="1" x14ac:dyDescent="0.3">
      <c r="A330" s="44">
        <v>322</v>
      </c>
      <c r="B330" s="22">
        <f>+'Order Details Apr23-Mar24'!P330</f>
        <v>0</v>
      </c>
      <c r="C330" s="23"/>
      <c r="D330" s="53">
        <f>+'Order Details Apr23-Mar24'!T330</f>
        <v>0</v>
      </c>
      <c r="E330" s="25"/>
      <c r="F330" s="183">
        <f>+'Order Details Apr23-Mar24'!D330</f>
        <v>0</v>
      </c>
      <c r="G330" s="184"/>
      <c r="H330" s="26">
        <f>+'Order Details Apr23-Mar24'!G330</f>
        <v>0</v>
      </c>
      <c r="I330" s="27">
        <f>+'Order Details Apr23-Mar24'!I330</f>
        <v>0</v>
      </c>
      <c r="J330" s="28"/>
      <c r="K330" s="185">
        <f>+'Order Details Apr23-Mar24'!R330</f>
        <v>0</v>
      </c>
      <c r="L330" s="186"/>
      <c r="M330" s="187"/>
      <c r="N330" s="100">
        <f>+'Order Details Apr23-Mar24'!F330*'Order Details Apr23-Mar24'!N330</f>
        <v>0</v>
      </c>
      <c r="O330" s="25"/>
      <c r="P330" s="22"/>
      <c r="Q330" s="26"/>
      <c r="R330" s="26"/>
      <c r="S330" s="22">
        <f t="shared" si="6"/>
        <v>0</v>
      </c>
      <c r="T330" s="22"/>
      <c r="U330" s="31"/>
      <c r="V330" s="51"/>
    </row>
    <row r="331" spans="1:22" ht="20.100000000000001" customHeight="1" x14ac:dyDescent="0.3">
      <c r="A331" s="44">
        <v>323</v>
      </c>
      <c r="B331" s="22">
        <f>+'Order Details Apr23-Mar24'!P331</f>
        <v>0</v>
      </c>
      <c r="C331" s="23"/>
      <c r="D331" s="53">
        <f>+'Order Details Apr23-Mar24'!T331</f>
        <v>0</v>
      </c>
      <c r="E331" s="25"/>
      <c r="F331" s="183">
        <f>+'Order Details Apr23-Mar24'!D331</f>
        <v>0</v>
      </c>
      <c r="G331" s="184"/>
      <c r="H331" s="26">
        <f>+'Order Details Apr23-Mar24'!G331</f>
        <v>0</v>
      </c>
      <c r="I331" s="27">
        <f>+'Order Details Apr23-Mar24'!I331</f>
        <v>0</v>
      </c>
      <c r="J331" s="28"/>
      <c r="K331" s="185">
        <f>+'Order Details Apr23-Mar24'!R331</f>
        <v>0</v>
      </c>
      <c r="L331" s="186"/>
      <c r="M331" s="187"/>
      <c r="N331" s="100">
        <f>+'Order Details Apr23-Mar24'!F331*'Order Details Apr23-Mar24'!N331</f>
        <v>0</v>
      </c>
      <c r="O331" s="25"/>
      <c r="P331" s="22"/>
      <c r="Q331" s="26"/>
      <c r="R331" s="26"/>
      <c r="S331" s="22">
        <f t="shared" ref="S331:S350" si="7">P331+R331</f>
        <v>0</v>
      </c>
      <c r="T331" s="22"/>
      <c r="U331" s="31"/>
      <c r="V331" s="51"/>
    </row>
    <row r="332" spans="1:22" ht="20.100000000000001" customHeight="1" x14ac:dyDescent="0.3">
      <c r="A332" s="44">
        <v>324</v>
      </c>
      <c r="B332" s="22">
        <f>+'Order Details Apr23-Mar24'!P332</f>
        <v>0</v>
      </c>
      <c r="C332" s="23"/>
      <c r="D332" s="53">
        <f>+'Order Details Apr23-Mar24'!T332</f>
        <v>0</v>
      </c>
      <c r="E332" s="25"/>
      <c r="F332" s="183">
        <f>+'Order Details Apr23-Mar24'!D332</f>
        <v>0</v>
      </c>
      <c r="G332" s="184"/>
      <c r="H332" s="26">
        <f>+'Order Details Apr23-Mar24'!G332</f>
        <v>0</v>
      </c>
      <c r="I332" s="27">
        <f>+'Order Details Apr23-Mar24'!I332</f>
        <v>0</v>
      </c>
      <c r="J332" s="28"/>
      <c r="K332" s="185">
        <f>+'Order Details Apr23-Mar24'!R332</f>
        <v>0</v>
      </c>
      <c r="L332" s="186"/>
      <c r="M332" s="187"/>
      <c r="N332" s="100">
        <f>+'Order Details Apr23-Mar24'!F332*'Order Details Apr23-Mar24'!N332</f>
        <v>0</v>
      </c>
      <c r="O332" s="25"/>
      <c r="P332" s="22"/>
      <c r="Q332" s="26"/>
      <c r="R332" s="26"/>
      <c r="S332" s="22">
        <f t="shared" si="7"/>
        <v>0</v>
      </c>
      <c r="T332" s="22"/>
      <c r="U332" s="31"/>
      <c r="V332" s="51"/>
    </row>
    <row r="333" spans="1:22" ht="20.100000000000001" customHeight="1" x14ac:dyDescent="0.3">
      <c r="A333" s="44">
        <v>325</v>
      </c>
      <c r="B333" s="22">
        <f>+'Order Details Apr23-Mar24'!P333</f>
        <v>0</v>
      </c>
      <c r="C333" s="23"/>
      <c r="D333" s="53">
        <f>+'Order Details Apr23-Mar24'!T333</f>
        <v>0</v>
      </c>
      <c r="E333" s="25"/>
      <c r="F333" s="183">
        <f>+'Order Details Apr23-Mar24'!D333</f>
        <v>0</v>
      </c>
      <c r="G333" s="184"/>
      <c r="H333" s="26">
        <f>+'Order Details Apr23-Mar24'!G333</f>
        <v>0</v>
      </c>
      <c r="I333" s="27">
        <f>+'Order Details Apr23-Mar24'!I333</f>
        <v>0</v>
      </c>
      <c r="J333" s="28"/>
      <c r="K333" s="185">
        <f>+'Order Details Apr23-Mar24'!R333</f>
        <v>0</v>
      </c>
      <c r="L333" s="186"/>
      <c r="M333" s="187"/>
      <c r="N333" s="100">
        <f>+'Order Details Apr23-Mar24'!F333*'Order Details Apr23-Mar24'!N333</f>
        <v>0</v>
      </c>
      <c r="O333" s="25"/>
      <c r="P333" s="22"/>
      <c r="Q333" s="26"/>
      <c r="R333" s="26"/>
      <c r="S333" s="22">
        <f t="shared" si="7"/>
        <v>0</v>
      </c>
      <c r="T333" s="22"/>
      <c r="U333" s="31"/>
      <c r="V333" s="51"/>
    </row>
    <row r="334" spans="1:22" ht="20.100000000000001" customHeight="1" x14ac:dyDescent="0.3">
      <c r="A334" s="44">
        <v>326</v>
      </c>
      <c r="B334" s="22">
        <f>+'Order Details Apr23-Mar24'!P334</f>
        <v>0</v>
      </c>
      <c r="C334" s="23"/>
      <c r="D334" s="53">
        <f>+'Order Details Apr23-Mar24'!T334</f>
        <v>0</v>
      </c>
      <c r="E334" s="25"/>
      <c r="F334" s="183">
        <f>+'Order Details Apr23-Mar24'!D334</f>
        <v>0</v>
      </c>
      <c r="G334" s="184"/>
      <c r="H334" s="26">
        <f>+'Order Details Apr23-Mar24'!G334</f>
        <v>0</v>
      </c>
      <c r="I334" s="27">
        <f>+'Order Details Apr23-Mar24'!I334</f>
        <v>0</v>
      </c>
      <c r="J334" s="28"/>
      <c r="K334" s="185">
        <f>+'Order Details Apr23-Mar24'!R334</f>
        <v>0</v>
      </c>
      <c r="L334" s="186"/>
      <c r="M334" s="187"/>
      <c r="N334" s="100">
        <f>+'Order Details Apr23-Mar24'!F334*'Order Details Apr23-Mar24'!N334</f>
        <v>0</v>
      </c>
      <c r="O334" s="25"/>
      <c r="P334" s="22"/>
      <c r="Q334" s="26"/>
      <c r="R334" s="26"/>
      <c r="S334" s="22">
        <f t="shared" si="7"/>
        <v>0</v>
      </c>
      <c r="T334" s="22"/>
      <c r="U334" s="31"/>
      <c r="V334" s="51"/>
    </row>
    <row r="335" spans="1:22" ht="20.100000000000001" customHeight="1" x14ac:dyDescent="0.3">
      <c r="A335" s="44">
        <v>327</v>
      </c>
      <c r="B335" s="22">
        <f>+'Order Details Apr23-Mar24'!P335</f>
        <v>0</v>
      </c>
      <c r="C335" s="23"/>
      <c r="D335" s="53">
        <f>+'Order Details Apr23-Mar24'!T335</f>
        <v>0</v>
      </c>
      <c r="E335" s="25"/>
      <c r="F335" s="183">
        <f>+'Order Details Apr23-Mar24'!D335</f>
        <v>0</v>
      </c>
      <c r="G335" s="184"/>
      <c r="H335" s="26">
        <f>+'Order Details Apr23-Mar24'!G335</f>
        <v>0</v>
      </c>
      <c r="I335" s="27">
        <f>+'Order Details Apr23-Mar24'!I335</f>
        <v>0</v>
      </c>
      <c r="J335" s="28"/>
      <c r="K335" s="185">
        <f>+'Order Details Apr23-Mar24'!R335</f>
        <v>0</v>
      </c>
      <c r="L335" s="186"/>
      <c r="M335" s="187"/>
      <c r="N335" s="100">
        <f>+'Order Details Apr23-Mar24'!F335*'Order Details Apr23-Mar24'!N335</f>
        <v>0</v>
      </c>
      <c r="O335" s="25"/>
      <c r="P335" s="22"/>
      <c r="Q335" s="26"/>
      <c r="R335" s="26"/>
      <c r="S335" s="22">
        <f t="shared" si="7"/>
        <v>0</v>
      </c>
      <c r="T335" s="22"/>
      <c r="U335" s="31"/>
      <c r="V335" s="51"/>
    </row>
    <row r="336" spans="1:22" ht="20.100000000000001" customHeight="1" x14ac:dyDescent="0.3">
      <c r="A336" s="44">
        <v>328</v>
      </c>
      <c r="B336" s="22">
        <f>+'Order Details Apr23-Mar24'!P336</f>
        <v>0</v>
      </c>
      <c r="C336" s="23"/>
      <c r="D336" s="53">
        <f>+'Order Details Apr23-Mar24'!T336</f>
        <v>0</v>
      </c>
      <c r="E336" s="25"/>
      <c r="F336" s="183">
        <f>+'Order Details Apr23-Mar24'!D336</f>
        <v>0</v>
      </c>
      <c r="G336" s="184"/>
      <c r="H336" s="26">
        <f>+'Order Details Apr23-Mar24'!G336</f>
        <v>0</v>
      </c>
      <c r="I336" s="27">
        <f>+'Order Details Apr23-Mar24'!I336</f>
        <v>0</v>
      </c>
      <c r="J336" s="28"/>
      <c r="K336" s="185">
        <f>+'Order Details Apr23-Mar24'!R336</f>
        <v>0</v>
      </c>
      <c r="L336" s="186"/>
      <c r="M336" s="187"/>
      <c r="N336" s="100">
        <f>+'Order Details Apr23-Mar24'!F336*'Order Details Apr23-Mar24'!N336</f>
        <v>0</v>
      </c>
      <c r="O336" s="25"/>
      <c r="P336" s="22"/>
      <c r="Q336" s="26"/>
      <c r="R336" s="26"/>
      <c r="S336" s="22">
        <f t="shared" si="7"/>
        <v>0</v>
      </c>
      <c r="T336" s="22"/>
      <c r="U336" s="31"/>
      <c r="V336" s="51"/>
    </row>
    <row r="337" spans="1:22" ht="20.100000000000001" customHeight="1" x14ac:dyDescent="0.3">
      <c r="A337" s="44">
        <v>329</v>
      </c>
      <c r="B337" s="22">
        <f>+'Order Details Apr23-Mar24'!P337</f>
        <v>0</v>
      </c>
      <c r="C337" s="23"/>
      <c r="D337" s="53">
        <f>+'Order Details Apr23-Mar24'!T337</f>
        <v>0</v>
      </c>
      <c r="E337" s="25"/>
      <c r="F337" s="183">
        <f>+'Order Details Apr23-Mar24'!D337</f>
        <v>0</v>
      </c>
      <c r="G337" s="184"/>
      <c r="H337" s="26">
        <f>+'Order Details Apr23-Mar24'!G337</f>
        <v>0</v>
      </c>
      <c r="I337" s="27">
        <f>+'Order Details Apr23-Mar24'!I337</f>
        <v>0</v>
      </c>
      <c r="J337" s="28"/>
      <c r="K337" s="185">
        <f>+'Order Details Apr23-Mar24'!R337</f>
        <v>0</v>
      </c>
      <c r="L337" s="186"/>
      <c r="M337" s="187"/>
      <c r="N337" s="100">
        <f>+'Order Details Apr23-Mar24'!F337*'Order Details Apr23-Mar24'!N337</f>
        <v>0</v>
      </c>
      <c r="O337" s="25"/>
      <c r="P337" s="22"/>
      <c r="Q337" s="26"/>
      <c r="R337" s="26"/>
      <c r="S337" s="22">
        <f t="shared" si="7"/>
        <v>0</v>
      </c>
      <c r="T337" s="22"/>
      <c r="U337" s="31"/>
      <c r="V337" s="51"/>
    </row>
    <row r="338" spans="1:22" ht="20.100000000000001" customHeight="1" x14ac:dyDescent="0.3">
      <c r="A338" s="44">
        <v>330</v>
      </c>
      <c r="B338" s="22">
        <f>+'Order Details Apr23-Mar24'!P338</f>
        <v>0</v>
      </c>
      <c r="C338" s="23"/>
      <c r="D338" s="53">
        <f>+'Order Details Apr23-Mar24'!T338</f>
        <v>0</v>
      </c>
      <c r="E338" s="25"/>
      <c r="F338" s="183">
        <f>+'Order Details Apr23-Mar24'!D338</f>
        <v>0</v>
      </c>
      <c r="G338" s="184"/>
      <c r="H338" s="26">
        <f>+'Order Details Apr23-Mar24'!G338</f>
        <v>0</v>
      </c>
      <c r="I338" s="27">
        <f>+'Order Details Apr23-Mar24'!I338</f>
        <v>0</v>
      </c>
      <c r="J338" s="28"/>
      <c r="K338" s="185">
        <f>+'Order Details Apr23-Mar24'!R338</f>
        <v>0</v>
      </c>
      <c r="L338" s="186"/>
      <c r="M338" s="187"/>
      <c r="N338" s="100">
        <f>+'Order Details Apr23-Mar24'!F338*'Order Details Apr23-Mar24'!N338</f>
        <v>0</v>
      </c>
      <c r="O338" s="25"/>
      <c r="P338" s="22"/>
      <c r="Q338" s="26"/>
      <c r="R338" s="26"/>
      <c r="S338" s="22">
        <f t="shared" si="7"/>
        <v>0</v>
      </c>
      <c r="T338" s="22"/>
      <c r="U338" s="31"/>
      <c r="V338" s="51"/>
    </row>
    <row r="339" spans="1:22" ht="20.100000000000001" customHeight="1" x14ac:dyDescent="0.3">
      <c r="A339" s="44">
        <v>331</v>
      </c>
      <c r="B339" s="22">
        <f>+'Order Details Apr23-Mar24'!P339</f>
        <v>0</v>
      </c>
      <c r="C339" s="23"/>
      <c r="D339" s="53">
        <f>+'Order Details Apr23-Mar24'!T339</f>
        <v>0</v>
      </c>
      <c r="E339" s="25"/>
      <c r="F339" s="183">
        <f>+'Order Details Apr23-Mar24'!D339</f>
        <v>0</v>
      </c>
      <c r="G339" s="184"/>
      <c r="H339" s="26">
        <f>+'Order Details Apr23-Mar24'!G339</f>
        <v>0</v>
      </c>
      <c r="I339" s="27">
        <f>+'Order Details Apr23-Mar24'!I339</f>
        <v>0</v>
      </c>
      <c r="J339" s="28"/>
      <c r="K339" s="185">
        <f>+'Order Details Apr23-Mar24'!R339</f>
        <v>0</v>
      </c>
      <c r="L339" s="186"/>
      <c r="M339" s="187"/>
      <c r="N339" s="100">
        <f>+'Order Details Apr23-Mar24'!F339*'Order Details Apr23-Mar24'!N339</f>
        <v>0</v>
      </c>
      <c r="O339" s="25"/>
      <c r="P339" s="22"/>
      <c r="Q339" s="26"/>
      <c r="R339" s="26"/>
      <c r="S339" s="22">
        <f t="shared" si="7"/>
        <v>0</v>
      </c>
      <c r="T339" s="22"/>
      <c r="U339" s="31"/>
      <c r="V339" s="51"/>
    </row>
    <row r="340" spans="1:22" ht="20.100000000000001" customHeight="1" x14ac:dyDescent="0.3">
      <c r="A340" s="44">
        <v>332</v>
      </c>
      <c r="B340" s="22">
        <f>+'Order Details Apr23-Mar24'!P340</f>
        <v>0</v>
      </c>
      <c r="C340" s="23"/>
      <c r="D340" s="53">
        <f>+'Order Details Apr23-Mar24'!T340</f>
        <v>0</v>
      </c>
      <c r="E340" s="25"/>
      <c r="F340" s="183">
        <f>+'Order Details Apr23-Mar24'!D340</f>
        <v>0</v>
      </c>
      <c r="G340" s="184"/>
      <c r="H340" s="26">
        <f>+'Order Details Apr23-Mar24'!G340</f>
        <v>0</v>
      </c>
      <c r="I340" s="27">
        <f>+'Order Details Apr23-Mar24'!I340</f>
        <v>0</v>
      </c>
      <c r="J340" s="28"/>
      <c r="K340" s="185">
        <f>+'Order Details Apr23-Mar24'!R340</f>
        <v>0</v>
      </c>
      <c r="L340" s="186"/>
      <c r="M340" s="187"/>
      <c r="N340" s="100">
        <f>+'Order Details Apr23-Mar24'!F340*'Order Details Apr23-Mar24'!N340</f>
        <v>0</v>
      </c>
      <c r="O340" s="25"/>
      <c r="P340" s="22"/>
      <c r="Q340" s="26"/>
      <c r="R340" s="26"/>
      <c r="S340" s="22">
        <f t="shared" si="7"/>
        <v>0</v>
      </c>
      <c r="T340" s="22"/>
      <c r="U340" s="31"/>
      <c r="V340" s="51"/>
    </row>
    <row r="341" spans="1:22" ht="20.100000000000001" customHeight="1" x14ac:dyDescent="0.3">
      <c r="A341" s="44">
        <v>333</v>
      </c>
      <c r="B341" s="22">
        <f>+'Order Details Apr23-Mar24'!P341</f>
        <v>0</v>
      </c>
      <c r="C341" s="23"/>
      <c r="D341" s="53">
        <f>+'Order Details Apr23-Mar24'!T341</f>
        <v>0</v>
      </c>
      <c r="E341" s="25"/>
      <c r="F341" s="183">
        <f>+'Order Details Apr23-Mar24'!D341</f>
        <v>0</v>
      </c>
      <c r="G341" s="184"/>
      <c r="H341" s="26">
        <f>+'Order Details Apr23-Mar24'!G341</f>
        <v>0</v>
      </c>
      <c r="I341" s="27">
        <f>+'Order Details Apr23-Mar24'!I341</f>
        <v>0</v>
      </c>
      <c r="J341" s="28"/>
      <c r="K341" s="185">
        <f>+'Order Details Apr23-Mar24'!R341</f>
        <v>0</v>
      </c>
      <c r="L341" s="186"/>
      <c r="M341" s="187"/>
      <c r="N341" s="100">
        <f>+'Order Details Apr23-Mar24'!F341*'Order Details Apr23-Mar24'!N341</f>
        <v>0</v>
      </c>
      <c r="O341" s="25"/>
      <c r="P341" s="22"/>
      <c r="Q341" s="26"/>
      <c r="R341" s="26"/>
      <c r="S341" s="22">
        <f t="shared" si="7"/>
        <v>0</v>
      </c>
      <c r="T341" s="22"/>
      <c r="U341" s="31"/>
      <c r="V341" s="51"/>
    </row>
    <row r="342" spans="1:22" ht="20.100000000000001" customHeight="1" x14ac:dyDescent="0.3">
      <c r="A342" s="44">
        <v>334</v>
      </c>
      <c r="B342" s="22">
        <f>+'Order Details Apr23-Mar24'!P342</f>
        <v>0</v>
      </c>
      <c r="C342" s="23"/>
      <c r="D342" s="53">
        <f>+'Order Details Apr23-Mar24'!T342</f>
        <v>0</v>
      </c>
      <c r="E342" s="25"/>
      <c r="F342" s="183">
        <f>+'Order Details Apr23-Mar24'!D342</f>
        <v>0</v>
      </c>
      <c r="G342" s="184"/>
      <c r="H342" s="26">
        <f>+'Order Details Apr23-Mar24'!G342</f>
        <v>0</v>
      </c>
      <c r="I342" s="27">
        <f>+'Order Details Apr23-Mar24'!I342</f>
        <v>0</v>
      </c>
      <c r="J342" s="28"/>
      <c r="K342" s="185">
        <f>+'Order Details Apr23-Mar24'!R342</f>
        <v>0</v>
      </c>
      <c r="L342" s="186"/>
      <c r="M342" s="187"/>
      <c r="N342" s="100">
        <f>+'Order Details Apr23-Mar24'!F342*'Order Details Apr23-Mar24'!N342</f>
        <v>0</v>
      </c>
      <c r="O342" s="25"/>
      <c r="P342" s="22"/>
      <c r="Q342" s="26"/>
      <c r="R342" s="26"/>
      <c r="S342" s="22">
        <f t="shared" si="7"/>
        <v>0</v>
      </c>
      <c r="T342" s="22"/>
      <c r="U342" s="31"/>
      <c r="V342" s="51"/>
    </row>
    <row r="343" spans="1:22" ht="20.100000000000001" customHeight="1" x14ac:dyDescent="0.3">
      <c r="A343" s="44">
        <v>335</v>
      </c>
      <c r="B343" s="22">
        <f>+'Order Details Apr23-Mar24'!P343</f>
        <v>0</v>
      </c>
      <c r="C343" s="23"/>
      <c r="D343" s="53">
        <f>+'Order Details Apr23-Mar24'!T343</f>
        <v>0</v>
      </c>
      <c r="E343" s="25"/>
      <c r="F343" s="183">
        <f>+'Order Details Apr23-Mar24'!D343</f>
        <v>0</v>
      </c>
      <c r="G343" s="184"/>
      <c r="H343" s="26">
        <f>+'Order Details Apr23-Mar24'!G343</f>
        <v>0</v>
      </c>
      <c r="I343" s="27">
        <f>+'Order Details Apr23-Mar24'!I343</f>
        <v>0</v>
      </c>
      <c r="J343" s="28"/>
      <c r="K343" s="185">
        <f>+'Order Details Apr23-Mar24'!R343</f>
        <v>0</v>
      </c>
      <c r="L343" s="186"/>
      <c r="M343" s="187"/>
      <c r="N343" s="100">
        <f>+'Order Details Apr23-Mar24'!F343*'Order Details Apr23-Mar24'!N343</f>
        <v>0</v>
      </c>
      <c r="O343" s="25"/>
      <c r="P343" s="22"/>
      <c r="Q343" s="26"/>
      <c r="R343" s="26"/>
      <c r="S343" s="22">
        <f t="shared" si="7"/>
        <v>0</v>
      </c>
      <c r="T343" s="22"/>
      <c r="U343" s="31"/>
      <c r="V343" s="51"/>
    </row>
    <row r="344" spans="1:22" ht="20.100000000000001" customHeight="1" x14ac:dyDescent="0.3">
      <c r="A344" s="44">
        <v>336</v>
      </c>
      <c r="B344" s="22">
        <f>+'Order Details Apr23-Mar24'!P344</f>
        <v>0</v>
      </c>
      <c r="C344" s="23"/>
      <c r="D344" s="53">
        <f>+'Order Details Apr23-Mar24'!T344</f>
        <v>0</v>
      </c>
      <c r="E344" s="25"/>
      <c r="F344" s="183">
        <f>+'Order Details Apr23-Mar24'!D344</f>
        <v>0</v>
      </c>
      <c r="G344" s="184"/>
      <c r="H344" s="26">
        <f>+'Order Details Apr23-Mar24'!G344</f>
        <v>0</v>
      </c>
      <c r="I344" s="27">
        <f>+'Order Details Apr23-Mar24'!I344</f>
        <v>0</v>
      </c>
      <c r="J344" s="28"/>
      <c r="K344" s="185">
        <f>+'Order Details Apr23-Mar24'!R344</f>
        <v>0</v>
      </c>
      <c r="L344" s="186"/>
      <c r="M344" s="187"/>
      <c r="N344" s="100">
        <f>+'Order Details Apr23-Mar24'!F344*'Order Details Apr23-Mar24'!N344</f>
        <v>0</v>
      </c>
      <c r="O344" s="25"/>
      <c r="P344" s="22"/>
      <c r="Q344" s="26"/>
      <c r="R344" s="26"/>
      <c r="S344" s="22">
        <f t="shared" si="7"/>
        <v>0</v>
      </c>
      <c r="T344" s="22"/>
      <c r="U344" s="31"/>
      <c r="V344" s="51"/>
    </row>
    <row r="345" spans="1:22" ht="20.100000000000001" customHeight="1" x14ac:dyDescent="0.3">
      <c r="A345" s="44">
        <v>337</v>
      </c>
      <c r="B345" s="22">
        <f>+'Order Details Apr23-Mar24'!P345</f>
        <v>0</v>
      </c>
      <c r="C345" s="23"/>
      <c r="D345" s="53">
        <f>+'Order Details Apr23-Mar24'!T345</f>
        <v>0</v>
      </c>
      <c r="E345" s="25"/>
      <c r="F345" s="183">
        <f>+'Order Details Apr23-Mar24'!D345</f>
        <v>0</v>
      </c>
      <c r="G345" s="184"/>
      <c r="H345" s="26">
        <f>+'Order Details Apr23-Mar24'!G345</f>
        <v>0</v>
      </c>
      <c r="I345" s="27">
        <f>+'Order Details Apr23-Mar24'!I345</f>
        <v>0</v>
      </c>
      <c r="J345" s="28"/>
      <c r="K345" s="185">
        <f>+'Order Details Apr23-Mar24'!R345</f>
        <v>0</v>
      </c>
      <c r="L345" s="186"/>
      <c r="M345" s="187"/>
      <c r="N345" s="100">
        <f>+'Order Details Apr23-Mar24'!F345*'Order Details Apr23-Mar24'!N345</f>
        <v>0</v>
      </c>
      <c r="O345" s="25"/>
      <c r="P345" s="22"/>
      <c r="Q345" s="26"/>
      <c r="R345" s="26"/>
      <c r="S345" s="22">
        <f t="shared" si="7"/>
        <v>0</v>
      </c>
      <c r="T345" s="22"/>
      <c r="U345" s="31"/>
      <c r="V345" s="51"/>
    </row>
    <row r="346" spans="1:22" ht="20.100000000000001" customHeight="1" x14ac:dyDescent="0.3">
      <c r="A346" s="44">
        <v>338</v>
      </c>
      <c r="B346" s="22">
        <f>+'Order Details Apr23-Mar24'!P346</f>
        <v>0</v>
      </c>
      <c r="C346" s="23"/>
      <c r="D346" s="53">
        <f>+'Order Details Apr23-Mar24'!T346</f>
        <v>0</v>
      </c>
      <c r="E346" s="25"/>
      <c r="F346" s="183">
        <f>+'Order Details Apr23-Mar24'!D346</f>
        <v>0</v>
      </c>
      <c r="G346" s="184"/>
      <c r="H346" s="26">
        <f>+'Order Details Apr23-Mar24'!G346</f>
        <v>0</v>
      </c>
      <c r="I346" s="27">
        <f>+'Order Details Apr23-Mar24'!I346</f>
        <v>0</v>
      </c>
      <c r="J346" s="28"/>
      <c r="K346" s="185">
        <f>+'Order Details Apr23-Mar24'!R346</f>
        <v>0</v>
      </c>
      <c r="L346" s="186"/>
      <c r="M346" s="187"/>
      <c r="N346" s="100">
        <f>+'Order Details Apr23-Mar24'!F346*'Order Details Apr23-Mar24'!N346</f>
        <v>0</v>
      </c>
      <c r="O346" s="25"/>
      <c r="P346" s="22"/>
      <c r="Q346" s="26"/>
      <c r="R346" s="26"/>
      <c r="S346" s="22">
        <f t="shared" si="7"/>
        <v>0</v>
      </c>
      <c r="T346" s="22"/>
      <c r="U346" s="31"/>
      <c r="V346" s="51"/>
    </row>
    <row r="347" spans="1:22" ht="20.100000000000001" customHeight="1" x14ac:dyDescent="0.3">
      <c r="A347" s="44">
        <v>339</v>
      </c>
      <c r="B347" s="22">
        <f>+'Order Details Apr23-Mar24'!P347</f>
        <v>0</v>
      </c>
      <c r="C347" s="23"/>
      <c r="D347" s="53">
        <f>+'Order Details Apr23-Mar24'!T347</f>
        <v>0</v>
      </c>
      <c r="E347" s="25"/>
      <c r="F347" s="183">
        <f>+'Order Details Apr23-Mar24'!D347</f>
        <v>0</v>
      </c>
      <c r="G347" s="184"/>
      <c r="H347" s="26">
        <f>+'Order Details Apr23-Mar24'!G347</f>
        <v>0</v>
      </c>
      <c r="I347" s="27">
        <f>+'Order Details Apr23-Mar24'!I347</f>
        <v>0</v>
      </c>
      <c r="J347" s="28"/>
      <c r="K347" s="185">
        <f>+'Order Details Apr23-Mar24'!R347</f>
        <v>0</v>
      </c>
      <c r="L347" s="186"/>
      <c r="M347" s="187"/>
      <c r="N347" s="100">
        <f>+'Order Details Apr23-Mar24'!F347*'Order Details Apr23-Mar24'!N347</f>
        <v>0</v>
      </c>
      <c r="O347" s="25"/>
      <c r="P347" s="22"/>
      <c r="Q347" s="26"/>
      <c r="R347" s="26"/>
      <c r="S347" s="22">
        <f t="shared" si="7"/>
        <v>0</v>
      </c>
      <c r="T347" s="22"/>
      <c r="U347" s="31"/>
      <c r="V347" s="51"/>
    </row>
    <row r="348" spans="1:22" ht="20.100000000000001" customHeight="1" x14ac:dyDescent="0.3">
      <c r="A348" s="44">
        <v>340</v>
      </c>
      <c r="B348" s="22">
        <f>+'Order Details Apr23-Mar24'!P348</f>
        <v>0</v>
      </c>
      <c r="C348" s="23"/>
      <c r="D348" s="53">
        <f>+'Order Details Apr23-Mar24'!T348</f>
        <v>0</v>
      </c>
      <c r="E348" s="25"/>
      <c r="F348" s="183">
        <f>+'Order Details Apr23-Mar24'!D348</f>
        <v>0</v>
      </c>
      <c r="G348" s="184"/>
      <c r="H348" s="26">
        <f>+'Order Details Apr23-Mar24'!G348</f>
        <v>0</v>
      </c>
      <c r="I348" s="27">
        <f>+'Order Details Apr23-Mar24'!I348</f>
        <v>0</v>
      </c>
      <c r="J348" s="28"/>
      <c r="K348" s="185">
        <f>+'Order Details Apr23-Mar24'!R348</f>
        <v>0</v>
      </c>
      <c r="L348" s="186"/>
      <c r="M348" s="187"/>
      <c r="N348" s="100">
        <f>+'Order Details Apr23-Mar24'!F348*'Order Details Apr23-Mar24'!N348</f>
        <v>0</v>
      </c>
      <c r="O348" s="25"/>
      <c r="P348" s="22"/>
      <c r="Q348" s="26"/>
      <c r="R348" s="26"/>
      <c r="S348" s="22">
        <f t="shared" si="7"/>
        <v>0</v>
      </c>
      <c r="T348" s="22"/>
      <c r="U348" s="31"/>
      <c r="V348" s="51"/>
    </row>
    <row r="349" spans="1:22" ht="20.100000000000001" customHeight="1" x14ac:dyDescent="0.3">
      <c r="A349" s="44">
        <v>341</v>
      </c>
      <c r="B349" s="22">
        <f>+'Order Details Apr23-Mar24'!P349</f>
        <v>0</v>
      </c>
      <c r="C349" s="23"/>
      <c r="D349" s="53">
        <f>+'Order Details Apr23-Mar24'!T349</f>
        <v>0</v>
      </c>
      <c r="E349" s="25"/>
      <c r="F349" s="183">
        <f>+'Order Details Apr23-Mar24'!D349</f>
        <v>0</v>
      </c>
      <c r="G349" s="184"/>
      <c r="H349" s="26">
        <f>+'Order Details Apr23-Mar24'!G349</f>
        <v>0</v>
      </c>
      <c r="I349" s="27">
        <f>+'Order Details Apr23-Mar24'!I349</f>
        <v>0</v>
      </c>
      <c r="J349" s="28"/>
      <c r="K349" s="185">
        <f>+'Order Details Apr23-Mar24'!R349</f>
        <v>0</v>
      </c>
      <c r="L349" s="186"/>
      <c r="M349" s="187"/>
      <c r="N349" s="100">
        <f>+'Order Details Apr23-Mar24'!F349*'Order Details Apr23-Mar24'!N349</f>
        <v>0</v>
      </c>
      <c r="O349" s="25"/>
      <c r="P349" s="22"/>
      <c r="Q349" s="26"/>
      <c r="R349" s="26"/>
      <c r="S349" s="22">
        <f t="shared" si="7"/>
        <v>0</v>
      </c>
      <c r="T349" s="22"/>
      <c r="U349" s="31"/>
      <c r="V349" s="51"/>
    </row>
    <row r="350" spans="1:22" ht="20.100000000000001" customHeight="1" x14ac:dyDescent="0.3">
      <c r="A350" s="44">
        <v>342</v>
      </c>
      <c r="B350" s="22">
        <f>+'Order Details Apr23-Mar24'!P350</f>
        <v>0</v>
      </c>
      <c r="C350" s="23"/>
      <c r="D350" s="53">
        <f>+'Order Details Apr23-Mar24'!T350</f>
        <v>0</v>
      </c>
      <c r="E350" s="25"/>
      <c r="F350" s="183">
        <f>+'Order Details Apr23-Mar24'!D350</f>
        <v>0</v>
      </c>
      <c r="G350" s="184"/>
      <c r="H350" s="26">
        <f>+'Order Details Apr23-Mar24'!G350</f>
        <v>0</v>
      </c>
      <c r="I350" s="27">
        <f>+'Order Details Apr23-Mar24'!I350</f>
        <v>0</v>
      </c>
      <c r="J350" s="28"/>
      <c r="K350" s="185">
        <f>+'Order Details Apr23-Mar24'!R350</f>
        <v>0</v>
      </c>
      <c r="L350" s="186"/>
      <c r="M350" s="187"/>
      <c r="N350" s="100">
        <f>+'Order Details Apr23-Mar24'!F350*'Order Details Apr23-Mar24'!N350</f>
        <v>0</v>
      </c>
      <c r="O350" s="25"/>
      <c r="P350" s="22"/>
      <c r="Q350" s="26"/>
      <c r="R350" s="26"/>
      <c r="S350" s="22">
        <f t="shared" si="7"/>
        <v>0</v>
      </c>
      <c r="T350" s="22"/>
      <c r="U350" s="31"/>
      <c r="V350" s="51"/>
    </row>
  </sheetData>
  <autoFilter ref="D1:D350"/>
  <mergeCells count="690">
    <mergeCell ref="F346:G346"/>
    <mergeCell ref="K346:M346"/>
    <mergeCell ref="F347:G347"/>
    <mergeCell ref="K347:M347"/>
    <mergeCell ref="F348:G348"/>
    <mergeCell ref="K348:M348"/>
    <mergeCell ref="F349:G349"/>
    <mergeCell ref="K349:M349"/>
    <mergeCell ref="F350:G350"/>
    <mergeCell ref="K350:M350"/>
    <mergeCell ref="F341:G341"/>
    <mergeCell ref="K341:M341"/>
    <mergeCell ref="F342:G342"/>
    <mergeCell ref="K342:M342"/>
    <mergeCell ref="F343:G343"/>
    <mergeCell ref="K343:M343"/>
    <mergeCell ref="F344:G344"/>
    <mergeCell ref="K344:M344"/>
    <mergeCell ref="F345:G345"/>
    <mergeCell ref="K345:M345"/>
    <mergeCell ref="F336:G336"/>
    <mergeCell ref="K336:M336"/>
    <mergeCell ref="F337:G337"/>
    <mergeCell ref="K337:M337"/>
    <mergeCell ref="F338:G338"/>
    <mergeCell ref="K338:M338"/>
    <mergeCell ref="F339:G339"/>
    <mergeCell ref="K339:M339"/>
    <mergeCell ref="F340:G340"/>
    <mergeCell ref="K340:M340"/>
    <mergeCell ref="F331:G331"/>
    <mergeCell ref="K331:M331"/>
    <mergeCell ref="F332:G332"/>
    <mergeCell ref="K332:M332"/>
    <mergeCell ref="F333:G333"/>
    <mergeCell ref="K333:M333"/>
    <mergeCell ref="F334:G334"/>
    <mergeCell ref="K334:M334"/>
    <mergeCell ref="F335:G335"/>
    <mergeCell ref="K335:M335"/>
    <mergeCell ref="F296:G296"/>
    <mergeCell ref="K296:M296"/>
    <mergeCell ref="F297:G297"/>
    <mergeCell ref="K297:M297"/>
    <mergeCell ref="F298:G298"/>
    <mergeCell ref="K298:M298"/>
    <mergeCell ref="F299:G299"/>
    <mergeCell ref="K299:M299"/>
    <mergeCell ref="F300:G300"/>
    <mergeCell ref="K300:M300"/>
    <mergeCell ref="F291:G291"/>
    <mergeCell ref="K291:M291"/>
    <mergeCell ref="F292:G292"/>
    <mergeCell ref="K292:M292"/>
    <mergeCell ref="F293:G293"/>
    <mergeCell ref="K293:M293"/>
    <mergeCell ref="F294:G294"/>
    <mergeCell ref="K294:M294"/>
    <mergeCell ref="F295:G295"/>
    <mergeCell ref="K295:M295"/>
    <mergeCell ref="F286:G286"/>
    <mergeCell ref="K286:M286"/>
    <mergeCell ref="F287:G287"/>
    <mergeCell ref="K287:M287"/>
    <mergeCell ref="F288:G288"/>
    <mergeCell ref="K288:M288"/>
    <mergeCell ref="F289:G289"/>
    <mergeCell ref="K289:M289"/>
    <mergeCell ref="F290:G290"/>
    <mergeCell ref="K290:M290"/>
    <mergeCell ref="F281:G281"/>
    <mergeCell ref="K281:M281"/>
    <mergeCell ref="F282:G282"/>
    <mergeCell ref="K282:M282"/>
    <mergeCell ref="F283:G283"/>
    <mergeCell ref="K283:M283"/>
    <mergeCell ref="F284:G284"/>
    <mergeCell ref="K284:M284"/>
    <mergeCell ref="F285:G285"/>
    <mergeCell ref="K285:M285"/>
    <mergeCell ref="F276:G276"/>
    <mergeCell ref="K276:M276"/>
    <mergeCell ref="F277:G277"/>
    <mergeCell ref="K277:M277"/>
    <mergeCell ref="F278:G278"/>
    <mergeCell ref="K278:M278"/>
    <mergeCell ref="F279:G279"/>
    <mergeCell ref="K279:M279"/>
    <mergeCell ref="F280:G280"/>
    <mergeCell ref="K280:M280"/>
    <mergeCell ref="F271:G271"/>
    <mergeCell ref="K271:M271"/>
    <mergeCell ref="F272:G272"/>
    <mergeCell ref="K272:M272"/>
    <mergeCell ref="F273:G273"/>
    <mergeCell ref="K273:M273"/>
    <mergeCell ref="F274:G274"/>
    <mergeCell ref="K274:M274"/>
    <mergeCell ref="F275:G275"/>
    <mergeCell ref="K275:M275"/>
    <mergeCell ref="F266:G266"/>
    <mergeCell ref="K266:M266"/>
    <mergeCell ref="F267:G267"/>
    <mergeCell ref="K267:M267"/>
    <mergeCell ref="F268:G268"/>
    <mergeCell ref="K268:M268"/>
    <mergeCell ref="F269:G269"/>
    <mergeCell ref="K269:M269"/>
    <mergeCell ref="F270:G270"/>
    <mergeCell ref="K270:M270"/>
    <mergeCell ref="F261:G261"/>
    <mergeCell ref="K261:M261"/>
    <mergeCell ref="F262:G262"/>
    <mergeCell ref="K262:M262"/>
    <mergeCell ref="F263:G263"/>
    <mergeCell ref="K263:M263"/>
    <mergeCell ref="F264:G264"/>
    <mergeCell ref="K264:M264"/>
    <mergeCell ref="F265:G265"/>
    <mergeCell ref="K265:M265"/>
    <mergeCell ref="F256:G256"/>
    <mergeCell ref="K256:M256"/>
    <mergeCell ref="F257:G257"/>
    <mergeCell ref="K257:M257"/>
    <mergeCell ref="F258:G258"/>
    <mergeCell ref="K258:M258"/>
    <mergeCell ref="F259:G259"/>
    <mergeCell ref="K259:M259"/>
    <mergeCell ref="F260:G260"/>
    <mergeCell ref="K260:M260"/>
    <mergeCell ref="F251:G251"/>
    <mergeCell ref="K251:M251"/>
    <mergeCell ref="F252:G252"/>
    <mergeCell ref="K252:M252"/>
    <mergeCell ref="F253:G253"/>
    <mergeCell ref="K253:M253"/>
    <mergeCell ref="F254:G254"/>
    <mergeCell ref="K254:M254"/>
    <mergeCell ref="F255:G255"/>
    <mergeCell ref="K255:M255"/>
    <mergeCell ref="F219:G219"/>
    <mergeCell ref="K219:M219"/>
    <mergeCell ref="F220:G220"/>
    <mergeCell ref="K220:M220"/>
    <mergeCell ref="F216:G216"/>
    <mergeCell ref="K216:M216"/>
    <mergeCell ref="F217:G217"/>
    <mergeCell ref="K217:M217"/>
    <mergeCell ref="F218:G218"/>
    <mergeCell ref="K218:M218"/>
    <mergeCell ref="F213:G213"/>
    <mergeCell ref="K213:M213"/>
    <mergeCell ref="F214:G214"/>
    <mergeCell ref="K214:M214"/>
    <mergeCell ref="F215:G215"/>
    <mergeCell ref="K215:M215"/>
    <mergeCell ref="F210:G210"/>
    <mergeCell ref="K210:M210"/>
    <mergeCell ref="F211:G211"/>
    <mergeCell ref="K211:M211"/>
    <mergeCell ref="F212:G212"/>
    <mergeCell ref="K212:M212"/>
    <mergeCell ref="F207:G207"/>
    <mergeCell ref="K207:M207"/>
    <mergeCell ref="F208:G208"/>
    <mergeCell ref="K208:M208"/>
    <mergeCell ref="F209:G209"/>
    <mergeCell ref="K209:M209"/>
    <mergeCell ref="F204:G204"/>
    <mergeCell ref="K204:M204"/>
    <mergeCell ref="F205:G205"/>
    <mergeCell ref="K205:M205"/>
    <mergeCell ref="F206:G206"/>
    <mergeCell ref="K206:M206"/>
    <mergeCell ref="F201:G201"/>
    <mergeCell ref="K201:M201"/>
    <mergeCell ref="F202:G202"/>
    <mergeCell ref="K202:M202"/>
    <mergeCell ref="F203:G203"/>
    <mergeCell ref="K203:M203"/>
    <mergeCell ref="F198:G198"/>
    <mergeCell ref="K198:M198"/>
    <mergeCell ref="F199:G199"/>
    <mergeCell ref="K199:M199"/>
    <mergeCell ref="F200:G200"/>
    <mergeCell ref="K200:M200"/>
    <mergeCell ref="F195:G195"/>
    <mergeCell ref="K195:M195"/>
    <mergeCell ref="F196:G196"/>
    <mergeCell ref="K196:M196"/>
    <mergeCell ref="F197:G197"/>
    <mergeCell ref="K197:M197"/>
    <mergeCell ref="F192:G192"/>
    <mergeCell ref="K192:M192"/>
    <mergeCell ref="F193:G193"/>
    <mergeCell ref="K193:M193"/>
    <mergeCell ref="F194:G194"/>
    <mergeCell ref="K194:M194"/>
    <mergeCell ref="F189:G189"/>
    <mergeCell ref="K189:M189"/>
    <mergeCell ref="F190:G190"/>
    <mergeCell ref="K190:M190"/>
    <mergeCell ref="F191:G191"/>
    <mergeCell ref="K191:M191"/>
    <mergeCell ref="F186:G186"/>
    <mergeCell ref="K186:M186"/>
    <mergeCell ref="F187:G187"/>
    <mergeCell ref="K187:M187"/>
    <mergeCell ref="F188:G188"/>
    <mergeCell ref="K188:M188"/>
    <mergeCell ref="F183:G183"/>
    <mergeCell ref="K183:M183"/>
    <mergeCell ref="F184:G184"/>
    <mergeCell ref="K184:M184"/>
    <mergeCell ref="F185:G185"/>
    <mergeCell ref="K185:M185"/>
    <mergeCell ref="F180:G180"/>
    <mergeCell ref="K180:M180"/>
    <mergeCell ref="F181:G181"/>
    <mergeCell ref="K181:M181"/>
    <mergeCell ref="F182:G182"/>
    <mergeCell ref="K182:M182"/>
    <mergeCell ref="F177:G177"/>
    <mergeCell ref="K177:M177"/>
    <mergeCell ref="F178:G178"/>
    <mergeCell ref="K178:M178"/>
    <mergeCell ref="F179:G179"/>
    <mergeCell ref="K179:M179"/>
    <mergeCell ref="F174:G174"/>
    <mergeCell ref="K174:M174"/>
    <mergeCell ref="F175:G175"/>
    <mergeCell ref="K175:M175"/>
    <mergeCell ref="F176:G176"/>
    <mergeCell ref="K176:M176"/>
    <mergeCell ref="F171:G171"/>
    <mergeCell ref="K171:M171"/>
    <mergeCell ref="F172:G172"/>
    <mergeCell ref="K172:M172"/>
    <mergeCell ref="F173:G173"/>
    <mergeCell ref="K173:M173"/>
    <mergeCell ref="F168:G168"/>
    <mergeCell ref="K168:M168"/>
    <mergeCell ref="F169:G169"/>
    <mergeCell ref="K169:M169"/>
    <mergeCell ref="F170:G170"/>
    <mergeCell ref="K170:M170"/>
    <mergeCell ref="F165:G165"/>
    <mergeCell ref="K165:M165"/>
    <mergeCell ref="F166:G166"/>
    <mergeCell ref="K166:M166"/>
    <mergeCell ref="F167:G167"/>
    <mergeCell ref="K167:M167"/>
    <mergeCell ref="F162:G162"/>
    <mergeCell ref="K162:M162"/>
    <mergeCell ref="F163:G163"/>
    <mergeCell ref="K163:M163"/>
    <mergeCell ref="F164:G164"/>
    <mergeCell ref="K164:M164"/>
    <mergeCell ref="F159:G159"/>
    <mergeCell ref="K159:M159"/>
    <mergeCell ref="F160:G160"/>
    <mergeCell ref="K160:M160"/>
    <mergeCell ref="F161:G161"/>
    <mergeCell ref="K161:M161"/>
    <mergeCell ref="F156:G156"/>
    <mergeCell ref="K156:M156"/>
    <mergeCell ref="F157:G157"/>
    <mergeCell ref="K157:M157"/>
    <mergeCell ref="F158:G158"/>
    <mergeCell ref="K158:M158"/>
    <mergeCell ref="F153:G153"/>
    <mergeCell ref="K153:M153"/>
    <mergeCell ref="F154:G154"/>
    <mergeCell ref="K154:M154"/>
    <mergeCell ref="F155:G155"/>
    <mergeCell ref="K155:M155"/>
    <mergeCell ref="F150:G150"/>
    <mergeCell ref="K150:M150"/>
    <mergeCell ref="F151:G151"/>
    <mergeCell ref="K151:M151"/>
    <mergeCell ref="F152:G152"/>
    <mergeCell ref="K152:M152"/>
    <mergeCell ref="F147:G147"/>
    <mergeCell ref="K147:M147"/>
    <mergeCell ref="F148:G148"/>
    <mergeCell ref="K148:M148"/>
    <mergeCell ref="F149:G149"/>
    <mergeCell ref="K149:M149"/>
    <mergeCell ref="F144:G144"/>
    <mergeCell ref="K144:M144"/>
    <mergeCell ref="F145:G145"/>
    <mergeCell ref="K145:M145"/>
    <mergeCell ref="F146:G146"/>
    <mergeCell ref="K146:M146"/>
    <mergeCell ref="F141:G141"/>
    <mergeCell ref="K141:M141"/>
    <mergeCell ref="F142:G142"/>
    <mergeCell ref="K142:M142"/>
    <mergeCell ref="F143:G143"/>
    <mergeCell ref="K143:M143"/>
    <mergeCell ref="F138:G138"/>
    <mergeCell ref="K138:M138"/>
    <mergeCell ref="F139:G139"/>
    <mergeCell ref="K139:M139"/>
    <mergeCell ref="F140:G140"/>
    <mergeCell ref="K140:M140"/>
    <mergeCell ref="F135:G135"/>
    <mergeCell ref="K135:M135"/>
    <mergeCell ref="F136:G136"/>
    <mergeCell ref="K136:M136"/>
    <mergeCell ref="F137:G137"/>
    <mergeCell ref="K137:M137"/>
    <mergeCell ref="F132:G132"/>
    <mergeCell ref="K132:M132"/>
    <mergeCell ref="F133:G133"/>
    <mergeCell ref="K133:M133"/>
    <mergeCell ref="F134:G134"/>
    <mergeCell ref="K134:M134"/>
    <mergeCell ref="F129:G129"/>
    <mergeCell ref="K129:M129"/>
    <mergeCell ref="F130:G130"/>
    <mergeCell ref="K130:M130"/>
    <mergeCell ref="F131:G131"/>
    <mergeCell ref="K131:M131"/>
    <mergeCell ref="F126:G126"/>
    <mergeCell ref="K126:M126"/>
    <mergeCell ref="F127:G127"/>
    <mergeCell ref="K127:M127"/>
    <mergeCell ref="F128:G128"/>
    <mergeCell ref="K128:M128"/>
    <mergeCell ref="F123:G123"/>
    <mergeCell ref="K123:M123"/>
    <mergeCell ref="F124:G124"/>
    <mergeCell ref="K124:M124"/>
    <mergeCell ref="F125:G125"/>
    <mergeCell ref="K125:M125"/>
    <mergeCell ref="F120:G120"/>
    <mergeCell ref="K120:M120"/>
    <mergeCell ref="F121:G121"/>
    <mergeCell ref="K121:M121"/>
    <mergeCell ref="F122:G122"/>
    <mergeCell ref="K122:M122"/>
    <mergeCell ref="F117:G117"/>
    <mergeCell ref="K117:M117"/>
    <mergeCell ref="F118:G118"/>
    <mergeCell ref="K118:M118"/>
    <mergeCell ref="F119:G119"/>
    <mergeCell ref="K119:M119"/>
    <mergeCell ref="F114:G114"/>
    <mergeCell ref="K114:M114"/>
    <mergeCell ref="F115:G115"/>
    <mergeCell ref="K115:M115"/>
    <mergeCell ref="F116:G116"/>
    <mergeCell ref="K116:M116"/>
    <mergeCell ref="F111:G111"/>
    <mergeCell ref="K111:M111"/>
    <mergeCell ref="F112:G112"/>
    <mergeCell ref="K112:M112"/>
    <mergeCell ref="F113:G113"/>
    <mergeCell ref="K113:M113"/>
    <mergeCell ref="F108:G108"/>
    <mergeCell ref="K108:M108"/>
    <mergeCell ref="F109:G109"/>
    <mergeCell ref="K109:M109"/>
    <mergeCell ref="F110:G110"/>
    <mergeCell ref="K110:M110"/>
    <mergeCell ref="F105:G105"/>
    <mergeCell ref="K105:M105"/>
    <mergeCell ref="F106:G106"/>
    <mergeCell ref="K106:M106"/>
    <mergeCell ref="F107:G107"/>
    <mergeCell ref="K107:M107"/>
    <mergeCell ref="F102:G102"/>
    <mergeCell ref="K102:M102"/>
    <mergeCell ref="F103:G103"/>
    <mergeCell ref="K103:M103"/>
    <mergeCell ref="F104:G104"/>
    <mergeCell ref="K104:M104"/>
    <mergeCell ref="F99:G99"/>
    <mergeCell ref="K99:M99"/>
    <mergeCell ref="F100:G100"/>
    <mergeCell ref="K100:M100"/>
    <mergeCell ref="F101:G101"/>
    <mergeCell ref="K101:M101"/>
    <mergeCell ref="F96:G96"/>
    <mergeCell ref="K96:M96"/>
    <mergeCell ref="F97:G97"/>
    <mergeCell ref="K97:M97"/>
    <mergeCell ref="F98:G98"/>
    <mergeCell ref="K98:M98"/>
    <mergeCell ref="F93:G93"/>
    <mergeCell ref="K93:M93"/>
    <mergeCell ref="F94:G94"/>
    <mergeCell ref="K94:M94"/>
    <mergeCell ref="F95:G95"/>
    <mergeCell ref="K95:M95"/>
    <mergeCell ref="F90:G90"/>
    <mergeCell ref="K90:M90"/>
    <mergeCell ref="F91:G91"/>
    <mergeCell ref="K91:M91"/>
    <mergeCell ref="F92:G92"/>
    <mergeCell ref="K92:M92"/>
    <mergeCell ref="F87:G87"/>
    <mergeCell ref="K87:M87"/>
    <mergeCell ref="F88:G88"/>
    <mergeCell ref="K88:M88"/>
    <mergeCell ref="F89:G89"/>
    <mergeCell ref="K89:M89"/>
    <mergeCell ref="F84:G84"/>
    <mergeCell ref="K84:M84"/>
    <mergeCell ref="F85:G85"/>
    <mergeCell ref="K85:M85"/>
    <mergeCell ref="F86:G86"/>
    <mergeCell ref="K86:M86"/>
    <mergeCell ref="F81:G81"/>
    <mergeCell ref="K81:M81"/>
    <mergeCell ref="F82:G82"/>
    <mergeCell ref="K82:M82"/>
    <mergeCell ref="F83:G83"/>
    <mergeCell ref="K83:M83"/>
    <mergeCell ref="F78:G78"/>
    <mergeCell ref="K78:M78"/>
    <mergeCell ref="F79:G79"/>
    <mergeCell ref="K79:M79"/>
    <mergeCell ref="F80:G80"/>
    <mergeCell ref="K80:M80"/>
    <mergeCell ref="F75:G75"/>
    <mergeCell ref="K75:M75"/>
    <mergeCell ref="F76:G76"/>
    <mergeCell ref="K76:M76"/>
    <mergeCell ref="F77:G77"/>
    <mergeCell ref="K77:M77"/>
    <mergeCell ref="F72:G72"/>
    <mergeCell ref="K72:M72"/>
    <mergeCell ref="F73:G73"/>
    <mergeCell ref="K73:M73"/>
    <mergeCell ref="F74:G74"/>
    <mergeCell ref="K74:M74"/>
    <mergeCell ref="F69:G69"/>
    <mergeCell ref="K69:M69"/>
    <mergeCell ref="F70:G70"/>
    <mergeCell ref="K70:M70"/>
    <mergeCell ref="F71:G71"/>
    <mergeCell ref="K71:M71"/>
    <mergeCell ref="F66:G66"/>
    <mergeCell ref="K66:M66"/>
    <mergeCell ref="F67:G67"/>
    <mergeCell ref="K67:M67"/>
    <mergeCell ref="F68:G68"/>
    <mergeCell ref="K68:M68"/>
    <mergeCell ref="F63:G63"/>
    <mergeCell ref="K63:M63"/>
    <mergeCell ref="F64:G64"/>
    <mergeCell ref="K64:M64"/>
    <mergeCell ref="F65:G65"/>
    <mergeCell ref="K65:M65"/>
    <mergeCell ref="F60:G60"/>
    <mergeCell ref="K60:M60"/>
    <mergeCell ref="F61:G61"/>
    <mergeCell ref="K61:M61"/>
    <mergeCell ref="F62:G62"/>
    <mergeCell ref="K62:M62"/>
    <mergeCell ref="F57:G57"/>
    <mergeCell ref="K57:M57"/>
    <mergeCell ref="F58:G58"/>
    <mergeCell ref="K58:M58"/>
    <mergeCell ref="F59:G59"/>
    <mergeCell ref="K59:M59"/>
    <mergeCell ref="F54:G54"/>
    <mergeCell ref="K54:M54"/>
    <mergeCell ref="F55:G55"/>
    <mergeCell ref="K55:M55"/>
    <mergeCell ref="F56:G56"/>
    <mergeCell ref="K56:M56"/>
    <mergeCell ref="F51:G51"/>
    <mergeCell ref="K51:M51"/>
    <mergeCell ref="F52:G52"/>
    <mergeCell ref="K52:M52"/>
    <mergeCell ref="F53:G53"/>
    <mergeCell ref="K53:M53"/>
    <mergeCell ref="F48:G48"/>
    <mergeCell ref="K48:M48"/>
    <mergeCell ref="F49:G49"/>
    <mergeCell ref="K49:M49"/>
    <mergeCell ref="F50:G50"/>
    <mergeCell ref="K50:M50"/>
    <mergeCell ref="F45:G45"/>
    <mergeCell ref="K45:M45"/>
    <mergeCell ref="F46:G46"/>
    <mergeCell ref="K46:M46"/>
    <mergeCell ref="F47:G47"/>
    <mergeCell ref="K47:M47"/>
    <mergeCell ref="F42:G42"/>
    <mergeCell ref="K42:M42"/>
    <mergeCell ref="F43:G43"/>
    <mergeCell ref="K43:M43"/>
    <mergeCell ref="F44:G44"/>
    <mergeCell ref="K44:M44"/>
    <mergeCell ref="F39:G39"/>
    <mergeCell ref="K39:M39"/>
    <mergeCell ref="F40:G40"/>
    <mergeCell ref="K40:M40"/>
    <mergeCell ref="F41:G41"/>
    <mergeCell ref="K41:M41"/>
    <mergeCell ref="F36:G36"/>
    <mergeCell ref="K36:M36"/>
    <mergeCell ref="F37:G37"/>
    <mergeCell ref="K37:M37"/>
    <mergeCell ref="F38:G38"/>
    <mergeCell ref="K38:M38"/>
    <mergeCell ref="F33:G33"/>
    <mergeCell ref="K33:M33"/>
    <mergeCell ref="F34:G34"/>
    <mergeCell ref="K34:M34"/>
    <mergeCell ref="F35:G35"/>
    <mergeCell ref="K35:M35"/>
    <mergeCell ref="F30:G30"/>
    <mergeCell ref="K30:M30"/>
    <mergeCell ref="F31:G31"/>
    <mergeCell ref="K31:M31"/>
    <mergeCell ref="F32:G32"/>
    <mergeCell ref="K32:M32"/>
    <mergeCell ref="F27:G27"/>
    <mergeCell ref="K27:M27"/>
    <mergeCell ref="F28:G28"/>
    <mergeCell ref="K28:M28"/>
    <mergeCell ref="F29:G29"/>
    <mergeCell ref="K29:M29"/>
    <mergeCell ref="F24:G24"/>
    <mergeCell ref="K24:M24"/>
    <mergeCell ref="F25:G25"/>
    <mergeCell ref="K25:M25"/>
    <mergeCell ref="F26:G26"/>
    <mergeCell ref="K26:M26"/>
    <mergeCell ref="F21:G21"/>
    <mergeCell ref="K21:M21"/>
    <mergeCell ref="F22:G22"/>
    <mergeCell ref="K22:M22"/>
    <mergeCell ref="F23:G23"/>
    <mergeCell ref="K23:M23"/>
    <mergeCell ref="F18:G18"/>
    <mergeCell ref="K18:M18"/>
    <mergeCell ref="F19:G19"/>
    <mergeCell ref="K19:M19"/>
    <mergeCell ref="F20:G20"/>
    <mergeCell ref="K20:M20"/>
    <mergeCell ref="F15:G15"/>
    <mergeCell ref="K15:M15"/>
    <mergeCell ref="F16:G16"/>
    <mergeCell ref="K16:M16"/>
    <mergeCell ref="F17:G17"/>
    <mergeCell ref="K17:M17"/>
    <mergeCell ref="F12:G12"/>
    <mergeCell ref="K12:M12"/>
    <mergeCell ref="F13:G13"/>
    <mergeCell ref="K13:M13"/>
    <mergeCell ref="F14:G14"/>
    <mergeCell ref="K14:M14"/>
    <mergeCell ref="F9:G9"/>
    <mergeCell ref="K9:M9"/>
    <mergeCell ref="F10:G10"/>
    <mergeCell ref="K10:M10"/>
    <mergeCell ref="F11:G11"/>
    <mergeCell ref="K11:M11"/>
    <mergeCell ref="S3:U3"/>
    <mergeCell ref="F5:I5"/>
    <mergeCell ref="K5:N5"/>
    <mergeCell ref="P5:U5"/>
    <mergeCell ref="F7:G7"/>
    <mergeCell ref="K7:M7"/>
    <mergeCell ref="F221:G221"/>
    <mergeCell ref="K221:M221"/>
    <mergeCell ref="F222:G222"/>
    <mergeCell ref="K222:M222"/>
    <mergeCell ref="F223:G223"/>
    <mergeCell ref="K223:M223"/>
    <mergeCell ref="F224:G224"/>
    <mergeCell ref="K224:M224"/>
    <mergeCell ref="F225:G225"/>
    <mergeCell ref="K225:M225"/>
    <mergeCell ref="F226:G226"/>
    <mergeCell ref="K226:M226"/>
    <mergeCell ref="F227:G227"/>
    <mergeCell ref="K227:M227"/>
    <mergeCell ref="F228:G228"/>
    <mergeCell ref="K228:M228"/>
    <mergeCell ref="F229:G229"/>
    <mergeCell ref="K229:M229"/>
    <mergeCell ref="F230:G230"/>
    <mergeCell ref="K230:M230"/>
    <mergeCell ref="F231:G231"/>
    <mergeCell ref="K231:M231"/>
    <mergeCell ref="F232:G232"/>
    <mergeCell ref="K232:M232"/>
    <mergeCell ref="F233:G233"/>
    <mergeCell ref="K233:M233"/>
    <mergeCell ref="F234:G234"/>
    <mergeCell ref="K234:M234"/>
    <mergeCell ref="F235:G235"/>
    <mergeCell ref="K235:M235"/>
    <mergeCell ref="F236:G236"/>
    <mergeCell ref="K236:M236"/>
    <mergeCell ref="F237:G237"/>
    <mergeCell ref="K237:M237"/>
    <mergeCell ref="F238:G238"/>
    <mergeCell ref="K238:M238"/>
    <mergeCell ref="F239:G239"/>
    <mergeCell ref="K239:M239"/>
    <mergeCell ref="F240:G240"/>
    <mergeCell ref="K240:M240"/>
    <mergeCell ref="F241:G241"/>
    <mergeCell ref="K241:M241"/>
    <mergeCell ref="F242:G242"/>
    <mergeCell ref="K242:M242"/>
    <mergeCell ref="F243:G243"/>
    <mergeCell ref="K243:M243"/>
    <mergeCell ref="F244:G244"/>
    <mergeCell ref="K244:M244"/>
    <mergeCell ref="F245:G245"/>
    <mergeCell ref="K245:M245"/>
    <mergeCell ref="F246:G246"/>
    <mergeCell ref="K246:M246"/>
    <mergeCell ref="F247:G247"/>
    <mergeCell ref="K247:M247"/>
    <mergeCell ref="F248:G248"/>
    <mergeCell ref="K248:M248"/>
    <mergeCell ref="F249:G249"/>
    <mergeCell ref="K249:M249"/>
    <mergeCell ref="F250:G250"/>
    <mergeCell ref="K250:M250"/>
    <mergeCell ref="F301:G301"/>
    <mergeCell ref="K301:M301"/>
    <mergeCell ref="F302:G302"/>
    <mergeCell ref="K302:M302"/>
    <mergeCell ref="F303:G303"/>
    <mergeCell ref="K303:M303"/>
    <mergeCell ref="F304:G304"/>
    <mergeCell ref="K304:M304"/>
    <mergeCell ref="F305:G305"/>
    <mergeCell ref="K305:M305"/>
    <mergeCell ref="F306:G306"/>
    <mergeCell ref="K306:M306"/>
    <mergeCell ref="F307:G307"/>
    <mergeCell ref="K307:M307"/>
    <mergeCell ref="F308:G308"/>
    <mergeCell ref="K308:M308"/>
    <mergeCell ref="F309:G309"/>
    <mergeCell ref="K309:M309"/>
    <mergeCell ref="F310:G310"/>
    <mergeCell ref="K310:M310"/>
    <mergeCell ref="F311:G311"/>
    <mergeCell ref="K311:M311"/>
    <mergeCell ref="F312:G312"/>
    <mergeCell ref="K312:M312"/>
    <mergeCell ref="F313:G313"/>
    <mergeCell ref="K313:M313"/>
    <mergeCell ref="F314:G314"/>
    <mergeCell ref="K314:M314"/>
    <mergeCell ref="F315:G315"/>
    <mergeCell ref="K315:M315"/>
    <mergeCell ref="F316:G316"/>
    <mergeCell ref="K316:M316"/>
    <mergeCell ref="F317:G317"/>
    <mergeCell ref="K317:M317"/>
    <mergeCell ref="F318:G318"/>
    <mergeCell ref="K318:M318"/>
    <mergeCell ref="F319:G319"/>
    <mergeCell ref="K319:M319"/>
    <mergeCell ref="F320:G320"/>
    <mergeCell ref="K320:M320"/>
    <mergeCell ref="F321:G321"/>
    <mergeCell ref="K321:M321"/>
    <mergeCell ref="F322:G322"/>
    <mergeCell ref="K322:M322"/>
    <mergeCell ref="F323:G323"/>
    <mergeCell ref="K323:M323"/>
    <mergeCell ref="F324:G324"/>
    <mergeCell ref="K324:M324"/>
    <mergeCell ref="F325:G325"/>
    <mergeCell ref="K325:M325"/>
    <mergeCell ref="F326:G326"/>
    <mergeCell ref="K326:M326"/>
    <mergeCell ref="F327:G327"/>
    <mergeCell ref="K327:M327"/>
    <mergeCell ref="F328:G328"/>
    <mergeCell ref="K328:M328"/>
    <mergeCell ref="F329:G329"/>
    <mergeCell ref="K329:M329"/>
    <mergeCell ref="F330:G330"/>
    <mergeCell ref="K330:M330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2:U350"/>
  <sheetViews>
    <sheetView topLeftCell="B1" workbookViewId="0">
      <pane ySplit="7" topLeftCell="A8" activePane="bottomLeft" state="frozen"/>
      <selection pane="bottomLeft" activeCell="D260" sqref="D260"/>
    </sheetView>
  </sheetViews>
  <sheetFormatPr defaultRowHeight="16.5" x14ac:dyDescent="0.3"/>
  <cols>
    <col min="1" max="1" width="4.140625" style="45" customWidth="1"/>
    <col min="2" max="2" width="10.5703125" style="35" customWidth="1"/>
    <col min="3" max="3" width="2.85546875" style="35" customWidth="1"/>
    <col min="4" max="4" width="29" style="35" customWidth="1"/>
    <col min="5" max="5" width="3.140625" style="35" customWidth="1"/>
    <col min="6" max="6" width="9.140625" style="35" customWidth="1"/>
    <col min="7" max="7" width="6.42578125" style="73" customWidth="1"/>
    <col min="8" max="8" width="6.42578125" style="35" customWidth="1"/>
    <col min="9" max="9" width="9" style="35" customWidth="1"/>
    <col min="10" max="10" width="2.85546875" style="35" customWidth="1"/>
    <col min="11" max="11" width="8.5703125" style="35" customWidth="1"/>
    <col min="12" max="12" width="6.85546875" style="35" customWidth="1"/>
    <col min="13" max="13" width="7.5703125" style="35" customWidth="1"/>
    <col min="14" max="14" width="9.28515625" style="35" customWidth="1"/>
    <col min="15" max="15" width="3.5703125" style="35" customWidth="1"/>
    <col min="16" max="16" width="10.7109375" style="38" customWidth="1"/>
    <col min="17" max="17" width="3" style="35" customWidth="1"/>
    <col min="18" max="18" width="19.5703125" style="38" customWidth="1"/>
    <col min="19" max="19" width="3.140625" style="35" customWidth="1"/>
    <col min="20" max="20" width="28" style="35" customWidth="1"/>
    <col min="21" max="21" width="3.42578125" style="35" customWidth="1"/>
    <col min="22" max="16384" width="9.140625" style="35"/>
  </cols>
  <sheetData>
    <row r="2" spans="1:21" x14ac:dyDescent="0.3">
      <c r="A2" s="43"/>
      <c r="B2" s="2"/>
      <c r="C2" s="1"/>
      <c r="D2" s="1"/>
      <c r="E2" s="1"/>
      <c r="F2" s="1"/>
      <c r="G2" s="69"/>
      <c r="H2" s="1"/>
      <c r="I2" s="1"/>
      <c r="J2" s="1"/>
      <c r="K2" s="3"/>
      <c r="L2" s="4"/>
      <c r="M2" s="5"/>
      <c r="N2" s="5"/>
      <c r="O2" s="1"/>
      <c r="P2" s="34"/>
      <c r="Q2" s="1"/>
      <c r="R2" s="86"/>
      <c r="S2" s="1"/>
      <c r="T2" s="1"/>
      <c r="U2" s="1"/>
    </row>
    <row r="3" spans="1:21" ht="20.100000000000001" customHeight="1" thickBot="1" x14ac:dyDescent="0.35">
      <c r="A3" s="43"/>
      <c r="B3" s="42" t="s">
        <v>15</v>
      </c>
      <c r="C3" s="1"/>
      <c r="D3" s="1"/>
      <c r="E3" s="36" t="s">
        <v>34</v>
      </c>
      <c r="F3" s="36"/>
      <c r="G3" s="70"/>
      <c r="H3" s="36"/>
      <c r="I3" s="36"/>
      <c r="J3" s="36"/>
      <c r="K3" s="36"/>
      <c r="L3" s="36"/>
      <c r="M3" s="36"/>
      <c r="N3" s="36"/>
      <c r="O3" s="36"/>
      <c r="P3" s="36"/>
      <c r="Q3" s="37"/>
      <c r="R3" s="56"/>
      <c r="S3" s="181" t="s">
        <v>941</v>
      </c>
      <c r="T3" s="182"/>
      <c r="U3" s="60"/>
    </row>
    <row r="4" spans="1:21" ht="17.25" thickTop="1" x14ac:dyDescent="0.3">
      <c r="A4" s="43"/>
      <c r="B4" s="2"/>
      <c r="C4" s="1"/>
      <c r="D4" s="1"/>
      <c r="E4" s="1"/>
      <c r="F4" s="1"/>
      <c r="G4" s="69"/>
      <c r="H4" s="6"/>
      <c r="I4" s="6"/>
      <c r="J4" s="1"/>
      <c r="K4" s="3"/>
      <c r="L4" s="4"/>
      <c r="M4" s="5"/>
      <c r="N4" s="5"/>
      <c r="O4" s="1"/>
      <c r="P4" s="34"/>
      <c r="Q4" s="1"/>
      <c r="R4" s="86"/>
      <c r="S4" s="1"/>
      <c r="T4" s="1"/>
      <c r="U4" s="1"/>
    </row>
    <row r="5" spans="1:21" ht="30" customHeight="1" x14ac:dyDescent="0.3">
      <c r="A5" s="43"/>
      <c r="B5" s="8" t="s">
        <v>0</v>
      </c>
      <c r="C5" s="7"/>
      <c r="D5" s="41" t="s">
        <v>14</v>
      </c>
      <c r="E5" s="7"/>
      <c r="F5" s="178" t="s">
        <v>76</v>
      </c>
      <c r="G5" s="178"/>
      <c r="H5" s="178"/>
      <c r="I5" s="178"/>
      <c r="J5" s="9"/>
      <c r="K5" s="179" t="s">
        <v>78</v>
      </c>
      <c r="L5" s="179"/>
      <c r="M5" s="179"/>
      <c r="N5" s="179"/>
      <c r="O5" s="7"/>
      <c r="P5" s="180" t="s">
        <v>77</v>
      </c>
      <c r="Q5" s="180"/>
      <c r="R5" s="180"/>
      <c r="S5" s="180"/>
      <c r="T5" s="180"/>
      <c r="U5" s="7"/>
    </row>
    <row r="6" spans="1:21" x14ac:dyDescent="0.3">
      <c r="A6" s="43"/>
      <c r="B6" s="2"/>
      <c r="C6" s="1"/>
      <c r="D6" s="1"/>
      <c r="E6" s="1"/>
      <c r="F6" s="10"/>
      <c r="G6" s="71"/>
      <c r="H6" s="1"/>
      <c r="I6" s="1"/>
      <c r="J6" s="1"/>
      <c r="K6" s="3"/>
      <c r="L6" s="4"/>
      <c r="M6" s="5"/>
      <c r="N6" s="5"/>
      <c r="O6" s="1"/>
      <c r="P6" s="34"/>
      <c r="Q6" s="1"/>
      <c r="R6" s="86"/>
      <c r="S6" s="1"/>
      <c r="T6" s="1"/>
      <c r="U6" s="1"/>
    </row>
    <row r="7" spans="1:21" ht="30" customHeight="1" x14ac:dyDescent="0.3">
      <c r="A7" s="44"/>
      <c r="B7" s="12" t="s">
        <v>1</v>
      </c>
      <c r="C7" s="13"/>
      <c r="D7" s="14" t="s">
        <v>2</v>
      </c>
      <c r="E7" s="11"/>
      <c r="F7" s="15" t="s">
        <v>3</v>
      </c>
      <c r="G7" s="72" t="s">
        <v>4</v>
      </c>
      <c r="H7" s="15" t="s">
        <v>5</v>
      </c>
      <c r="I7" s="15" t="s">
        <v>6</v>
      </c>
      <c r="J7" s="16"/>
      <c r="K7" s="17" t="s">
        <v>7</v>
      </c>
      <c r="L7" s="18" t="s">
        <v>8</v>
      </c>
      <c r="M7" s="19" t="s">
        <v>9</v>
      </c>
      <c r="N7" s="17" t="s">
        <v>31</v>
      </c>
      <c r="O7" s="11"/>
      <c r="P7" s="12" t="s">
        <v>10</v>
      </c>
      <c r="Q7" s="11"/>
      <c r="R7" s="14" t="s">
        <v>11</v>
      </c>
      <c r="S7" s="46"/>
      <c r="T7" s="14" t="s">
        <v>12</v>
      </c>
      <c r="U7" s="11"/>
    </row>
    <row r="8" spans="1:21" x14ac:dyDescent="0.3">
      <c r="A8" s="43"/>
      <c r="B8" s="2"/>
      <c r="C8" s="1"/>
      <c r="D8" s="1"/>
      <c r="E8" s="1"/>
      <c r="F8" s="1"/>
      <c r="G8" s="69"/>
      <c r="H8" s="1"/>
      <c r="I8" s="1"/>
      <c r="J8" s="20"/>
      <c r="K8" s="3"/>
      <c r="L8" s="4"/>
      <c r="M8" s="5"/>
      <c r="N8" s="5"/>
      <c r="O8" s="1"/>
      <c r="P8" s="34"/>
      <c r="Q8" s="1"/>
      <c r="R8" s="86"/>
      <c r="S8" s="1"/>
      <c r="T8" s="1"/>
      <c r="U8" s="1"/>
    </row>
    <row r="9" spans="1:21" ht="20.100000000000001" customHeight="1" x14ac:dyDescent="0.3">
      <c r="A9" s="44">
        <v>1</v>
      </c>
      <c r="B9" s="78">
        <v>45390</v>
      </c>
      <c r="C9" s="79"/>
      <c r="D9" s="80" t="s">
        <v>543</v>
      </c>
      <c r="E9" s="81"/>
      <c r="F9" s="82">
        <v>20</v>
      </c>
      <c r="G9" s="83" t="s">
        <v>56</v>
      </c>
      <c r="H9" s="82">
        <v>50</v>
      </c>
      <c r="I9" s="27">
        <f t="shared" ref="I9:I72" si="0">F9*H9</f>
        <v>1000</v>
      </c>
      <c r="J9" s="28"/>
      <c r="K9" s="29">
        <v>457</v>
      </c>
      <c r="L9" s="30">
        <v>0.18</v>
      </c>
      <c r="M9" s="31">
        <f t="shared" ref="M9:M72" si="1">K9*L9</f>
        <v>82.259999999999991</v>
      </c>
      <c r="N9" s="31">
        <f t="shared" ref="N9:N72" si="2">K9+M9</f>
        <v>539.26</v>
      </c>
      <c r="O9" s="25"/>
      <c r="P9" s="22">
        <v>45390</v>
      </c>
      <c r="Q9" s="25"/>
      <c r="R9" s="26" t="s">
        <v>744</v>
      </c>
      <c r="S9" s="21"/>
      <c r="T9" s="32" t="s">
        <v>315</v>
      </c>
      <c r="U9" s="21"/>
    </row>
    <row r="10" spans="1:21" ht="20.100000000000001" customHeight="1" x14ac:dyDescent="0.3">
      <c r="A10" s="44">
        <v>2</v>
      </c>
      <c r="B10" s="78">
        <v>45390</v>
      </c>
      <c r="C10" s="79"/>
      <c r="D10" s="80" t="s">
        <v>507</v>
      </c>
      <c r="E10" s="81"/>
      <c r="F10" s="82">
        <v>20</v>
      </c>
      <c r="G10" s="83" t="s">
        <v>56</v>
      </c>
      <c r="H10" s="82">
        <v>5</v>
      </c>
      <c r="I10" s="27">
        <f t="shared" si="0"/>
        <v>100</v>
      </c>
      <c r="J10" s="28"/>
      <c r="K10" s="29">
        <v>1138</v>
      </c>
      <c r="L10" s="30">
        <v>0.18</v>
      </c>
      <c r="M10" s="31">
        <f t="shared" si="1"/>
        <v>204.84</v>
      </c>
      <c r="N10" s="31">
        <f t="shared" si="2"/>
        <v>1342.84</v>
      </c>
      <c r="O10" s="25"/>
      <c r="P10" s="22">
        <v>45390</v>
      </c>
      <c r="Q10" s="25"/>
      <c r="R10" s="26" t="s">
        <v>744</v>
      </c>
      <c r="S10" s="21"/>
      <c r="T10" s="32" t="s">
        <v>315</v>
      </c>
      <c r="U10" s="21"/>
    </row>
    <row r="11" spans="1:21" ht="20.100000000000001" customHeight="1" x14ac:dyDescent="0.3">
      <c r="A11" s="44">
        <v>3</v>
      </c>
      <c r="B11" s="78">
        <v>45390</v>
      </c>
      <c r="C11" s="79"/>
      <c r="D11" s="80" t="s">
        <v>625</v>
      </c>
      <c r="E11" s="81"/>
      <c r="F11" s="82">
        <v>200</v>
      </c>
      <c r="G11" s="83" t="s">
        <v>18</v>
      </c>
      <c r="H11" s="82">
        <v>1</v>
      </c>
      <c r="I11" s="27">
        <f t="shared" si="0"/>
        <v>200</v>
      </c>
      <c r="J11" s="28"/>
      <c r="K11" s="29">
        <v>189</v>
      </c>
      <c r="L11" s="30"/>
      <c r="M11" s="31">
        <f t="shared" si="1"/>
        <v>0</v>
      </c>
      <c r="N11" s="31">
        <f t="shared" si="2"/>
        <v>189</v>
      </c>
      <c r="O11" s="25"/>
      <c r="P11" s="22">
        <v>45390</v>
      </c>
      <c r="Q11" s="81"/>
      <c r="R11" s="26" t="s">
        <v>745</v>
      </c>
      <c r="S11" s="21"/>
      <c r="T11" s="32" t="s">
        <v>609</v>
      </c>
      <c r="U11" s="21"/>
    </row>
    <row r="12" spans="1:21" ht="20.100000000000001" customHeight="1" x14ac:dyDescent="0.3">
      <c r="A12" s="44">
        <v>4</v>
      </c>
      <c r="B12" s="78">
        <v>45390</v>
      </c>
      <c r="C12" s="79"/>
      <c r="D12" s="80" t="s">
        <v>667</v>
      </c>
      <c r="E12" s="81"/>
      <c r="F12" s="82">
        <v>300</v>
      </c>
      <c r="G12" s="83" t="s">
        <v>66</v>
      </c>
      <c r="H12" s="82">
        <v>200</v>
      </c>
      <c r="I12" s="27">
        <f t="shared" si="0"/>
        <v>60000</v>
      </c>
      <c r="J12" s="28"/>
      <c r="K12" s="29">
        <v>190</v>
      </c>
      <c r="L12" s="30"/>
      <c r="M12" s="31">
        <f t="shared" si="1"/>
        <v>0</v>
      </c>
      <c r="N12" s="31">
        <f t="shared" si="2"/>
        <v>190</v>
      </c>
      <c r="O12" s="25"/>
      <c r="P12" s="22">
        <v>45390</v>
      </c>
      <c r="Q12" s="81"/>
      <c r="R12" s="26" t="s">
        <v>745</v>
      </c>
      <c r="S12" s="21"/>
      <c r="T12" s="32" t="s">
        <v>609</v>
      </c>
      <c r="U12" s="21"/>
    </row>
    <row r="13" spans="1:21" ht="20.100000000000001" customHeight="1" x14ac:dyDescent="0.3">
      <c r="A13" s="44">
        <v>5</v>
      </c>
      <c r="B13" s="78">
        <v>45390</v>
      </c>
      <c r="C13" s="79"/>
      <c r="D13" s="80" t="s">
        <v>509</v>
      </c>
      <c r="E13" s="81"/>
      <c r="F13" s="82">
        <v>48</v>
      </c>
      <c r="G13" s="83" t="s">
        <v>56</v>
      </c>
      <c r="H13" s="82">
        <v>1</v>
      </c>
      <c r="I13" s="27">
        <f t="shared" si="0"/>
        <v>48</v>
      </c>
      <c r="J13" s="28"/>
      <c r="K13" s="29">
        <v>580</v>
      </c>
      <c r="L13" s="30"/>
      <c r="M13" s="31">
        <f t="shared" si="1"/>
        <v>0</v>
      </c>
      <c r="N13" s="31">
        <f t="shared" si="2"/>
        <v>580</v>
      </c>
      <c r="O13" s="25"/>
      <c r="P13" s="22">
        <v>45390</v>
      </c>
      <c r="Q13" s="81"/>
      <c r="R13" s="26" t="s">
        <v>745</v>
      </c>
      <c r="S13" s="21"/>
      <c r="T13" s="32" t="s">
        <v>609</v>
      </c>
      <c r="U13" s="21"/>
    </row>
    <row r="14" spans="1:21" ht="20.100000000000001" customHeight="1" x14ac:dyDescent="0.3">
      <c r="A14" s="44">
        <v>6</v>
      </c>
      <c r="B14" s="78">
        <v>45390</v>
      </c>
      <c r="C14" s="79"/>
      <c r="D14" s="80" t="s">
        <v>674</v>
      </c>
      <c r="E14" s="81"/>
      <c r="F14" s="82">
        <v>40</v>
      </c>
      <c r="G14" s="83" t="s">
        <v>56</v>
      </c>
      <c r="H14" s="82">
        <v>5</v>
      </c>
      <c r="I14" s="27">
        <f t="shared" si="0"/>
        <v>200</v>
      </c>
      <c r="J14" s="28"/>
      <c r="K14" s="29">
        <v>730</v>
      </c>
      <c r="L14" s="30"/>
      <c r="M14" s="31">
        <f t="shared" si="1"/>
        <v>0</v>
      </c>
      <c r="N14" s="31">
        <f t="shared" si="2"/>
        <v>730</v>
      </c>
      <c r="O14" s="25"/>
      <c r="P14" s="22">
        <v>45390</v>
      </c>
      <c r="Q14" s="81"/>
      <c r="R14" s="26" t="s">
        <v>745</v>
      </c>
      <c r="S14" s="21"/>
      <c r="T14" s="32" t="s">
        <v>609</v>
      </c>
      <c r="U14" s="21"/>
    </row>
    <row r="15" spans="1:21" ht="20.100000000000001" customHeight="1" x14ac:dyDescent="0.3">
      <c r="A15" s="44">
        <v>7</v>
      </c>
      <c r="B15" s="78">
        <v>45380</v>
      </c>
      <c r="C15" s="79"/>
      <c r="D15" s="80" t="s">
        <v>668</v>
      </c>
      <c r="E15" s="81"/>
      <c r="F15" s="82">
        <v>40</v>
      </c>
      <c r="G15" s="83" t="s">
        <v>18</v>
      </c>
      <c r="H15" s="82">
        <v>25</v>
      </c>
      <c r="I15" s="27">
        <f t="shared" si="0"/>
        <v>1000</v>
      </c>
      <c r="J15" s="28"/>
      <c r="K15" s="29">
        <v>12175</v>
      </c>
      <c r="L15" s="30"/>
      <c r="M15" s="31">
        <f t="shared" si="1"/>
        <v>0</v>
      </c>
      <c r="N15" s="31">
        <f t="shared" si="2"/>
        <v>12175</v>
      </c>
      <c r="O15" s="25"/>
      <c r="P15" s="22">
        <v>45390</v>
      </c>
      <c r="Q15" s="81"/>
      <c r="R15" s="26" t="s">
        <v>746</v>
      </c>
      <c r="S15" s="21"/>
      <c r="T15" s="32" t="s">
        <v>669</v>
      </c>
      <c r="U15" s="21"/>
    </row>
    <row r="16" spans="1:21" s="39" customFormat="1" ht="20.100000000000001" customHeight="1" x14ac:dyDescent="0.2">
      <c r="A16" s="44">
        <v>8</v>
      </c>
      <c r="B16" s="78">
        <v>45390</v>
      </c>
      <c r="C16" s="79"/>
      <c r="D16" s="80" t="s">
        <v>670</v>
      </c>
      <c r="E16" s="81"/>
      <c r="F16" s="82">
        <v>210</v>
      </c>
      <c r="G16" s="83" t="s">
        <v>66</v>
      </c>
      <c r="H16" s="82">
        <v>200</v>
      </c>
      <c r="I16" s="27">
        <f t="shared" si="0"/>
        <v>42000</v>
      </c>
      <c r="J16" s="28"/>
      <c r="K16" s="29">
        <v>200</v>
      </c>
      <c r="L16" s="30"/>
      <c r="M16" s="31">
        <f t="shared" si="1"/>
        <v>0</v>
      </c>
      <c r="N16" s="31">
        <f t="shared" si="2"/>
        <v>200</v>
      </c>
      <c r="O16" s="25"/>
      <c r="P16" s="22">
        <v>45390</v>
      </c>
      <c r="Q16" s="81"/>
      <c r="R16" s="26" t="s">
        <v>747</v>
      </c>
      <c r="S16" s="21"/>
      <c r="T16" s="32" t="s">
        <v>671</v>
      </c>
      <c r="U16" s="21"/>
    </row>
    <row r="17" spans="1:21" s="39" customFormat="1" ht="20.100000000000001" customHeight="1" x14ac:dyDescent="0.2">
      <c r="A17" s="44">
        <v>9</v>
      </c>
      <c r="B17" s="78">
        <v>45394</v>
      </c>
      <c r="C17" s="79"/>
      <c r="D17" s="80" t="s">
        <v>561</v>
      </c>
      <c r="E17" s="81"/>
      <c r="F17" s="82">
        <v>20</v>
      </c>
      <c r="G17" s="83" t="s">
        <v>18</v>
      </c>
      <c r="H17" s="82">
        <v>25</v>
      </c>
      <c r="I17" s="27">
        <f t="shared" si="0"/>
        <v>500</v>
      </c>
      <c r="J17" s="28"/>
      <c r="K17" s="29">
        <v>6700</v>
      </c>
      <c r="L17" s="30"/>
      <c r="M17" s="31">
        <f t="shared" si="1"/>
        <v>0</v>
      </c>
      <c r="N17" s="31">
        <f t="shared" si="2"/>
        <v>6700</v>
      </c>
      <c r="O17" s="25"/>
      <c r="P17" s="78">
        <v>45394</v>
      </c>
      <c r="Q17" s="81"/>
      <c r="R17" s="26" t="s">
        <v>748</v>
      </c>
      <c r="S17" s="21"/>
      <c r="T17" s="32" t="s">
        <v>74</v>
      </c>
      <c r="U17" s="21"/>
    </row>
    <row r="18" spans="1:21" s="39" customFormat="1" ht="20.100000000000001" customHeight="1" x14ac:dyDescent="0.2">
      <c r="A18" s="44">
        <v>10</v>
      </c>
      <c r="B18" s="78">
        <v>45394</v>
      </c>
      <c r="C18" s="79"/>
      <c r="D18" s="80" t="s">
        <v>639</v>
      </c>
      <c r="E18" s="81"/>
      <c r="F18" s="82">
        <v>40</v>
      </c>
      <c r="G18" s="83" t="s">
        <v>18</v>
      </c>
      <c r="H18" s="82">
        <v>25</v>
      </c>
      <c r="I18" s="27">
        <f t="shared" si="0"/>
        <v>1000</v>
      </c>
      <c r="J18" s="28"/>
      <c r="K18" s="29">
        <v>4850</v>
      </c>
      <c r="L18" s="30"/>
      <c r="M18" s="31">
        <f t="shared" si="1"/>
        <v>0</v>
      </c>
      <c r="N18" s="31">
        <f t="shared" si="2"/>
        <v>4850</v>
      </c>
      <c r="O18" s="25"/>
      <c r="P18" s="78">
        <v>45394</v>
      </c>
      <c r="Q18" s="81"/>
      <c r="R18" s="26" t="s">
        <v>749</v>
      </c>
      <c r="S18" s="21"/>
      <c r="T18" s="32" t="s">
        <v>609</v>
      </c>
      <c r="U18" s="21"/>
    </row>
    <row r="19" spans="1:21" s="39" customFormat="1" ht="20.100000000000001" customHeight="1" x14ac:dyDescent="0.2">
      <c r="A19" s="44">
        <v>11</v>
      </c>
      <c r="B19" s="78">
        <v>45394</v>
      </c>
      <c r="C19" s="79"/>
      <c r="D19" s="80" t="s">
        <v>337</v>
      </c>
      <c r="E19" s="81"/>
      <c r="F19" s="82">
        <v>40</v>
      </c>
      <c r="G19" s="83" t="s">
        <v>18</v>
      </c>
      <c r="H19" s="82">
        <v>25</v>
      </c>
      <c r="I19" s="27">
        <f t="shared" si="0"/>
        <v>1000</v>
      </c>
      <c r="J19" s="28"/>
      <c r="K19" s="29">
        <v>1250</v>
      </c>
      <c r="L19" s="30"/>
      <c r="M19" s="31">
        <f t="shared" si="1"/>
        <v>0</v>
      </c>
      <c r="N19" s="31">
        <f t="shared" si="2"/>
        <v>1250</v>
      </c>
      <c r="O19" s="25"/>
      <c r="P19" s="78">
        <v>45394</v>
      </c>
      <c r="Q19" s="81"/>
      <c r="R19" s="26" t="s">
        <v>750</v>
      </c>
      <c r="S19" s="21"/>
      <c r="T19" s="32" t="s">
        <v>338</v>
      </c>
      <c r="U19" s="21"/>
    </row>
    <row r="20" spans="1:21" ht="20.100000000000001" customHeight="1" x14ac:dyDescent="0.3">
      <c r="A20" s="44">
        <v>12</v>
      </c>
      <c r="B20" s="78">
        <v>45399</v>
      </c>
      <c r="C20" s="79"/>
      <c r="D20" s="80" t="s">
        <v>485</v>
      </c>
      <c r="E20" s="81"/>
      <c r="F20" s="82">
        <v>34</v>
      </c>
      <c r="G20" s="83" t="s">
        <v>18</v>
      </c>
      <c r="H20" s="82">
        <v>30</v>
      </c>
      <c r="I20" s="27">
        <f t="shared" si="0"/>
        <v>1020</v>
      </c>
      <c r="J20" s="28"/>
      <c r="K20" s="29">
        <v>1957</v>
      </c>
      <c r="L20" s="30"/>
      <c r="M20" s="31">
        <f t="shared" si="1"/>
        <v>0</v>
      </c>
      <c r="N20" s="31">
        <f t="shared" si="2"/>
        <v>1957</v>
      </c>
      <c r="O20" s="25"/>
      <c r="P20" s="78">
        <v>45399</v>
      </c>
      <c r="Q20" s="81"/>
      <c r="R20" s="26" t="s">
        <v>751</v>
      </c>
      <c r="S20" s="21"/>
      <c r="T20" s="32" t="s">
        <v>315</v>
      </c>
      <c r="U20" s="21"/>
    </row>
    <row r="21" spans="1:21" ht="20.100000000000001" customHeight="1" x14ac:dyDescent="0.3">
      <c r="A21" s="44">
        <v>13</v>
      </c>
      <c r="B21" s="78">
        <v>45399</v>
      </c>
      <c r="C21" s="79"/>
      <c r="D21" s="24" t="s">
        <v>571</v>
      </c>
      <c r="E21" s="81"/>
      <c r="F21" s="82">
        <v>10</v>
      </c>
      <c r="G21" s="83" t="s">
        <v>18</v>
      </c>
      <c r="H21" s="82">
        <v>25</v>
      </c>
      <c r="I21" s="93">
        <f>F21*H21</f>
        <v>250</v>
      </c>
      <c r="J21" s="28"/>
      <c r="K21" s="29">
        <v>6050</v>
      </c>
      <c r="L21" s="30"/>
      <c r="M21" s="31">
        <f t="shared" si="1"/>
        <v>0</v>
      </c>
      <c r="N21" s="31">
        <f t="shared" si="2"/>
        <v>6050</v>
      </c>
      <c r="O21" s="25"/>
      <c r="P21" s="78">
        <v>45399</v>
      </c>
      <c r="Q21" s="81"/>
      <c r="R21" s="26" t="s">
        <v>752</v>
      </c>
      <c r="S21" s="21"/>
      <c r="T21" s="32" t="s">
        <v>349</v>
      </c>
      <c r="U21" s="21"/>
    </row>
    <row r="22" spans="1:21" ht="20.100000000000001" customHeight="1" x14ac:dyDescent="0.3">
      <c r="A22" s="44">
        <v>14</v>
      </c>
      <c r="B22" s="78">
        <v>45399</v>
      </c>
      <c r="C22" s="79"/>
      <c r="D22" s="80" t="s">
        <v>497</v>
      </c>
      <c r="E22" s="81"/>
      <c r="F22" s="82">
        <v>40</v>
      </c>
      <c r="G22" s="83" t="s">
        <v>18</v>
      </c>
      <c r="H22" s="82">
        <v>50</v>
      </c>
      <c r="I22" s="27">
        <f t="shared" si="0"/>
        <v>2000</v>
      </c>
      <c r="J22" s="28"/>
      <c r="K22" s="29">
        <v>1949.15</v>
      </c>
      <c r="L22" s="30">
        <v>0.18</v>
      </c>
      <c r="M22" s="31">
        <f t="shared" si="1"/>
        <v>350.84699999999998</v>
      </c>
      <c r="N22" s="31">
        <f t="shared" si="2"/>
        <v>2299.9970000000003</v>
      </c>
      <c r="O22" s="25"/>
      <c r="P22" s="78">
        <v>45399</v>
      </c>
      <c r="Q22" s="81"/>
      <c r="R22" s="26" t="s">
        <v>753</v>
      </c>
      <c r="S22" s="21"/>
      <c r="T22" s="32" t="s">
        <v>672</v>
      </c>
      <c r="U22" s="21"/>
    </row>
    <row r="23" spans="1:21" ht="20.100000000000001" customHeight="1" x14ac:dyDescent="0.3">
      <c r="A23" s="44">
        <v>15</v>
      </c>
      <c r="B23" s="78">
        <v>45399</v>
      </c>
      <c r="C23" s="79"/>
      <c r="D23" s="80" t="s">
        <v>673</v>
      </c>
      <c r="E23" s="81"/>
      <c r="F23" s="82">
        <v>8</v>
      </c>
      <c r="G23" s="83" t="s">
        <v>18</v>
      </c>
      <c r="H23" s="82">
        <v>25</v>
      </c>
      <c r="I23" s="27">
        <f t="shared" si="0"/>
        <v>200</v>
      </c>
      <c r="J23" s="28"/>
      <c r="K23" s="29">
        <v>21500</v>
      </c>
      <c r="L23" s="30"/>
      <c r="M23" s="31">
        <f t="shared" si="1"/>
        <v>0</v>
      </c>
      <c r="N23" s="31">
        <f t="shared" si="2"/>
        <v>21500</v>
      </c>
      <c r="O23" s="25"/>
      <c r="P23" s="78">
        <v>45400</v>
      </c>
      <c r="Q23" s="81"/>
      <c r="R23" s="26" t="s">
        <v>754</v>
      </c>
      <c r="S23" s="21"/>
      <c r="T23" s="32" t="s">
        <v>669</v>
      </c>
      <c r="U23" s="21"/>
    </row>
    <row r="24" spans="1:21" ht="20.100000000000001" customHeight="1" x14ac:dyDescent="0.3">
      <c r="A24" s="44">
        <v>16</v>
      </c>
      <c r="B24" s="78">
        <v>45411</v>
      </c>
      <c r="C24" s="79"/>
      <c r="D24" s="80" t="s">
        <v>625</v>
      </c>
      <c r="E24" s="81"/>
      <c r="F24" s="82">
        <v>300</v>
      </c>
      <c r="G24" s="83" t="s">
        <v>18</v>
      </c>
      <c r="H24" s="82">
        <v>1</v>
      </c>
      <c r="I24" s="27">
        <f t="shared" si="0"/>
        <v>300</v>
      </c>
      <c r="J24" s="28"/>
      <c r="K24" s="29">
        <v>189</v>
      </c>
      <c r="L24" s="30"/>
      <c r="M24" s="31">
        <f t="shared" si="1"/>
        <v>0</v>
      </c>
      <c r="N24" s="31">
        <f t="shared" si="2"/>
        <v>189</v>
      </c>
      <c r="O24" s="25"/>
      <c r="P24" s="78">
        <v>45411</v>
      </c>
      <c r="Q24" s="81"/>
      <c r="R24" s="26" t="s">
        <v>755</v>
      </c>
      <c r="S24" s="21"/>
      <c r="T24" s="32" t="s">
        <v>609</v>
      </c>
      <c r="U24" s="21"/>
    </row>
    <row r="25" spans="1:21" ht="20.100000000000001" customHeight="1" x14ac:dyDescent="0.3">
      <c r="A25" s="44">
        <v>17</v>
      </c>
      <c r="B25" s="78">
        <v>45411</v>
      </c>
      <c r="C25" s="79"/>
      <c r="D25" s="80" t="s">
        <v>667</v>
      </c>
      <c r="E25" s="81"/>
      <c r="F25" s="82">
        <v>300</v>
      </c>
      <c r="G25" s="83" t="s">
        <v>66</v>
      </c>
      <c r="H25" s="82">
        <v>200</v>
      </c>
      <c r="I25" s="27">
        <f t="shared" si="0"/>
        <v>60000</v>
      </c>
      <c r="J25" s="28"/>
      <c r="K25" s="29">
        <v>190</v>
      </c>
      <c r="L25" s="30"/>
      <c r="M25" s="31">
        <f t="shared" si="1"/>
        <v>0</v>
      </c>
      <c r="N25" s="31">
        <f t="shared" si="2"/>
        <v>190</v>
      </c>
      <c r="O25" s="25"/>
      <c r="P25" s="78">
        <v>45411</v>
      </c>
      <c r="Q25" s="81"/>
      <c r="R25" s="26" t="s">
        <v>755</v>
      </c>
      <c r="S25" s="21"/>
      <c r="T25" s="32" t="s">
        <v>609</v>
      </c>
      <c r="U25" s="21"/>
    </row>
    <row r="26" spans="1:21" ht="20.100000000000001" customHeight="1" x14ac:dyDescent="0.3">
      <c r="A26" s="44">
        <v>18</v>
      </c>
      <c r="B26" s="78">
        <v>45411</v>
      </c>
      <c r="C26" s="79"/>
      <c r="D26" s="80" t="s">
        <v>881</v>
      </c>
      <c r="E26" s="81"/>
      <c r="F26" s="82">
        <v>20</v>
      </c>
      <c r="G26" s="83" t="s">
        <v>56</v>
      </c>
      <c r="H26" s="82">
        <v>5</v>
      </c>
      <c r="I26" s="27">
        <f t="shared" si="0"/>
        <v>100</v>
      </c>
      <c r="J26" s="28"/>
      <c r="K26" s="29">
        <v>2587</v>
      </c>
      <c r="L26" s="30">
        <v>0.12</v>
      </c>
      <c r="M26" s="31">
        <f t="shared" si="1"/>
        <v>310.44</v>
      </c>
      <c r="N26" s="31">
        <f t="shared" si="2"/>
        <v>2897.44</v>
      </c>
      <c r="O26" s="25"/>
      <c r="P26" s="78">
        <v>45411</v>
      </c>
      <c r="Q26" s="81"/>
      <c r="R26" s="26" t="s">
        <v>755</v>
      </c>
      <c r="S26" s="21"/>
      <c r="T26" s="32" t="s">
        <v>609</v>
      </c>
      <c r="U26" s="21"/>
    </row>
    <row r="27" spans="1:21" ht="20.100000000000001" customHeight="1" x14ac:dyDescent="0.3">
      <c r="A27" s="44">
        <v>19</v>
      </c>
      <c r="B27" s="78">
        <v>45411</v>
      </c>
      <c r="C27" s="79"/>
      <c r="D27" s="80" t="s">
        <v>674</v>
      </c>
      <c r="E27" s="81"/>
      <c r="F27" s="82">
        <v>120</v>
      </c>
      <c r="G27" s="83" t="s">
        <v>56</v>
      </c>
      <c r="H27" s="82">
        <v>5</v>
      </c>
      <c r="I27" s="27">
        <f t="shared" si="0"/>
        <v>600</v>
      </c>
      <c r="J27" s="28"/>
      <c r="K27" s="29">
        <v>730</v>
      </c>
      <c r="L27" s="30"/>
      <c r="M27" s="31">
        <f t="shared" si="1"/>
        <v>0</v>
      </c>
      <c r="N27" s="31">
        <f t="shared" si="2"/>
        <v>730</v>
      </c>
      <c r="O27" s="25"/>
      <c r="P27" s="78">
        <v>45411</v>
      </c>
      <c r="Q27" s="81"/>
      <c r="R27" s="26" t="s">
        <v>755</v>
      </c>
      <c r="S27" s="21"/>
      <c r="T27" s="32" t="s">
        <v>609</v>
      </c>
      <c r="U27" s="21"/>
    </row>
    <row r="28" spans="1:21" ht="20.100000000000001" customHeight="1" x14ac:dyDescent="0.3">
      <c r="A28" s="44">
        <v>20</v>
      </c>
      <c r="B28" s="78">
        <v>45411</v>
      </c>
      <c r="C28" s="79"/>
      <c r="D28" s="80" t="s">
        <v>597</v>
      </c>
      <c r="E28" s="81"/>
      <c r="F28" s="82">
        <v>60</v>
      </c>
      <c r="G28" s="83" t="s">
        <v>18</v>
      </c>
      <c r="H28" s="82">
        <v>5</v>
      </c>
      <c r="I28" s="27">
        <f t="shared" si="0"/>
        <v>300</v>
      </c>
      <c r="J28" s="28"/>
      <c r="K28" s="29">
        <v>2875</v>
      </c>
      <c r="L28" s="30"/>
      <c r="M28" s="31">
        <f t="shared" si="1"/>
        <v>0</v>
      </c>
      <c r="N28" s="31">
        <f t="shared" si="2"/>
        <v>2875</v>
      </c>
      <c r="O28" s="25"/>
      <c r="P28" s="78">
        <v>45411</v>
      </c>
      <c r="Q28" s="81"/>
      <c r="R28" s="26" t="s">
        <v>755</v>
      </c>
      <c r="S28" s="21"/>
      <c r="T28" s="32" t="s">
        <v>609</v>
      </c>
      <c r="U28" s="21"/>
    </row>
    <row r="29" spans="1:21" ht="20.100000000000001" customHeight="1" x14ac:dyDescent="0.3">
      <c r="A29" s="44">
        <v>21</v>
      </c>
      <c r="B29" s="78">
        <v>45411</v>
      </c>
      <c r="C29" s="79"/>
      <c r="D29" s="80" t="s">
        <v>723</v>
      </c>
      <c r="E29" s="81"/>
      <c r="F29" s="82">
        <v>200</v>
      </c>
      <c r="G29" s="83" t="s">
        <v>230</v>
      </c>
      <c r="H29" s="82">
        <v>50</v>
      </c>
      <c r="I29" s="27">
        <f>F29*H29</f>
        <v>10000</v>
      </c>
      <c r="J29" s="28"/>
      <c r="K29" s="29">
        <v>116</v>
      </c>
      <c r="L29" s="30">
        <v>0.12</v>
      </c>
      <c r="M29" s="31">
        <f t="shared" si="1"/>
        <v>13.92</v>
      </c>
      <c r="N29" s="31">
        <f t="shared" si="2"/>
        <v>129.91999999999999</v>
      </c>
      <c r="O29" s="25"/>
      <c r="P29" s="78">
        <v>45411</v>
      </c>
      <c r="Q29" s="81"/>
      <c r="R29" s="26" t="s">
        <v>755</v>
      </c>
      <c r="S29" s="21"/>
      <c r="T29" s="32" t="s">
        <v>609</v>
      </c>
      <c r="U29" s="21"/>
    </row>
    <row r="30" spans="1:21" ht="20.100000000000001" customHeight="1" x14ac:dyDescent="0.3">
      <c r="A30" s="44">
        <v>22</v>
      </c>
      <c r="B30" s="78">
        <v>45411</v>
      </c>
      <c r="C30" s="79"/>
      <c r="D30" s="80" t="s">
        <v>395</v>
      </c>
      <c r="E30" s="81"/>
      <c r="F30" s="82">
        <v>50</v>
      </c>
      <c r="G30" s="83" t="s">
        <v>230</v>
      </c>
      <c r="H30" s="82">
        <v>100</v>
      </c>
      <c r="I30" s="27">
        <f t="shared" si="0"/>
        <v>5000</v>
      </c>
      <c r="J30" s="28"/>
      <c r="K30" s="91">
        <v>733</v>
      </c>
      <c r="L30" s="30">
        <v>0.12</v>
      </c>
      <c r="M30" s="31">
        <f t="shared" si="1"/>
        <v>87.96</v>
      </c>
      <c r="N30" s="31">
        <f t="shared" si="2"/>
        <v>820.96</v>
      </c>
      <c r="O30" s="25"/>
      <c r="P30" s="78">
        <v>45411</v>
      </c>
      <c r="Q30" s="81"/>
      <c r="R30" s="26" t="s">
        <v>755</v>
      </c>
      <c r="S30" s="21"/>
      <c r="T30" s="32" t="s">
        <v>609</v>
      </c>
      <c r="U30" s="21"/>
    </row>
    <row r="31" spans="1:21" ht="20.100000000000001" customHeight="1" x14ac:dyDescent="0.3">
      <c r="A31" s="44">
        <v>23</v>
      </c>
      <c r="B31" s="78">
        <v>45411</v>
      </c>
      <c r="C31" s="79"/>
      <c r="D31" s="80" t="s">
        <v>394</v>
      </c>
      <c r="E31" s="81"/>
      <c r="F31" s="82">
        <v>50</v>
      </c>
      <c r="G31" s="83" t="s">
        <v>230</v>
      </c>
      <c r="H31" s="82">
        <v>100</v>
      </c>
      <c r="I31" s="27">
        <f t="shared" si="0"/>
        <v>5000</v>
      </c>
      <c r="J31" s="28"/>
      <c r="K31" s="29">
        <v>225</v>
      </c>
      <c r="L31" s="30">
        <v>0.12</v>
      </c>
      <c r="M31" s="31">
        <f t="shared" si="1"/>
        <v>27</v>
      </c>
      <c r="N31" s="31">
        <f t="shared" si="2"/>
        <v>252</v>
      </c>
      <c r="O31" s="25"/>
      <c r="P31" s="78">
        <v>45411</v>
      </c>
      <c r="Q31" s="81"/>
      <c r="R31" s="26" t="s">
        <v>755</v>
      </c>
      <c r="S31" s="21"/>
      <c r="T31" s="32" t="s">
        <v>609</v>
      </c>
      <c r="U31" s="21"/>
    </row>
    <row r="32" spans="1:21" ht="20.100000000000001" customHeight="1" x14ac:dyDescent="0.3">
      <c r="A32" s="44">
        <v>24</v>
      </c>
      <c r="B32" s="78">
        <v>45411</v>
      </c>
      <c r="C32" s="79"/>
      <c r="D32" s="80" t="s">
        <v>396</v>
      </c>
      <c r="E32" s="81"/>
      <c r="F32" s="82">
        <v>50</v>
      </c>
      <c r="G32" s="83" t="s">
        <v>230</v>
      </c>
      <c r="H32" s="82">
        <v>100</v>
      </c>
      <c r="I32" s="27">
        <f t="shared" si="0"/>
        <v>5000</v>
      </c>
      <c r="J32" s="28"/>
      <c r="K32" s="29">
        <v>319.24</v>
      </c>
      <c r="L32" s="30">
        <v>0.12</v>
      </c>
      <c r="M32" s="31">
        <f t="shared" si="1"/>
        <v>38.308799999999998</v>
      </c>
      <c r="N32" s="31">
        <f t="shared" si="2"/>
        <v>357.54880000000003</v>
      </c>
      <c r="O32" s="25"/>
      <c r="P32" s="78">
        <v>45411</v>
      </c>
      <c r="Q32" s="81"/>
      <c r="R32" s="26" t="s">
        <v>755</v>
      </c>
      <c r="S32" s="21"/>
      <c r="T32" s="32" t="s">
        <v>609</v>
      </c>
      <c r="U32" s="21"/>
    </row>
    <row r="33" spans="1:21" ht="20.100000000000001" customHeight="1" x14ac:dyDescent="0.3">
      <c r="A33" s="44">
        <v>25</v>
      </c>
      <c r="B33" s="78">
        <v>45411</v>
      </c>
      <c r="C33" s="79"/>
      <c r="D33" s="80" t="s">
        <v>675</v>
      </c>
      <c r="E33" s="81"/>
      <c r="F33" s="82">
        <v>60</v>
      </c>
      <c r="G33" s="83" t="s">
        <v>18</v>
      </c>
      <c r="H33" s="82">
        <v>5</v>
      </c>
      <c r="I33" s="27">
        <f t="shared" si="0"/>
        <v>300</v>
      </c>
      <c r="J33" s="28"/>
      <c r="K33" s="29">
        <v>2150</v>
      </c>
      <c r="L33" s="30"/>
      <c r="M33" s="31">
        <f t="shared" si="1"/>
        <v>0</v>
      </c>
      <c r="N33" s="31">
        <f t="shared" si="2"/>
        <v>2150</v>
      </c>
      <c r="O33" s="25"/>
      <c r="P33" s="78">
        <v>45411</v>
      </c>
      <c r="Q33" s="81"/>
      <c r="R33" s="26" t="s">
        <v>756</v>
      </c>
      <c r="S33" s="21"/>
      <c r="T33" s="32" t="s">
        <v>660</v>
      </c>
      <c r="U33" s="21"/>
    </row>
    <row r="34" spans="1:21" ht="20.100000000000001" customHeight="1" x14ac:dyDescent="0.3">
      <c r="A34" s="44">
        <v>26</v>
      </c>
      <c r="B34" s="78">
        <v>45411</v>
      </c>
      <c r="C34" s="79"/>
      <c r="D34" s="80" t="s">
        <v>676</v>
      </c>
      <c r="E34" s="81"/>
      <c r="F34" s="82">
        <v>50</v>
      </c>
      <c r="G34" s="83" t="s">
        <v>18</v>
      </c>
      <c r="H34" s="82">
        <v>1</v>
      </c>
      <c r="I34" s="27">
        <f t="shared" si="0"/>
        <v>50</v>
      </c>
      <c r="J34" s="28"/>
      <c r="K34" s="89">
        <v>740</v>
      </c>
      <c r="L34" s="30"/>
      <c r="M34" s="31">
        <f t="shared" si="1"/>
        <v>0</v>
      </c>
      <c r="N34" s="31">
        <f t="shared" si="2"/>
        <v>740</v>
      </c>
      <c r="O34" s="25"/>
      <c r="P34" s="78">
        <v>45411</v>
      </c>
      <c r="Q34" s="81"/>
      <c r="R34" s="26" t="s">
        <v>757</v>
      </c>
      <c r="S34" s="21"/>
      <c r="T34" s="32" t="s">
        <v>677</v>
      </c>
      <c r="U34" s="21"/>
    </row>
    <row r="35" spans="1:21" ht="20.100000000000001" customHeight="1" x14ac:dyDescent="0.3">
      <c r="A35" s="44">
        <v>27</v>
      </c>
      <c r="B35" s="78">
        <v>45411</v>
      </c>
      <c r="C35" s="79"/>
      <c r="D35" s="80" t="s">
        <v>340</v>
      </c>
      <c r="E35" s="81"/>
      <c r="F35" s="82">
        <v>20</v>
      </c>
      <c r="G35" s="83" t="s">
        <v>18</v>
      </c>
      <c r="H35" s="82">
        <v>25</v>
      </c>
      <c r="I35" s="27">
        <f t="shared" si="0"/>
        <v>500</v>
      </c>
      <c r="J35" s="28"/>
      <c r="K35" s="29">
        <v>3200</v>
      </c>
      <c r="L35" s="30">
        <v>0.12</v>
      </c>
      <c r="M35" s="31">
        <f t="shared" si="1"/>
        <v>384</v>
      </c>
      <c r="N35" s="31">
        <f t="shared" si="2"/>
        <v>3584</v>
      </c>
      <c r="O35" s="25"/>
      <c r="P35" s="78">
        <v>45411</v>
      </c>
      <c r="Q35" s="81"/>
      <c r="R35" s="26" t="s">
        <v>758</v>
      </c>
      <c r="S35" s="21"/>
      <c r="T35" s="32" t="s">
        <v>678</v>
      </c>
      <c r="U35" s="21"/>
    </row>
    <row r="36" spans="1:21" ht="20.100000000000001" customHeight="1" x14ac:dyDescent="0.3">
      <c r="A36" s="44">
        <v>28</v>
      </c>
      <c r="B36" s="78">
        <v>45411</v>
      </c>
      <c r="C36" s="79"/>
      <c r="D36" s="80" t="s">
        <v>545</v>
      </c>
      <c r="E36" s="81"/>
      <c r="F36" s="82">
        <v>20</v>
      </c>
      <c r="G36" s="83" t="s">
        <v>56</v>
      </c>
      <c r="H36" s="82">
        <v>5</v>
      </c>
      <c r="I36" s="27">
        <f t="shared" si="0"/>
        <v>100</v>
      </c>
      <c r="J36" s="28"/>
      <c r="K36" s="29">
        <v>554</v>
      </c>
      <c r="L36" s="30"/>
      <c r="M36" s="31">
        <f t="shared" si="1"/>
        <v>0</v>
      </c>
      <c r="N36" s="31">
        <f t="shared" si="2"/>
        <v>554</v>
      </c>
      <c r="O36" s="25"/>
      <c r="P36" s="78">
        <v>45411</v>
      </c>
      <c r="Q36" s="81"/>
      <c r="R36" s="26" t="s">
        <v>759</v>
      </c>
      <c r="S36" s="21"/>
      <c r="T36" s="32" t="s">
        <v>671</v>
      </c>
      <c r="U36" s="21"/>
    </row>
    <row r="37" spans="1:21" ht="20.100000000000001" customHeight="1" x14ac:dyDescent="0.3">
      <c r="A37" s="44">
        <v>29</v>
      </c>
      <c r="B37" s="78" t="s">
        <v>189</v>
      </c>
      <c r="C37" s="79"/>
      <c r="D37" s="80" t="s">
        <v>235</v>
      </c>
      <c r="E37" s="81"/>
      <c r="F37" s="82">
        <v>600</v>
      </c>
      <c r="G37" s="83" t="s">
        <v>18</v>
      </c>
      <c r="H37" s="82">
        <v>25</v>
      </c>
      <c r="I37" s="27">
        <f t="shared" si="0"/>
        <v>15000</v>
      </c>
      <c r="J37" s="28"/>
      <c r="K37" s="89">
        <v>2500</v>
      </c>
      <c r="L37" s="30"/>
      <c r="M37" s="31">
        <f t="shared" si="1"/>
        <v>0</v>
      </c>
      <c r="N37" s="31">
        <f t="shared" si="2"/>
        <v>2500</v>
      </c>
      <c r="O37" s="25"/>
      <c r="P37" s="78">
        <v>45418</v>
      </c>
      <c r="Q37" s="81"/>
      <c r="R37" s="26" t="s">
        <v>760</v>
      </c>
      <c r="S37" s="21"/>
      <c r="T37" s="32" t="s">
        <v>679</v>
      </c>
      <c r="U37" s="21"/>
    </row>
    <row r="38" spans="1:21" ht="20.100000000000001" customHeight="1" x14ac:dyDescent="0.3">
      <c r="A38" s="44">
        <v>30</v>
      </c>
      <c r="B38" s="78">
        <v>45421</v>
      </c>
      <c r="C38" s="79"/>
      <c r="D38" s="80" t="s">
        <v>681</v>
      </c>
      <c r="E38" s="81"/>
      <c r="F38" s="82">
        <v>20</v>
      </c>
      <c r="G38" s="83" t="s">
        <v>18</v>
      </c>
      <c r="H38" s="82">
        <v>25</v>
      </c>
      <c r="I38" s="27">
        <f t="shared" si="0"/>
        <v>500</v>
      </c>
      <c r="J38" s="28"/>
      <c r="K38" s="29">
        <v>14250</v>
      </c>
      <c r="L38" s="30"/>
      <c r="M38" s="31">
        <f t="shared" si="1"/>
        <v>0</v>
      </c>
      <c r="N38" s="31">
        <f t="shared" si="2"/>
        <v>14250</v>
      </c>
      <c r="O38" s="25"/>
      <c r="P38" s="78">
        <v>45422</v>
      </c>
      <c r="Q38" s="81"/>
      <c r="R38" s="26" t="s">
        <v>761</v>
      </c>
      <c r="S38" s="21"/>
      <c r="T38" s="32" t="s">
        <v>680</v>
      </c>
      <c r="U38" s="21"/>
    </row>
    <row r="39" spans="1:21" ht="20.100000000000001" customHeight="1" x14ac:dyDescent="0.3">
      <c r="A39" s="44">
        <v>31</v>
      </c>
      <c r="B39" s="78">
        <v>45421</v>
      </c>
      <c r="C39" s="79"/>
      <c r="D39" s="80" t="s">
        <v>667</v>
      </c>
      <c r="E39" s="81"/>
      <c r="F39" s="82">
        <v>500</v>
      </c>
      <c r="G39" s="83" t="s">
        <v>66</v>
      </c>
      <c r="H39" s="82">
        <v>200</v>
      </c>
      <c r="I39" s="27">
        <f t="shared" ref="I39" si="3">F39*H39</f>
        <v>100000</v>
      </c>
      <c r="J39" s="28"/>
      <c r="K39" s="29">
        <v>190</v>
      </c>
      <c r="L39" s="30"/>
      <c r="M39" s="31">
        <f t="shared" si="1"/>
        <v>0</v>
      </c>
      <c r="N39" s="31">
        <f t="shared" si="2"/>
        <v>190</v>
      </c>
      <c r="O39" s="25"/>
      <c r="P39" s="78">
        <v>45422</v>
      </c>
      <c r="Q39" s="81"/>
      <c r="R39" s="26" t="s">
        <v>762</v>
      </c>
      <c r="S39" s="21"/>
      <c r="T39" s="32" t="s">
        <v>609</v>
      </c>
      <c r="U39" s="21"/>
    </row>
    <row r="40" spans="1:21" ht="20.100000000000001" customHeight="1" x14ac:dyDescent="0.3">
      <c r="A40" s="44">
        <v>32</v>
      </c>
      <c r="B40" s="78">
        <v>45421</v>
      </c>
      <c r="C40" s="79"/>
      <c r="D40" s="80" t="s">
        <v>581</v>
      </c>
      <c r="E40" s="81"/>
      <c r="F40" s="82">
        <v>50</v>
      </c>
      <c r="G40" s="83" t="s">
        <v>18</v>
      </c>
      <c r="H40" s="82">
        <v>1</v>
      </c>
      <c r="I40" s="27">
        <f t="shared" si="0"/>
        <v>50</v>
      </c>
      <c r="J40" s="28"/>
      <c r="K40" s="29">
        <v>3500</v>
      </c>
      <c r="L40" s="30"/>
      <c r="M40" s="31">
        <f t="shared" si="1"/>
        <v>0</v>
      </c>
      <c r="N40" s="31">
        <f t="shared" si="2"/>
        <v>3500</v>
      </c>
      <c r="O40" s="25"/>
      <c r="P40" s="78">
        <v>45422</v>
      </c>
      <c r="Q40" s="81"/>
      <c r="R40" s="26" t="s">
        <v>763</v>
      </c>
      <c r="S40" s="21"/>
      <c r="T40" s="32" t="s">
        <v>323</v>
      </c>
      <c r="U40" s="21"/>
    </row>
    <row r="41" spans="1:21" ht="20.100000000000001" customHeight="1" x14ac:dyDescent="0.3">
      <c r="A41" s="44">
        <v>33</v>
      </c>
      <c r="B41" s="78">
        <v>45421</v>
      </c>
      <c r="C41" s="79"/>
      <c r="D41" s="80" t="s">
        <v>285</v>
      </c>
      <c r="E41" s="81"/>
      <c r="F41" s="82">
        <v>40</v>
      </c>
      <c r="G41" s="83" t="s">
        <v>18</v>
      </c>
      <c r="H41" s="82">
        <v>25</v>
      </c>
      <c r="I41" s="27">
        <f t="shared" si="0"/>
        <v>1000</v>
      </c>
      <c r="J41" s="28"/>
      <c r="K41" s="29">
        <v>3843.23</v>
      </c>
      <c r="L41" s="30"/>
      <c r="M41" s="31">
        <f t="shared" si="1"/>
        <v>0</v>
      </c>
      <c r="N41" s="31">
        <f t="shared" si="2"/>
        <v>3843.23</v>
      </c>
      <c r="O41" s="25"/>
      <c r="P41" s="78">
        <v>45422</v>
      </c>
      <c r="Q41" s="81"/>
      <c r="R41" s="26" t="s">
        <v>764</v>
      </c>
      <c r="S41" s="21"/>
      <c r="T41" s="32" t="s">
        <v>464</v>
      </c>
      <c r="U41" s="21"/>
    </row>
    <row r="42" spans="1:21" ht="20.100000000000001" customHeight="1" x14ac:dyDescent="0.3">
      <c r="A42" s="44">
        <v>34</v>
      </c>
      <c r="B42" s="78">
        <v>45423</v>
      </c>
      <c r="C42" s="79"/>
      <c r="D42" s="80" t="s">
        <v>345</v>
      </c>
      <c r="E42" s="81"/>
      <c r="F42" s="82">
        <v>100</v>
      </c>
      <c r="G42" s="83" t="s">
        <v>51</v>
      </c>
      <c r="H42" s="82">
        <v>2500</v>
      </c>
      <c r="I42" s="27">
        <f t="shared" si="0"/>
        <v>250000</v>
      </c>
      <c r="J42" s="28"/>
      <c r="K42" s="29">
        <v>550</v>
      </c>
      <c r="L42" s="30">
        <v>0.05</v>
      </c>
      <c r="M42" s="31">
        <f t="shared" si="1"/>
        <v>27.5</v>
      </c>
      <c r="N42" s="31">
        <f t="shared" si="2"/>
        <v>577.5</v>
      </c>
      <c r="O42" s="25"/>
      <c r="P42" s="78">
        <v>45425</v>
      </c>
      <c r="Q42" s="81"/>
      <c r="R42" s="26" t="s">
        <v>765</v>
      </c>
      <c r="S42" s="21"/>
      <c r="T42" s="32" t="s">
        <v>682</v>
      </c>
      <c r="U42" s="21"/>
    </row>
    <row r="43" spans="1:21" ht="20.100000000000001" customHeight="1" x14ac:dyDescent="0.3">
      <c r="A43" s="44">
        <v>35</v>
      </c>
      <c r="B43" s="78">
        <v>45430</v>
      </c>
      <c r="C43" s="79"/>
      <c r="D43" s="80" t="s">
        <v>330</v>
      </c>
      <c r="E43" s="81"/>
      <c r="F43" s="82">
        <v>20</v>
      </c>
      <c r="G43" s="83" t="s">
        <v>18</v>
      </c>
      <c r="H43" s="82">
        <v>10</v>
      </c>
      <c r="I43" s="27">
        <f t="shared" si="0"/>
        <v>200</v>
      </c>
      <c r="J43" s="28"/>
      <c r="K43" s="29">
        <v>4000</v>
      </c>
      <c r="L43" s="30"/>
      <c r="M43" s="31">
        <f t="shared" si="1"/>
        <v>0</v>
      </c>
      <c r="N43" s="31">
        <f t="shared" si="2"/>
        <v>4000</v>
      </c>
      <c r="O43" s="25"/>
      <c r="P43" s="78">
        <v>45430</v>
      </c>
      <c r="Q43" s="81"/>
      <c r="R43" s="26" t="s">
        <v>766</v>
      </c>
      <c r="S43" s="21"/>
      <c r="T43" s="32" t="s">
        <v>332</v>
      </c>
      <c r="U43" s="21"/>
    </row>
    <row r="44" spans="1:21" ht="20.100000000000001" customHeight="1" x14ac:dyDescent="0.3">
      <c r="A44" s="44">
        <v>36</v>
      </c>
      <c r="B44" s="78">
        <v>45432</v>
      </c>
      <c r="C44" s="79"/>
      <c r="D44" s="80" t="s">
        <v>684</v>
      </c>
      <c r="E44" s="81"/>
      <c r="F44" s="82">
        <v>60</v>
      </c>
      <c r="G44" s="83" t="s">
        <v>56</v>
      </c>
      <c r="H44" s="82">
        <v>5</v>
      </c>
      <c r="I44" s="27">
        <f t="shared" si="0"/>
        <v>300</v>
      </c>
      <c r="J44" s="28"/>
      <c r="K44" s="29">
        <v>542</v>
      </c>
      <c r="L44" s="30">
        <v>0.18</v>
      </c>
      <c r="M44" s="31">
        <f t="shared" si="1"/>
        <v>97.56</v>
      </c>
      <c r="N44" s="31">
        <f t="shared" si="2"/>
        <v>639.55999999999995</v>
      </c>
      <c r="O44" s="25"/>
      <c r="P44" s="78">
        <v>45432</v>
      </c>
      <c r="Q44" s="81"/>
      <c r="R44" s="26" t="s">
        <v>767</v>
      </c>
      <c r="S44" s="21"/>
      <c r="T44" s="32" t="s">
        <v>683</v>
      </c>
      <c r="U44" s="21"/>
    </row>
    <row r="45" spans="1:21" ht="20.100000000000001" customHeight="1" x14ac:dyDescent="0.3">
      <c r="A45" s="44">
        <v>37</v>
      </c>
      <c r="B45" s="78">
        <v>45432</v>
      </c>
      <c r="C45" s="79"/>
      <c r="D45" s="80" t="s">
        <v>509</v>
      </c>
      <c r="E45" s="81"/>
      <c r="F45" s="82">
        <v>96</v>
      </c>
      <c r="G45" s="83" t="s">
        <v>56</v>
      </c>
      <c r="H45" s="82">
        <v>1</v>
      </c>
      <c r="I45" s="27">
        <f t="shared" si="0"/>
        <v>96</v>
      </c>
      <c r="J45" s="28"/>
      <c r="K45" s="29">
        <v>580</v>
      </c>
      <c r="L45" s="30"/>
      <c r="M45" s="31">
        <f t="shared" si="1"/>
        <v>0</v>
      </c>
      <c r="N45" s="31">
        <f t="shared" si="2"/>
        <v>580</v>
      </c>
      <c r="O45" s="25"/>
      <c r="P45" s="78">
        <v>45432</v>
      </c>
      <c r="Q45" s="81"/>
      <c r="R45" s="26" t="s">
        <v>768</v>
      </c>
      <c r="S45" s="21"/>
      <c r="T45" s="32" t="s">
        <v>609</v>
      </c>
      <c r="U45" s="21"/>
    </row>
    <row r="46" spans="1:21" ht="20.100000000000001" customHeight="1" x14ac:dyDescent="0.3">
      <c r="A46" s="44">
        <v>38</v>
      </c>
      <c r="B46" s="78">
        <v>45432</v>
      </c>
      <c r="C46" s="79"/>
      <c r="D46" s="80" t="s">
        <v>296</v>
      </c>
      <c r="E46" s="81"/>
      <c r="F46" s="82">
        <v>28</v>
      </c>
      <c r="G46" s="83" t="s">
        <v>18</v>
      </c>
      <c r="H46" s="82">
        <v>25</v>
      </c>
      <c r="I46" s="27">
        <f t="shared" si="0"/>
        <v>700</v>
      </c>
      <c r="J46" s="28"/>
      <c r="K46" s="29">
        <v>1750</v>
      </c>
      <c r="L46" s="30"/>
      <c r="M46" s="31">
        <f t="shared" si="1"/>
        <v>0</v>
      </c>
      <c r="N46" s="31">
        <f t="shared" si="2"/>
        <v>1750</v>
      </c>
      <c r="O46" s="25"/>
      <c r="P46" s="78">
        <v>45432</v>
      </c>
      <c r="Q46" s="81"/>
      <c r="R46" s="26" t="s">
        <v>768</v>
      </c>
      <c r="S46" s="21"/>
      <c r="T46" s="32" t="s">
        <v>609</v>
      </c>
      <c r="U46" s="21"/>
    </row>
    <row r="47" spans="1:21" ht="20.100000000000001" customHeight="1" x14ac:dyDescent="0.3">
      <c r="A47" s="44">
        <v>39</v>
      </c>
      <c r="B47" s="78">
        <v>45434</v>
      </c>
      <c r="C47" s="79"/>
      <c r="D47" s="80" t="s">
        <v>685</v>
      </c>
      <c r="E47" s="81"/>
      <c r="F47" s="82">
        <v>100</v>
      </c>
      <c r="G47" s="83" t="s">
        <v>18</v>
      </c>
      <c r="H47" s="82">
        <v>1</v>
      </c>
      <c r="I47" s="27">
        <f t="shared" si="0"/>
        <v>100</v>
      </c>
      <c r="J47" s="28"/>
      <c r="K47" s="29">
        <v>3500</v>
      </c>
      <c r="L47" s="30"/>
      <c r="M47" s="31">
        <f t="shared" si="1"/>
        <v>0</v>
      </c>
      <c r="N47" s="31">
        <f t="shared" si="2"/>
        <v>3500</v>
      </c>
      <c r="O47" s="25"/>
      <c r="P47" s="78">
        <v>45435</v>
      </c>
      <c r="Q47" s="81"/>
      <c r="R47" s="26" t="s">
        <v>769</v>
      </c>
      <c r="S47" s="21"/>
      <c r="T47" s="32" t="s">
        <v>323</v>
      </c>
      <c r="U47" s="21"/>
    </row>
    <row r="48" spans="1:21" ht="20.100000000000001" customHeight="1" x14ac:dyDescent="0.3">
      <c r="A48" s="44">
        <v>40</v>
      </c>
      <c r="B48" s="78">
        <v>45432</v>
      </c>
      <c r="C48" s="79"/>
      <c r="D48" s="80" t="s">
        <v>686</v>
      </c>
      <c r="E48" s="81"/>
      <c r="F48" s="82">
        <v>16</v>
      </c>
      <c r="G48" s="83" t="s">
        <v>18</v>
      </c>
      <c r="H48" s="82">
        <v>25</v>
      </c>
      <c r="I48" s="27">
        <f t="shared" si="0"/>
        <v>400</v>
      </c>
      <c r="J48" s="28"/>
      <c r="K48" s="29">
        <v>19375</v>
      </c>
      <c r="L48" s="30"/>
      <c r="M48" s="31">
        <f t="shared" si="1"/>
        <v>0</v>
      </c>
      <c r="N48" s="31">
        <f t="shared" si="2"/>
        <v>19375</v>
      </c>
      <c r="O48" s="25"/>
      <c r="P48" s="78">
        <v>45435</v>
      </c>
      <c r="Q48" s="81"/>
      <c r="R48" s="26" t="s">
        <v>770</v>
      </c>
      <c r="S48" s="21"/>
      <c r="T48" s="32" t="s">
        <v>687</v>
      </c>
      <c r="U48" s="21"/>
    </row>
    <row r="49" spans="1:21" ht="20.100000000000001" customHeight="1" x14ac:dyDescent="0.3">
      <c r="A49" s="44">
        <v>41</v>
      </c>
      <c r="B49" s="78">
        <v>45435</v>
      </c>
      <c r="C49" s="79"/>
      <c r="D49" s="80" t="s">
        <v>723</v>
      </c>
      <c r="E49" s="81"/>
      <c r="F49" s="82">
        <v>600</v>
      </c>
      <c r="G49" s="83" t="s">
        <v>230</v>
      </c>
      <c r="H49" s="82">
        <v>50</v>
      </c>
      <c r="I49" s="27">
        <f t="shared" si="0"/>
        <v>30000</v>
      </c>
      <c r="J49" s="28"/>
      <c r="K49" s="29">
        <v>116</v>
      </c>
      <c r="L49" s="30">
        <v>0.12</v>
      </c>
      <c r="M49" s="31">
        <f t="shared" si="1"/>
        <v>13.92</v>
      </c>
      <c r="N49" s="31">
        <f t="shared" si="2"/>
        <v>129.91999999999999</v>
      </c>
      <c r="O49" s="25"/>
      <c r="P49" s="78">
        <v>45435</v>
      </c>
      <c r="Q49" s="81"/>
      <c r="R49" s="26" t="s">
        <v>771</v>
      </c>
      <c r="S49" s="21"/>
      <c r="T49" s="32" t="s">
        <v>688</v>
      </c>
      <c r="U49" s="21"/>
    </row>
    <row r="50" spans="1:21" ht="20.100000000000001" customHeight="1" x14ac:dyDescent="0.3">
      <c r="A50" s="44">
        <v>42</v>
      </c>
      <c r="B50" s="78">
        <v>45435</v>
      </c>
      <c r="C50" s="79"/>
      <c r="D50" s="80" t="s">
        <v>689</v>
      </c>
      <c r="E50" s="81"/>
      <c r="F50" s="82">
        <v>300</v>
      </c>
      <c r="G50" s="83" t="s">
        <v>230</v>
      </c>
      <c r="H50" s="82">
        <v>100</v>
      </c>
      <c r="I50" s="27">
        <f t="shared" si="0"/>
        <v>30000</v>
      </c>
      <c r="J50" s="28"/>
      <c r="K50" s="29">
        <v>258</v>
      </c>
      <c r="L50" s="30">
        <v>0.12</v>
      </c>
      <c r="M50" s="31">
        <f t="shared" si="1"/>
        <v>30.959999999999997</v>
      </c>
      <c r="N50" s="31">
        <f t="shared" si="2"/>
        <v>288.95999999999998</v>
      </c>
      <c r="O50" s="25"/>
      <c r="P50" s="78">
        <v>45435</v>
      </c>
      <c r="Q50" s="81"/>
      <c r="R50" s="26" t="s">
        <v>772</v>
      </c>
      <c r="S50" s="21"/>
      <c r="T50" s="32" t="s">
        <v>682</v>
      </c>
      <c r="U50" s="21"/>
    </row>
    <row r="51" spans="1:21" ht="20.100000000000001" customHeight="1" x14ac:dyDescent="0.3">
      <c r="A51" s="44">
        <v>43</v>
      </c>
      <c r="B51" s="78">
        <v>45440</v>
      </c>
      <c r="C51" s="79"/>
      <c r="D51" s="80" t="s">
        <v>561</v>
      </c>
      <c r="E51" s="81"/>
      <c r="F51" s="82">
        <v>20</v>
      </c>
      <c r="G51" s="83" t="s">
        <v>18</v>
      </c>
      <c r="H51" s="82">
        <v>25</v>
      </c>
      <c r="I51" s="27">
        <f t="shared" si="0"/>
        <v>500</v>
      </c>
      <c r="J51" s="28"/>
      <c r="K51" s="29">
        <v>6000</v>
      </c>
      <c r="L51" s="30"/>
      <c r="M51" s="31">
        <f t="shared" si="1"/>
        <v>0</v>
      </c>
      <c r="N51" s="31">
        <f t="shared" si="2"/>
        <v>6000</v>
      </c>
      <c r="O51" s="25"/>
      <c r="P51" s="78">
        <v>45440</v>
      </c>
      <c r="Q51" s="81"/>
      <c r="R51" s="26" t="s">
        <v>773</v>
      </c>
      <c r="S51" s="21"/>
      <c r="T51" s="32" t="s">
        <v>74</v>
      </c>
      <c r="U51" s="21"/>
    </row>
    <row r="52" spans="1:21" ht="20.100000000000001" customHeight="1" x14ac:dyDescent="0.3">
      <c r="A52" s="44">
        <v>44</v>
      </c>
      <c r="B52" s="78">
        <v>45440</v>
      </c>
      <c r="C52" s="79"/>
      <c r="D52" s="80" t="s">
        <v>625</v>
      </c>
      <c r="E52" s="81"/>
      <c r="F52" s="82">
        <v>400</v>
      </c>
      <c r="G52" s="83" t="s">
        <v>18</v>
      </c>
      <c r="H52" s="82">
        <v>1</v>
      </c>
      <c r="I52" s="27">
        <f t="shared" si="0"/>
        <v>400</v>
      </c>
      <c r="J52" s="28"/>
      <c r="K52" s="29">
        <v>189</v>
      </c>
      <c r="L52" s="30"/>
      <c r="M52" s="31">
        <f t="shared" si="1"/>
        <v>0</v>
      </c>
      <c r="N52" s="31">
        <f t="shared" si="2"/>
        <v>189</v>
      </c>
      <c r="O52" s="25"/>
      <c r="P52" s="78">
        <v>45440</v>
      </c>
      <c r="Q52" s="81"/>
      <c r="R52" s="26" t="s">
        <v>774</v>
      </c>
      <c r="S52" s="21"/>
      <c r="T52" s="32" t="s">
        <v>609</v>
      </c>
      <c r="U52" s="21"/>
    </row>
    <row r="53" spans="1:21" ht="20.100000000000001" customHeight="1" x14ac:dyDescent="0.3">
      <c r="A53" s="44">
        <v>45</v>
      </c>
      <c r="B53" s="78">
        <v>45440</v>
      </c>
      <c r="C53" s="79"/>
      <c r="D53" s="80" t="s">
        <v>602</v>
      </c>
      <c r="E53" s="81"/>
      <c r="F53" s="82">
        <v>75</v>
      </c>
      <c r="G53" s="83" t="s">
        <v>51</v>
      </c>
      <c r="H53" s="82">
        <v>1000</v>
      </c>
      <c r="I53" s="27">
        <f t="shared" si="0"/>
        <v>75000</v>
      </c>
      <c r="J53" s="28"/>
      <c r="K53" s="29">
        <v>1500</v>
      </c>
      <c r="L53" s="30">
        <v>0.05</v>
      </c>
      <c r="M53" s="31">
        <f t="shared" si="1"/>
        <v>75</v>
      </c>
      <c r="N53" s="31">
        <f t="shared" si="2"/>
        <v>1575</v>
      </c>
      <c r="O53" s="25"/>
      <c r="P53" s="78">
        <v>45440</v>
      </c>
      <c r="Q53" s="81"/>
      <c r="R53" s="26" t="s">
        <v>775</v>
      </c>
      <c r="S53" s="21"/>
      <c r="T53" s="32" t="s">
        <v>124</v>
      </c>
      <c r="U53" s="21"/>
    </row>
    <row r="54" spans="1:21" ht="20.100000000000001" customHeight="1" x14ac:dyDescent="0.3">
      <c r="A54" s="44">
        <v>46</v>
      </c>
      <c r="B54" s="78">
        <v>45440</v>
      </c>
      <c r="C54" s="79"/>
      <c r="D54" s="80" t="s">
        <v>668</v>
      </c>
      <c r="E54" s="81"/>
      <c r="F54" s="82">
        <v>60</v>
      </c>
      <c r="G54" s="83" t="s">
        <v>18</v>
      </c>
      <c r="H54" s="82">
        <v>25</v>
      </c>
      <c r="I54" s="27">
        <f t="shared" si="0"/>
        <v>1500</v>
      </c>
      <c r="J54" s="28"/>
      <c r="K54" s="29">
        <v>12175</v>
      </c>
      <c r="L54" s="30"/>
      <c r="M54" s="31">
        <f t="shared" si="1"/>
        <v>0</v>
      </c>
      <c r="N54" s="31">
        <f t="shared" si="2"/>
        <v>12175</v>
      </c>
      <c r="O54" s="25"/>
      <c r="P54" s="78">
        <v>45443</v>
      </c>
      <c r="Q54" s="81"/>
      <c r="R54" s="26" t="s">
        <v>776</v>
      </c>
      <c r="S54" s="21"/>
      <c r="T54" s="32" t="s">
        <v>669</v>
      </c>
      <c r="U54" s="21"/>
    </row>
    <row r="55" spans="1:21" ht="20.100000000000001" customHeight="1" x14ac:dyDescent="0.3">
      <c r="A55" s="44">
        <v>47</v>
      </c>
      <c r="B55" s="78">
        <v>45446</v>
      </c>
      <c r="C55" s="79"/>
      <c r="D55" s="80" t="s">
        <v>690</v>
      </c>
      <c r="E55" s="81"/>
      <c r="F55" s="82">
        <v>50</v>
      </c>
      <c r="G55" s="83" t="s">
        <v>66</v>
      </c>
      <c r="H55" s="82">
        <v>400</v>
      </c>
      <c r="I55" s="27">
        <f t="shared" si="0"/>
        <v>20000</v>
      </c>
      <c r="J55" s="28"/>
      <c r="K55" s="29">
        <v>8550</v>
      </c>
      <c r="L55" s="30">
        <v>0.12</v>
      </c>
      <c r="M55" s="31">
        <f t="shared" si="1"/>
        <v>1026</v>
      </c>
      <c r="N55" s="31">
        <f t="shared" si="2"/>
        <v>9576</v>
      </c>
      <c r="O55" s="25"/>
      <c r="P55" s="78">
        <v>45446</v>
      </c>
      <c r="Q55" s="81"/>
      <c r="R55" s="26" t="s">
        <v>777</v>
      </c>
      <c r="S55" s="21"/>
      <c r="T55" s="32" t="s">
        <v>691</v>
      </c>
      <c r="U55" s="21"/>
    </row>
    <row r="56" spans="1:21" ht="20.100000000000001" customHeight="1" x14ac:dyDescent="0.3">
      <c r="A56" s="44">
        <v>48</v>
      </c>
      <c r="B56" s="78">
        <v>45446</v>
      </c>
      <c r="C56" s="79"/>
      <c r="D56" s="80" t="s">
        <v>605</v>
      </c>
      <c r="E56" s="81"/>
      <c r="F56" s="82">
        <v>41</v>
      </c>
      <c r="G56" s="83" t="s">
        <v>51</v>
      </c>
      <c r="H56" s="82">
        <v>1000</v>
      </c>
      <c r="I56" s="27">
        <f t="shared" si="0"/>
        <v>41000</v>
      </c>
      <c r="J56" s="28"/>
      <c r="K56" s="29">
        <v>165</v>
      </c>
      <c r="L56" s="30">
        <v>0.05</v>
      </c>
      <c r="M56" s="31">
        <f t="shared" si="1"/>
        <v>8.25</v>
      </c>
      <c r="N56" s="31">
        <f t="shared" si="2"/>
        <v>173.25</v>
      </c>
      <c r="O56" s="25"/>
      <c r="P56" s="78">
        <v>45446</v>
      </c>
      <c r="Q56" s="81"/>
      <c r="R56" s="26" t="s">
        <v>778</v>
      </c>
      <c r="S56" s="21"/>
      <c r="T56" s="32" t="s">
        <v>609</v>
      </c>
      <c r="U56" s="21"/>
    </row>
    <row r="57" spans="1:21" ht="20.100000000000001" customHeight="1" x14ac:dyDescent="0.3">
      <c r="A57" s="44">
        <v>49</v>
      </c>
      <c r="B57" s="78">
        <v>45446</v>
      </c>
      <c r="C57" s="79"/>
      <c r="D57" s="80" t="s">
        <v>692</v>
      </c>
      <c r="E57" s="81"/>
      <c r="F57" s="82">
        <v>40</v>
      </c>
      <c r="G57" s="83" t="s">
        <v>51</v>
      </c>
      <c r="H57" s="82">
        <v>1000</v>
      </c>
      <c r="I57" s="27">
        <f t="shared" si="0"/>
        <v>40000</v>
      </c>
      <c r="J57" s="28"/>
      <c r="K57" s="29">
        <v>1875</v>
      </c>
      <c r="L57" s="30">
        <v>0.05</v>
      </c>
      <c r="M57" s="31">
        <f t="shared" si="1"/>
        <v>93.75</v>
      </c>
      <c r="N57" s="31">
        <f t="shared" si="2"/>
        <v>1968.75</v>
      </c>
      <c r="O57" s="25"/>
      <c r="P57" s="78">
        <v>45446</v>
      </c>
      <c r="Q57" s="81"/>
      <c r="R57" s="26" t="s">
        <v>778</v>
      </c>
      <c r="S57" s="21"/>
      <c r="T57" s="32" t="s">
        <v>609</v>
      </c>
      <c r="U57" s="21"/>
    </row>
    <row r="58" spans="1:21" ht="20.100000000000001" customHeight="1" x14ac:dyDescent="0.3">
      <c r="A58" s="44">
        <v>50</v>
      </c>
      <c r="B58" s="78">
        <v>45446</v>
      </c>
      <c r="C58" s="79"/>
      <c r="D58" s="80" t="s">
        <v>693</v>
      </c>
      <c r="E58" s="81"/>
      <c r="F58" s="82">
        <v>81</v>
      </c>
      <c r="G58" s="83" t="s">
        <v>51</v>
      </c>
      <c r="H58" s="82">
        <v>1000</v>
      </c>
      <c r="I58" s="27">
        <f t="shared" si="0"/>
        <v>81000</v>
      </c>
      <c r="J58" s="28"/>
      <c r="K58" s="29">
        <v>6982</v>
      </c>
      <c r="L58" s="30">
        <v>0.05</v>
      </c>
      <c r="M58" s="31">
        <f t="shared" si="1"/>
        <v>349.1</v>
      </c>
      <c r="N58" s="31">
        <f t="shared" si="2"/>
        <v>7331.1</v>
      </c>
      <c r="O58" s="25"/>
      <c r="P58" s="78">
        <v>45446</v>
      </c>
      <c r="Q58" s="81"/>
      <c r="R58" s="26" t="s">
        <v>778</v>
      </c>
      <c r="S58" s="21"/>
      <c r="T58" s="32" t="s">
        <v>609</v>
      </c>
      <c r="U58" s="21"/>
    </row>
    <row r="59" spans="1:21" ht="20.100000000000001" customHeight="1" x14ac:dyDescent="0.3">
      <c r="A59" s="44">
        <v>51</v>
      </c>
      <c r="B59" s="78">
        <v>45446</v>
      </c>
      <c r="C59" s="79"/>
      <c r="D59" s="80" t="s">
        <v>607</v>
      </c>
      <c r="E59" s="81"/>
      <c r="F59" s="82">
        <v>40</v>
      </c>
      <c r="G59" s="83" t="s">
        <v>51</v>
      </c>
      <c r="H59" s="82">
        <v>1000</v>
      </c>
      <c r="I59" s="27">
        <f t="shared" si="0"/>
        <v>40000</v>
      </c>
      <c r="J59" s="28"/>
      <c r="K59" s="29">
        <v>5538</v>
      </c>
      <c r="L59" s="30">
        <v>0.05</v>
      </c>
      <c r="M59" s="31">
        <f t="shared" si="1"/>
        <v>276.90000000000003</v>
      </c>
      <c r="N59" s="31">
        <f t="shared" si="2"/>
        <v>5814.9</v>
      </c>
      <c r="O59" s="25"/>
      <c r="P59" s="78">
        <v>45446</v>
      </c>
      <c r="Q59" s="81"/>
      <c r="R59" s="26" t="s">
        <v>778</v>
      </c>
      <c r="S59" s="21"/>
      <c r="T59" s="32" t="s">
        <v>609</v>
      </c>
      <c r="U59" s="21"/>
    </row>
    <row r="60" spans="1:21" ht="20.100000000000001" customHeight="1" x14ac:dyDescent="0.3">
      <c r="A60" s="44">
        <v>52</v>
      </c>
      <c r="B60" s="78">
        <v>45446</v>
      </c>
      <c r="C60" s="79"/>
      <c r="D60" s="80" t="s">
        <v>366</v>
      </c>
      <c r="E60" s="81"/>
      <c r="F60" s="82">
        <v>100</v>
      </c>
      <c r="G60" s="83" t="s">
        <v>230</v>
      </c>
      <c r="H60" s="82">
        <v>100</v>
      </c>
      <c r="I60" s="27">
        <f t="shared" si="0"/>
        <v>10000</v>
      </c>
      <c r="J60" s="28"/>
      <c r="K60" s="29">
        <v>102</v>
      </c>
      <c r="L60" s="30">
        <v>0.12</v>
      </c>
      <c r="M60" s="31">
        <f t="shared" si="1"/>
        <v>12.24</v>
      </c>
      <c r="N60" s="31">
        <f t="shared" si="2"/>
        <v>114.24</v>
      </c>
      <c r="O60" s="25"/>
      <c r="P60" s="78">
        <v>45446</v>
      </c>
      <c r="Q60" s="81"/>
      <c r="R60" s="26" t="s">
        <v>778</v>
      </c>
      <c r="S60" s="21"/>
      <c r="T60" s="32" t="s">
        <v>609</v>
      </c>
      <c r="U60" s="21"/>
    </row>
    <row r="61" spans="1:21" ht="20.100000000000001" customHeight="1" x14ac:dyDescent="0.3">
      <c r="A61" s="44">
        <v>53</v>
      </c>
      <c r="B61" s="78">
        <v>45446</v>
      </c>
      <c r="C61" s="79"/>
      <c r="D61" s="80" t="s">
        <v>694</v>
      </c>
      <c r="E61" s="81"/>
      <c r="F61" s="82">
        <v>20</v>
      </c>
      <c r="G61" s="83" t="s">
        <v>56</v>
      </c>
      <c r="H61" s="82">
        <v>5</v>
      </c>
      <c r="I61" s="27">
        <f t="shared" si="0"/>
        <v>100</v>
      </c>
      <c r="J61" s="28"/>
      <c r="K61" s="29">
        <v>4930</v>
      </c>
      <c r="L61" s="30">
        <v>0.18</v>
      </c>
      <c r="M61" s="31">
        <f t="shared" si="1"/>
        <v>887.4</v>
      </c>
      <c r="N61" s="31">
        <f t="shared" si="2"/>
        <v>5817.4</v>
      </c>
      <c r="O61" s="25"/>
      <c r="P61" s="78">
        <v>45446</v>
      </c>
      <c r="Q61" s="81"/>
      <c r="R61" s="26" t="s">
        <v>778</v>
      </c>
      <c r="S61" s="21"/>
      <c r="T61" s="32" t="s">
        <v>609</v>
      </c>
      <c r="U61" s="21"/>
    </row>
    <row r="62" spans="1:21" ht="20.100000000000001" customHeight="1" x14ac:dyDescent="0.3">
      <c r="A62" s="44">
        <v>54</v>
      </c>
      <c r="B62" s="78">
        <v>45446</v>
      </c>
      <c r="C62" s="79"/>
      <c r="D62" s="80" t="s">
        <v>402</v>
      </c>
      <c r="E62" s="81"/>
      <c r="F62" s="82">
        <v>100</v>
      </c>
      <c r="G62" s="83" t="s">
        <v>18</v>
      </c>
      <c r="H62" s="82">
        <v>1</v>
      </c>
      <c r="I62" s="27">
        <f t="shared" si="0"/>
        <v>100</v>
      </c>
      <c r="J62" s="28"/>
      <c r="K62" s="29">
        <v>720</v>
      </c>
      <c r="L62" s="30"/>
      <c r="M62" s="31">
        <f t="shared" si="1"/>
        <v>0</v>
      </c>
      <c r="N62" s="31">
        <f t="shared" si="2"/>
        <v>720</v>
      </c>
      <c r="O62" s="25"/>
      <c r="P62" s="78">
        <v>45446</v>
      </c>
      <c r="Q62" s="81"/>
      <c r="R62" s="26" t="s">
        <v>779</v>
      </c>
      <c r="S62" s="21"/>
      <c r="T62" s="32" t="s">
        <v>404</v>
      </c>
      <c r="U62" s="21"/>
    </row>
    <row r="63" spans="1:21" ht="20.100000000000001" customHeight="1" x14ac:dyDescent="0.3">
      <c r="A63" s="44">
        <v>55</v>
      </c>
      <c r="B63" s="78">
        <v>45446</v>
      </c>
      <c r="C63" s="79"/>
      <c r="D63" s="80" t="s">
        <v>574</v>
      </c>
      <c r="E63" s="81"/>
      <c r="F63" s="82">
        <v>20</v>
      </c>
      <c r="G63" s="83" t="s">
        <v>56</v>
      </c>
      <c r="H63" s="82">
        <v>5</v>
      </c>
      <c r="I63" s="27">
        <f t="shared" si="0"/>
        <v>100</v>
      </c>
      <c r="J63" s="28"/>
      <c r="K63" s="29">
        <v>3273</v>
      </c>
      <c r="L63" s="30">
        <v>0.18</v>
      </c>
      <c r="M63" s="31">
        <f t="shared" si="1"/>
        <v>589.14</v>
      </c>
      <c r="N63" s="31">
        <f t="shared" si="2"/>
        <v>3862.14</v>
      </c>
      <c r="O63" s="25"/>
      <c r="P63" s="78">
        <v>45447</v>
      </c>
      <c r="Q63" s="81"/>
      <c r="R63" s="26" t="s">
        <v>780</v>
      </c>
      <c r="S63" s="21"/>
      <c r="T63" s="32" t="s">
        <v>315</v>
      </c>
      <c r="U63" s="21"/>
    </row>
    <row r="64" spans="1:21" ht="20.100000000000001" customHeight="1" x14ac:dyDescent="0.3">
      <c r="A64" s="44">
        <v>56</v>
      </c>
      <c r="B64" s="78">
        <v>45446</v>
      </c>
      <c r="C64" s="79"/>
      <c r="D64" s="80" t="s">
        <v>601</v>
      </c>
      <c r="E64" s="81"/>
      <c r="F64" s="82">
        <v>30</v>
      </c>
      <c r="G64" s="83" t="s">
        <v>51</v>
      </c>
      <c r="H64" s="82">
        <v>1000</v>
      </c>
      <c r="I64" s="27">
        <f t="shared" si="0"/>
        <v>30000</v>
      </c>
      <c r="J64" s="28"/>
      <c r="K64" s="29">
        <v>1150</v>
      </c>
      <c r="L64" s="30">
        <v>0.05</v>
      </c>
      <c r="M64" s="31">
        <f t="shared" si="1"/>
        <v>57.5</v>
      </c>
      <c r="N64" s="31">
        <f t="shared" si="2"/>
        <v>1207.5</v>
      </c>
      <c r="O64" s="25"/>
      <c r="P64" s="78">
        <v>45447</v>
      </c>
      <c r="Q64" s="81"/>
      <c r="R64" s="26" t="s">
        <v>781</v>
      </c>
      <c r="S64" s="21"/>
      <c r="T64" s="32" t="s">
        <v>124</v>
      </c>
      <c r="U64" s="21"/>
    </row>
    <row r="65" spans="1:21" ht="20.100000000000001" customHeight="1" x14ac:dyDescent="0.3">
      <c r="A65" s="44">
        <v>57</v>
      </c>
      <c r="B65" s="78">
        <v>45446</v>
      </c>
      <c r="C65" s="79"/>
      <c r="D65" s="80" t="s">
        <v>602</v>
      </c>
      <c r="E65" s="81"/>
      <c r="F65" s="82">
        <v>41</v>
      </c>
      <c r="G65" s="83" t="s">
        <v>51</v>
      </c>
      <c r="H65" s="82">
        <v>1000</v>
      </c>
      <c r="I65" s="27">
        <f t="shared" si="0"/>
        <v>41000</v>
      </c>
      <c r="J65" s="28"/>
      <c r="K65" s="29">
        <v>1500</v>
      </c>
      <c r="L65" s="30">
        <v>0.05</v>
      </c>
      <c r="M65" s="31">
        <f t="shared" si="1"/>
        <v>75</v>
      </c>
      <c r="N65" s="31">
        <f t="shared" si="2"/>
        <v>1575</v>
      </c>
      <c r="O65" s="25"/>
      <c r="P65" s="78">
        <v>45447</v>
      </c>
      <c r="Q65" s="81"/>
      <c r="R65" s="26" t="s">
        <v>781</v>
      </c>
      <c r="S65" s="21"/>
      <c r="T65" s="32" t="s">
        <v>124</v>
      </c>
      <c r="U65" s="21"/>
    </row>
    <row r="66" spans="1:21" ht="20.100000000000001" customHeight="1" x14ac:dyDescent="0.3">
      <c r="A66" s="44">
        <v>58</v>
      </c>
      <c r="B66" s="78">
        <v>45446</v>
      </c>
      <c r="C66" s="79"/>
      <c r="D66" s="80" t="s">
        <v>695</v>
      </c>
      <c r="E66" s="81"/>
      <c r="F66" s="82">
        <v>39</v>
      </c>
      <c r="G66" s="83" t="s">
        <v>51</v>
      </c>
      <c r="H66" s="82">
        <v>1000</v>
      </c>
      <c r="I66" s="27">
        <f t="shared" si="0"/>
        <v>39000</v>
      </c>
      <c r="J66" s="28"/>
      <c r="K66" s="29">
        <v>926.15</v>
      </c>
      <c r="L66" s="30">
        <v>0.05</v>
      </c>
      <c r="M66" s="31">
        <f t="shared" si="1"/>
        <v>46.307500000000005</v>
      </c>
      <c r="N66" s="31">
        <f t="shared" si="2"/>
        <v>972.45749999999998</v>
      </c>
      <c r="O66" s="25"/>
      <c r="P66" s="78">
        <v>45447</v>
      </c>
      <c r="Q66" s="81"/>
      <c r="R66" s="26" t="s">
        <v>781</v>
      </c>
      <c r="S66" s="21"/>
      <c r="T66" s="32" t="s">
        <v>124</v>
      </c>
      <c r="U66" s="21"/>
    </row>
    <row r="67" spans="1:21" ht="20.100000000000001" customHeight="1" x14ac:dyDescent="0.3">
      <c r="A67" s="44">
        <v>59</v>
      </c>
      <c r="B67" s="78">
        <v>45446</v>
      </c>
      <c r="C67" s="79"/>
      <c r="D67" s="80" t="s">
        <v>517</v>
      </c>
      <c r="E67" s="81"/>
      <c r="F67" s="82">
        <v>109</v>
      </c>
      <c r="G67" s="83" t="s">
        <v>51</v>
      </c>
      <c r="H67" s="82">
        <v>1000</v>
      </c>
      <c r="I67" s="27">
        <f t="shared" si="0"/>
        <v>109000</v>
      </c>
      <c r="J67" s="28"/>
      <c r="K67" s="29">
        <v>2498.91</v>
      </c>
      <c r="L67" s="30">
        <v>0.05</v>
      </c>
      <c r="M67" s="31">
        <f t="shared" si="1"/>
        <v>124.9455</v>
      </c>
      <c r="N67" s="31">
        <f t="shared" si="2"/>
        <v>2623.8554999999997</v>
      </c>
      <c r="O67" s="25"/>
      <c r="P67" s="78">
        <v>45447</v>
      </c>
      <c r="Q67" s="81"/>
      <c r="R67" s="26" t="s">
        <v>781</v>
      </c>
      <c r="S67" s="21"/>
      <c r="T67" s="32" t="s">
        <v>124</v>
      </c>
      <c r="U67" s="21"/>
    </row>
    <row r="68" spans="1:21" ht="20.100000000000001" customHeight="1" x14ac:dyDescent="0.3">
      <c r="A68" s="44">
        <v>60</v>
      </c>
      <c r="B68" s="78">
        <v>45446</v>
      </c>
      <c r="C68" s="79"/>
      <c r="D68" s="80" t="s">
        <v>696</v>
      </c>
      <c r="E68" s="81"/>
      <c r="F68" s="82">
        <v>81</v>
      </c>
      <c r="G68" s="83" t="s">
        <v>51</v>
      </c>
      <c r="H68" s="82">
        <v>1000</v>
      </c>
      <c r="I68" s="27">
        <f t="shared" si="0"/>
        <v>81000</v>
      </c>
      <c r="J68" s="28"/>
      <c r="K68" s="29">
        <v>1995</v>
      </c>
      <c r="L68" s="30">
        <v>0.05</v>
      </c>
      <c r="M68" s="31">
        <f t="shared" si="1"/>
        <v>99.75</v>
      </c>
      <c r="N68" s="31">
        <f t="shared" si="2"/>
        <v>2094.75</v>
      </c>
      <c r="O68" s="25"/>
      <c r="P68" s="78">
        <v>45447</v>
      </c>
      <c r="Q68" s="81"/>
      <c r="R68" s="26" t="s">
        <v>782</v>
      </c>
      <c r="S68" s="21"/>
      <c r="T68" s="32" t="s">
        <v>309</v>
      </c>
      <c r="U68" s="21"/>
    </row>
    <row r="69" spans="1:21" ht="20.100000000000001" customHeight="1" x14ac:dyDescent="0.3">
      <c r="A69" s="44">
        <v>61</v>
      </c>
      <c r="B69" s="78">
        <v>45446</v>
      </c>
      <c r="C69" s="79"/>
      <c r="D69" s="80" t="s">
        <v>697</v>
      </c>
      <c r="E69" s="81"/>
      <c r="F69" s="82">
        <v>79</v>
      </c>
      <c r="G69" s="83" t="s">
        <v>51</v>
      </c>
      <c r="H69" s="82">
        <v>1000</v>
      </c>
      <c r="I69" s="27">
        <f t="shared" si="0"/>
        <v>79000</v>
      </c>
      <c r="J69" s="28"/>
      <c r="K69" s="29">
        <v>3255</v>
      </c>
      <c r="L69" s="30">
        <v>0.05</v>
      </c>
      <c r="M69" s="31">
        <f t="shared" si="1"/>
        <v>162.75</v>
      </c>
      <c r="N69" s="31">
        <f t="shared" si="2"/>
        <v>3417.75</v>
      </c>
      <c r="O69" s="25"/>
      <c r="P69" s="78">
        <v>45447</v>
      </c>
      <c r="Q69" s="81"/>
      <c r="R69" s="26" t="s">
        <v>782</v>
      </c>
      <c r="S69" s="21"/>
      <c r="T69" s="32" t="s">
        <v>309</v>
      </c>
      <c r="U69" s="21"/>
    </row>
    <row r="70" spans="1:21" ht="20.100000000000001" customHeight="1" x14ac:dyDescent="0.3">
      <c r="A70" s="44">
        <v>62</v>
      </c>
      <c r="B70" s="78">
        <v>45446</v>
      </c>
      <c r="C70" s="79"/>
      <c r="D70" s="80" t="s">
        <v>449</v>
      </c>
      <c r="E70" s="81"/>
      <c r="F70" s="82">
        <v>41</v>
      </c>
      <c r="G70" s="83" t="s">
        <v>51</v>
      </c>
      <c r="H70" s="82">
        <v>1000</v>
      </c>
      <c r="I70" s="27">
        <f t="shared" si="0"/>
        <v>41000</v>
      </c>
      <c r="J70" s="28"/>
      <c r="K70" s="29">
        <v>896</v>
      </c>
      <c r="L70" s="30">
        <v>0.05</v>
      </c>
      <c r="M70" s="31">
        <f t="shared" si="1"/>
        <v>44.800000000000004</v>
      </c>
      <c r="N70" s="31">
        <f t="shared" si="2"/>
        <v>940.8</v>
      </c>
      <c r="O70" s="25"/>
      <c r="P70" s="78">
        <v>45447</v>
      </c>
      <c r="Q70" s="81"/>
      <c r="R70" s="26" t="s">
        <v>782</v>
      </c>
      <c r="S70" s="21"/>
      <c r="T70" s="32" t="s">
        <v>309</v>
      </c>
      <c r="U70" s="21"/>
    </row>
    <row r="71" spans="1:21" ht="20.100000000000001" customHeight="1" x14ac:dyDescent="0.3">
      <c r="A71" s="44">
        <v>63</v>
      </c>
      <c r="B71" s="78">
        <v>45446</v>
      </c>
      <c r="C71" s="79"/>
      <c r="D71" s="80" t="s">
        <v>277</v>
      </c>
      <c r="E71" s="81"/>
      <c r="F71" s="82">
        <v>36</v>
      </c>
      <c r="G71" s="83" t="s">
        <v>51</v>
      </c>
      <c r="H71" s="82">
        <v>1000</v>
      </c>
      <c r="I71" s="27">
        <f t="shared" si="0"/>
        <v>36000</v>
      </c>
      <c r="J71" s="28"/>
      <c r="K71" s="29">
        <v>1575</v>
      </c>
      <c r="L71" s="30">
        <v>0.05</v>
      </c>
      <c r="M71" s="31">
        <f t="shared" si="1"/>
        <v>78.75</v>
      </c>
      <c r="N71" s="31">
        <f t="shared" si="2"/>
        <v>1653.75</v>
      </c>
      <c r="O71" s="25"/>
      <c r="P71" s="78">
        <v>45447</v>
      </c>
      <c r="Q71" s="81"/>
      <c r="R71" s="26" t="s">
        <v>782</v>
      </c>
      <c r="S71" s="21"/>
      <c r="T71" s="32" t="s">
        <v>309</v>
      </c>
      <c r="U71" s="21"/>
    </row>
    <row r="72" spans="1:21" ht="20.100000000000001" customHeight="1" x14ac:dyDescent="0.3">
      <c r="A72" s="44">
        <v>64</v>
      </c>
      <c r="B72" s="78">
        <v>45446</v>
      </c>
      <c r="C72" s="79"/>
      <c r="D72" s="80" t="s">
        <v>698</v>
      </c>
      <c r="E72" s="81"/>
      <c r="F72" s="82">
        <v>40</v>
      </c>
      <c r="G72" s="83" t="s">
        <v>51</v>
      </c>
      <c r="H72" s="82">
        <v>1000</v>
      </c>
      <c r="I72" s="27">
        <f t="shared" si="0"/>
        <v>40000</v>
      </c>
      <c r="J72" s="28"/>
      <c r="K72" s="29">
        <v>2730</v>
      </c>
      <c r="L72" s="30">
        <v>0.05</v>
      </c>
      <c r="M72" s="31">
        <f t="shared" si="1"/>
        <v>136.5</v>
      </c>
      <c r="N72" s="31">
        <f t="shared" si="2"/>
        <v>2866.5</v>
      </c>
      <c r="O72" s="25"/>
      <c r="P72" s="78">
        <v>45447</v>
      </c>
      <c r="Q72" s="81"/>
      <c r="R72" s="26" t="s">
        <v>782</v>
      </c>
      <c r="S72" s="21"/>
      <c r="T72" s="32" t="s">
        <v>309</v>
      </c>
      <c r="U72" s="21"/>
    </row>
    <row r="73" spans="1:21" ht="20.100000000000001" customHeight="1" x14ac:dyDescent="0.3">
      <c r="A73" s="44">
        <v>65</v>
      </c>
      <c r="B73" s="78">
        <v>45446</v>
      </c>
      <c r="C73" s="79"/>
      <c r="D73" s="80" t="s">
        <v>248</v>
      </c>
      <c r="E73" s="81"/>
      <c r="F73" s="82">
        <v>41</v>
      </c>
      <c r="G73" s="83" t="s">
        <v>51</v>
      </c>
      <c r="H73" s="82">
        <v>1000</v>
      </c>
      <c r="I73" s="27">
        <f t="shared" ref="I73:I136" si="4">F73*H73</f>
        <v>41000</v>
      </c>
      <c r="J73" s="28"/>
      <c r="K73" s="29">
        <v>2021</v>
      </c>
      <c r="L73" s="30">
        <v>0.05</v>
      </c>
      <c r="M73" s="31">
        <f t="shared" ref="M73:M136" si="5">K73*L73</f>
        <v>101.05000000000001</v>
      </c>
      <c r="N73" s="31">
        <f t="shared" ref="N73:N136" si="6">K73+M73</f>
        <v>2122.0500000000002</v>
      </c>
      <c r="O73" s="25"/>
      <c r="P73" s="78">
        <v>45447</v>
      </c>
      <c r="Q73" s="81"/>
      <c r="R73" s="26" t="s">
        <v>782</v>
      </c>
      <c r="S73" s="21"/>
      <c r="T73" s="32" t="s">
        <v>309</v>
      </c>
      <c r="U73" s="21"/>
    </row>
    <row r="74" spans="1:21" ht="20.100000000000001" customHeight="1" x14ac:dyDescent="0.3">
      <c r="A74" s="44">
        <v>66</v>
      </c>
      <c r="B74" s="78">
        <v>45446</v>
      </c>
      <c r="C74" s="79"/>
      <c r="D74" s="80" t="s">
        <v>249</v>
      </c>
      <c r="E74" s="81"/>
      <c r="F74" s="82">
        <v>40</v>
      </c>
      <c r="G74" s="83" t="s">
        <v>51</v>
      </c>
      <c r="H74" s="82">
        <v>1000</v>
      </c>
      <c r="I74" s="27">
        <f t="shared" si="4"/>
        <v>40000</v>
      </c>
      <c r="J74" s="28"/>
      <c r="K74" s="29">
        <v>2835</v>
      </c>
      <c r="L74" s="30">
        <v>0.05</v>
      </c>
      <c r="M74" s="31">
        <f t="shared" si="5"/>
        <v>141.75</v>
      </c>
      <c r="N74" s="31">
        <f t="shared" si="6"/>
        <v>2976.75</v>
      </c>
      <c r="O74" s="25"/>
      <c r="P74" s="78">
        <v>45447</v>
      </c>
      <c r="Q74" s="81"/>
      <c r="R74" s="26" t="s">
        <v>782</v>
      </c>
      <c r="S74" s="21"/>
      <c r="T74" s="32" t="s">
        <v>309</v>
      </c>
      <c r="U74" s="21"/>
    </row>
    <row r="75" spans="1:21" ht="20.100000000000001" customHeight="1" x14ac:dyDescent="0.3">
      <c r="A75" s="44">
        <v>67</v>
      </c>
      <c r="B75" s="78">
        <v>45446</v>
      </c>
      <c r="C75" s="79"/>
      <c r="D75" s="80" t="s">
        <v>924</v>
      </c>
      <c r="E75" s="81"/>
      <c r="F75" s="82">
        <v>34</v>
      </c>
      <c r="G75" s="83" t="s">
        <v>51</v>
      </c>
      <c r="H75" s="82">
        <v>1000</v>
      </c>
      <c r="I75" s="27">
        <f t="shared" si="4"/>
        <v>34000</v>
      </c>
      <c r="J75" s="28"/>
      <c r="K75" s="29">
        <v>5250</v>
      </c>
      <c r="L75" s="30">
        <v>0.05</v>
      </c>
      <c r="M75" s="31">
        <f t="shared" si="5"/>
        <v>262.5</v>
      </c>
      <c r="N75" s="31">
        <f t="shared" si="6"/>
        <v>5512.5</v>
      </c>
      <c r="O75" s="25"/>
      <c r="P75" s="78">
        <v>45447</v>
      </c>
      <c r="Q75" s="81"/>
      <c r="R75" s="26" t="s">
        <v>782</v>
      </c>
      <c r="S75" s="21"/>
      <c r="T75" s="32" t="s">
        <v>309</v>
      </c>
      <c r="U75" s="21"/>
    </row>
    <row r="76" spans="1:21" ht="20.100000000000001" customHeight="1" x14ac:dyDescent="0.3">
      <c r="A76" s="44">
        <v>68</v>
      </c>
      <c r="B76" s="78">
        <v>45450</v>
      </c>
      <c r="C76" s="79"/>
      <c r="D76" s="80" t="s">
        <v>699</v>
      </c>
      <c r="E76" s="81"/>
      <c r="F76" s="82">
        <v>5</v>
      </c>
      <c r="G76" s="83" t="s">
        <v>18</v>
      </c>
      <c r="H76" s="82">
        <v>20</v>
      </c>
      <c r="I76" s="27">
        <f t="shared" si="4"/>
        <v>100</v>
      </c>
      <c r="J76" s="28"/>
      <c r="K76" s="29">
        <v>4500</v>
      </c>
      <c r="L76" s="30"/>
      <c r="M76" s="31">
        <f t="shared" si="5"/>
        <v>0</v>
      </c>
      <c r="N76" s="31">
        <f t="shared" si="6"/>
        <v>4500</v>
      </c>
      <c r="O76" s="25"/>
      <c r="P76" s="78">
        <v>45451</v>
      </c>
      <c r="Q76" s="81"/>
      <c r="R76" s="26" t="s">
        <v>783</v>
      </c>
      <c r="S76" s="21"/>
      <c r="T76" s="32" t="s">
        <v>700</v>
      </c>
      <c r="U76" s="21"/>
    </row>
    <row r="77" spans="1:21" ht="20.100000000000001" customHeight="1" x14ac:dyDescent="0.3">
      <c r="A77" s="44">
        <v>69</v>
      </c>
      <c r="B77" s="78">
        <v>45453</v>
      </c>
      <c r="C77" s="79"/>
      <c r="D77" s="80" t="s">
        <v>639</v>
      </c>
      <c r="E77" s="81"/>
      <c r="F77" s="82">
        <v>20</v>
      </c>
      <c r="G77" s="83" t="s">
        <v>18</v>
      </c>
      <c r="H77" s="82">
        <v>25</v>
      </c>
      <c r="I77" s="27">
        <f t="shared" si="4"/>
        <v>500</v>
      </c>
      <c r="J77" s="28"/>
      <c r="K77" s="29">
        <v>4850</v>
      </c>
      <c r="L77" s="30"/>
      <c r="M77" s="31">
        <f t="shared" si="5"/>
        <v>0</v>
      </c>
      <c r="N77" s="31">
        <f t="shared" si="6"/>
        <v>4850</v>
      </c>
      <c r="O77" s="25"/>
      <c r="P77" s="78">
        <v>45453</v>
      </c>
      <c r="Q77" s="81"/>
      <c r="R77" s="26" t="s">
        <v>784</v>
      </c>
      <c r="S77" s="21"/>
      <c r="T77" s="32" t="s">
        <v>609</v>
      </c>
      <c r="U77" s="21"/>
    </row>
    <row r="78" spans="1:21" ht="20.100000000000001" customHeight="1" x14ac:dyDescent="0.3">
      <c r="A78" s="44">
        <v>70</v>
      </c>
      <c r="B78" s="78">
        <v>45453</v>
      </c>
      <c r="C78" s="79"/>
      <c r="D78" s="80" t="s">
        <v>559</v>
      </c>
      <c r="E78" s="81"/>
      <c r="F78" s="82">
        <v>10</v>
      </c>
      <c r="G78" s="83" t="s">
        <v>18</v>
      </c>
      <c r="H78" s="82">
        <v>20</v>
      </c>
      <c r="I78" s="27">
        <f t="shared" si="4"/>
        <v>200</v>
      </c>
      <c r="J78" s="28"/>
      <c r="K78" s="29">
        <v>31000</v>
      </c>
      <c r="L78" s="30"/>
      <c r="M78" s="31">
        <f t="shared" si="5"/>
        <v>0</v>
      </c>
      <c r="N78" s="31">
        <f t="shared" si="6"/>
        <v>31000</v>
      </c>
      <c r="O78" s="25"/>
      <c r="P78" s="78">
        <v>45453</v>
      </c>
      <c r="Q78" s="81"/>
      <c r="R78" s="26" t="s">
        <v>785</v>
      </c>
      <c r="S78" s="21"/>
      <c r="T78" s="32" t="s">
        <v>702</v>
      </c>
      <c r="U78" s="21"/>
    </row>
    <row r="79" spans="1:21" ht="20.100000000000001" customHeight="1" x14ac:dyDescent="0.3">
      <c r="A79" s="44">
        <v>71</v>
      </c>
      <c r="B79" s="78">
        <v>45457</v>
      </c>
      <c r="C79" s="79"/>
      <c r="D79" s="80" t="s">
        <v>703</v>
      </c>
      <c r="E79" s="81"/>
      <c r="F79" s="82">
        <v>8</v>
      </c>
      <c r="G79" s="83" t="s">
        <v>18</v>
      </c>
      <c r="H79" s="82">
        <v>25</v>
      </c>
      <c r="I79" s="27">
        <f t="shared" si="4"/>
        <v>200</v>
      </c>
      <c r="J79" s="28"/>
      <c r="K79" s="29">
        <v>6250</v>
      </c>
      <c r="L79" s="30"/>
      <c r="M79" s="31">
        <f t="shared" si="5"/>
        <v>0</v>
      </c>
      <c r="N79" s="31">
        <f t="shared" si="6"/>
        <v>6250</v>
      </c>
      <c r="O79" s="25"/>
      <c r="P79" s="78">
        <v>45458</v>
      </c>
      <c r="Q79" s="81"/>
      <c r="R79" s="26" t="s">
        <v>786</v>
      </c>
      <c r="S79" s="21"/>
      <c r="T79" s="32" t="s">
        <v>691</v>
      </c>
      <c r="U79" s="21"/>
    </row>
    <row r="80" spans="1:21" ht="20.100000000000001" customHeight="1" x14ac:dyDescent="0.3">
      <c r="A80" s="44">
        <v>72</v>
      </c>
      <c r="B80" s="78">
        <v>45457</v>
      </c>
      <c r="C80" s="79"/>
      <c r="D80" s="80" t="s">
        <v>291</v>
      </c>
      <c r="E80" s="81"/>
      <c r="F80" s="82">
        <v>25</v>
      </c>
      <c r="G80" s="83" t="s">
        <v>18</v>
      </c>
      <c r="H80" s="82">
        <v>20</v>
      </c>
      <c r="I80" s="27">
        <f t="shared" si="4"/>
        <v>500</v>
      </c>
      <c r="J80" s="28"/>
      <c r="K80" s="29">
        <v>3000</v>
      </c>
      <c r="L80" s="30"/>
      <c r="M80" s="31">
        <f t="shared" si="5"/>
        <v>0</v>
      </c>
      <c r="N80" s="31">
        <f t="shared" si="6"/>
        <v>3000</v>
      </c>
      <c r="O80" s="25"/>
      <c r="P80" s="78">
        <v>45458</v>
      </c>
      <c r="Q80" s="81"/>
      <c r="R80" s="26" t="s">
        <v>786</v>
      </c>
      <c r="S80" s="21"/>
      <c r="T80" s="32" t="s">
        <v>691</v>
      </c>
      <c r="U80" s="21"/>
    </row>
    <row r="81" spans="1:21" ht="20.100000000000001" customHeight="1" x14ac:dyDescent="0.3">
      <c r="A81" s="44">
        <v>73</v>
      </c>
      <c r="B81" s="78">
        <v>45457</v>
      </c>
      <c r="C81" s="79"/>
      <c r="D81" s="80" t="s">
        <v>481</v>
      </c>
      <c r="E81" s="81"/>
      <c r="F81" s="82">
        <v>50</v>
      </c>
      <c r="G81" s="83" t="s">
        <v>18</v>
      </c>
      <c r="H81" s="82">
        <v>20</v>
      </c>
      <c r="I81" s="27">
        <f t="shared" si="4"/>
        <v>1000</v>
      </c>
      <c r="J81" s="28"/>
      <c r="K81" s="29">
        <v>1800</v>
      </c>
      <c r="L81" s="30"/>
      <c r="M81" s="31">
        <f t="shared" si="5"/>
        <v>0</v>
      </c>
      <c r="N81" s="31">
        <f t="shared" si="6"/>
        <v>1800</v>
      </c>
      <c r="O81" s="25"/>
      <c r="P81" s="78">
        <v>45458</v>
      </c>
      <c r="Q81" s="81"/>
      <c r="R81" s="26" t="s">
        <v>787</v>
      </c>
      <c r="S81" s="21"/>
      <c r="T81" s="32" t="s">
        <v>421</v>
      </c>
      <c r="U81" s="21"/>
    </row>
    <row r="82" spans="1:21" ht="20.100000000000001" customHeight="1" x14ac:dyDescent="0.3">
      <c r="A82" s="44">
        <v>74</v>
      </c>
      <c r="B82" s="65">
        <v>45450</v>
      </c>
      <c r="C82" s="79"/>
      <c r="D82" s="80" t="s">
        <v>704</v>
      </c>
      <c r="E82" s="81"/>
      <c r="F82" s="82">
        <v>40</v>
      </c>
      <c r="G82" s="83" t="s">
        <v>18</v>
      </c>
      <c r="H82" s="82">
        <v>1</v>
      </c>
      <c r="I82" s="27">
        <f t="shared" si="4"/>
        <v>40</v>
      </c>
      <c r="J82" s="28"/>
      <c r="K82" s="29">
        <v>900</v>
      </c>
      <c r="L82" s="30"/>
      <c r="M82" s="31">
        <f t="shared" si="5"/>
        <v>0</v>
      </c>
      <c r="N82" s="31">
        <f t="shared" si="6"/>
        <v>900</v>
      </c>
      <c r="O82" s="25"/>
      <c r="P82" s="78">
        <v>45462</v>
      </c>
      <c r="Q82" s="81"/>
      <c r="R82" s="26" t="s">
        <v>788</v>
      </c>
      <c r="S82" s="21"/>
      <c r="T82" s="32" t="s">
        <v>705</v>
      </c>
      <c r="U82" s="21"/>
    </row>
    <row r="83" spans="1:21" ht="20.100000000000001" customHeight="1" x14ac:dyDescent="0.3">
      <c r="A83" s="44">
        <v>75</v>
      </c>
      <c r="B83" s="78">
        <v>45462</v>
      </c>
      <c r="C83" s="79"/>
      <c r="D83" s="80" t="s">
        <v>597</v>
      </c>
      <c r="E83" s="81"/>
      <c r="F83" s="82">
        <v>60</v>
      </c>
      <c r="G83" s="83" t="s">
        <v>706</v>
      </c>
      <c r="H83" s="82">
        <v>5</v>
      </c>
      <c r="I83" s="27">
        <f t="shared" si="4"/>
        <v>300</v>
      </c>
      <c r="J83" s="28"/>
      <c r="K83" s="29">
        <v>2875</v>
      </c>
      <c r="L83" s="30"/>
      <c r="M83" s="31">
        <f t="shared" si="5"/>
        <v>0</v>
      </c>
      <c r="N83" s="31">
        <f t="shared" si="6"/>
        <v>2875</v>
      </c>
      <c r="O83" s="25"/>
      <c r="P83" s="78">
        <v>45462</v>
      </c>
      <c r="Q83" s="81"/>
      <c r="R83" s="26" t="s">
        <v>789</v>
      </c>
      <c r="S83" s="21"/>
      <c r="T83" s="32" t="s">
        <v>609</v>
      </c>
      <c r="U83" s="21"/>
    </row>
    <row r="84" spans="1:21" ht="20.100000000000001" customHeight="1" x14ac:dyDescent="0.3">
      <c r="A84" s="44">
        <v>76</v>
      </c>
      <c r="B84" s="78">
        <v>45460</v>
      </c>
      <c r="C84" s="79"/>
      <c r="D84" s="80" t="s">
        <v>707</v>
      </c>
      <c r="E84" s="81"/>
      <c r="F84" s="82">
        <v>30</v>
      </c>
      <c r="G84" s="83" t="s">
        <v>51</v>
      </c>
      <c r="H84" s="82">
        <v>2500</v>
      </c>
      <c r="I84" s="27">
        <f t="shared" si="4"/>
        <v>75000</v>
      </c>
      <c r="J84" s="28"/>
      <c r="K84" s="29">
        <v>296</v>
      </c>
      <c r="L84" s="30">
        <v>0.05</v>
      </c>
      <c r="M84" s="31">
        <f t="shared" si="5"/>
        <v>14.8</v>
      </c>
      <c r="N84" s="31">
        <f t="shared" si="6"/>
        <v>310.8</v>
      </c>
      <c r="O84" s="25"/>
      <c r="P84" s="78">
        <v>45464</v>
      </c>
      <c r="Q84" s="81"/>
      <c r="R84" s="26" t="s">
        <v>790</v>
      </c>
      <c r="S84" s="21"/>
      <c r="T84" s="32" t="s">
        <v>682</v>
      </c>
      <c r="U84" s="21"/>
    </row>
    <row r="85" spans="1:21" ht="20.100000000000001" customHeight="1" x14ac:dyDescent="0.3">
      <c r="A85" s="44">
        <v>77</v>
      </c>
      <c r="B85" s="78">
        <v>45467</v>
      </c>
      <c r="C85" s="79"/>
      <c r="D85" s="80" t="s">
        <v>708</v>
      </c>
      <c r="E85" s="81"/>
      <c r="F85" s="82">
        <v>24</v>
      </c>
      <c r="G85" s="83" t="s">
        <v>56</v>
      </c>
      <c r="H85" s="82">
        <v>5</v>
      </c>
      <c r="I85" s="27">
        <f t="shared" si="4"/>
        <v>120</v>
      </c>
      <c r="J85" s="28"/>
      <c r="K85" s="29">
        <v>1010</v>
      </c>
      <c r="L85" s="30"/>
      <c r="M85" s="31">
        <f t="shared" si="5"/>
        <v>0</v>
      </c>
      <c r="N85" s="31">
        <f t="shared" si="6"/>
        <v>1010</v>
      </c>
      <c r="O85" s="25"/>
      <c r="P85" s="78">
        <v>45468</v>
      </c>
      <c r="Q85" s="81"/>
      <c r="R85" s="26" t="s">
        <v>791</v>
      </c>
      <c r="S85" s="21"/>
      <c r="T85" s="32" t="s">
        <v>609</v>
      </c>
      <c r="U85" s="21"/>
    </row>
    <row r="86" spans="1:21" ht="20.100000000000001" customHeight="1" x14ac:dyDescent="0.3">
      <c r="A86" s="44">
        <v>78</v>
      </c>
      <c r="B86" s="78">
        <v>45468</v>
      </c>
      <c r="C86" s="79"/>
      <c r="D86" s="80" t="s">
        <v>235</v>
      </c>
      <c r="E86" s="81"/>
      <c r="F86" s="82">
        <v>20</v>
      </c>
      <c r="G86" s="83" t="s">
        <v>18</v>
      </c>
      <c r="H86" s="82">
        <v>25</v>
      </c>
      <c r="I86" s="27">
        <f t="shared" si="4"/>
        <v>500</v>
      </c>
      <c r="J86" s="28"/>
      <c r="K86" s="29">
        <v>3200</v>
      </c>
      <c r="L86" s="30"/>
      <c r="M86" s="31">
        <f t="shared" si="5"/>
        <v>0</v>
      </c>
      <c r="N86" s="31">
        <f t="shared" si="6"/>
        <v>3200</v>
      </c>
      <c r="O86" s="25"/>
      <c r="P86" s="78">
        <v>45468</v>
      </c>
      <c r="Q86" s="81"/>
      <c r="R86" s="26" t="s">
        <v>792</v>
      </c>
      <c r="S86" s="21"/>
      <c r="T86" s="32" t="s">
        <v>709</v>
      </c>
      <c r="U86" s="21"/>
    </row>
    <row r="87" spans="1:21" ht="20.100000000000001" customHeight="1" x14ac:dyDescent="0.3">
      <c r="A87" s="44">
        <v>79</v>
      </c>
      <c r="B87" s="78">
        <v>45468</v>
      </c>
      <c r="C87" s="79"/>
      <c r="D87" s="80" t="s">
        <v>340</v>
      </c>
      <c r="E87" s="81"/>
      <c r="F87" s="82">
        <v>20</v>
      </c>
      <c r="G87" s="83" t="s">
        <v>18</v>
      </c>
      <c r="H87" s="82">
        <v>25</v>
      </c>
      <c r="I87" s="27">
        <f t="shared" si="4"/>
        <v>500</v>
      </c>
      <c r="J87" s="28"/>
      <c r="K87" s="29">
        <v>3200</v>
      </c>
      <c r="L87" s="30">
        <v>0.12</v>
      </c>
      <c r="M87" s="31">
        <f t="shared" si="5"/>
        <v>384</v>
      </c>
      <c r="N87" s="31">
        <f t="shared" si="6"/>
        <v>3584</v>
      </c>
      <c r="O87" s="25"/>
      <c r="P87" s="78">
        <v>45468</v>
      </c>
      <c r="Q87" s="81"/>
      <c r="R87" s="26" t="s">
        <v>793</v>
      </c>
      <c r="S87" s="21"/>
      <c r="T87" s="32" t="s">
        <v>678</v>
      </c>
      <c r="U87" s="21"/>
    </row>
    <row r="88" spans="1:21" ht="20.100000000000001" customHeight="1" x14ac:dyDescent="0.3">
      <c r="A88" s="44">
        <v>80</v>
      </c>
      <c r="B88" s="78" t="s">
        <v>712</v>
      </c>
      <c r="C88" s="79"/>
      <c r="D88" s="80" t="s">
        <v>673</v>
      </c>
      <c r="E88" s="81"/>
      <c r="F88" s="82">
        <v>8</v>
      </c>
      <c r="G88" s="83" t="s">
        <v>18</v>
      </c>
      <c r="H88" s="82">
        <v>25</v>
      </c>
      <c r="I88" s="27">
        <f t="shared" si="4"/>
        <v>200</v>
      </c>
      <c r="J88" s="28"/>
      <c r="K88" s="29">
        <v>23625</v>
      </c>
      <c r="L88" s="30"/>
      <c r="M88" s="31">
        <f t="shared" si="5"/>
        <v>0</v>
      </c>
      <c r="N88" s="31">
        <f t="shared" si="6"/>
        <v>23625</v>
      </c>
      <c r="O88" s="25"/>
      <c r="P88" s="78">
        <v>45470</v>
      </c>
      <c r="Q88" s="81"/>
      <c r="R88" s="26" t="s">
        <v>794</v>
      </c>
      <c r="S88" s="21"/>
      <c r="T88" s="32" t="s">
        <v>669</v>
      </c>
      <c r="U88" s="21"/>
    </row>
    <row r="89" spans="1:21" ht="20.100000000000001" customHeight="1" x14ac:dyDescent="0.3">
      <c r="A89" s="44">
        <v>81</v>
      </c>
      <c r="B89" s="78" t="s">
        <v>710</v>
      </c>
      <c r="C89" s="79"/>
      <c r="D89" s="80" t="s">
        <v>711</v>
      </c>
      <c r="E89" s="81"/>
      <c r="F89" s="82">
        <v>10</v>
      </c>
      <c r="G89" s="83" t="s">
        <v>18</v>
      </c>
      <c r="H89" s="82">
        <v>25</v>
      </c>
      <c r="I89" s="27">
        <f t="shared" si="4"/>
        <v>250</v>
      </c>
      <c r="J89" s="28"/>
      <c r="K89" s="29">
        <v>12500</v>
      </c>
      <c r="L89" s="30"/>
      <c r="M89" s="31">
        <f t="shared" si="5"/>
        <v>0</v>
      </c>
      <c r="N89" s="31">
        <f t="shared" si="6"/>
        <v>12500</v>
      </c>
      <c r="O89" s="25"/>
      <c r="P89" s="78">
        <v>45470</v>
      </c>
      <c r="Q89" s="81"/>
      <c r="R89" s="26" t="s">
        <v>795</v>
      </c>
      <c r="S89" s="21"/>
      <c r="T89" s="32" t="s">
        <v>349</v>
      </c>
      <c r="U89" s="21"/>
    </row>
    <row r="90" spans="1:21" ht="20.100000000000001" customHeight="1" x14ac:dyDescent="0.3">
      <c r="A90" s="44">
        <v>82</v>
      </c>
      <c r="B90" s="78">
        <v>45477</v>
      </c>
      <c r="C90" s="79"/>
      <c r="D90" s="80" t="s">
        <v>667</v>
      </c>
      <c r="E90" s="81"/>
      <c r="F90" s="82">
        <v>1500</v>
      </c>
      <c r="G90" s="83" t="s">
        <v>66</v>
      </c>
      <c r="H90" s="82">
        <v>200</v>
      </c>
      <c r="I90" s="27">
        <f t="shared" si="4"/>
        <v>300000</v>
      </c>
      <c r="J90" s="28"/>
      <c r="K90" s="29">
        <v>190</v>
      </c>
      <c r="L90" s="30"/>
      <c r="M90" s="31">
        <f t="shared" si="5"/>
        <v>0</v>
      </c>
      <c r="N90" s="31">
        <f t="shared" si="6"/>
        <v>190</v>
      </c>
      <c r="O90" s="25"/>
      <c r="P90" s="78">
        <v>45477</v>
      </c>
      <c r="Q90" s="81"/>
      <c r="R90" s="26" t="s">
        <v>796</v>
      </c>
      <c r="S90" s="21"/>
      <c r="T90" s="32" t="s">
        <v>609</v>
      </c>
      <c r="U90" s="21"/>
    </row>
    <row r="91" spans="1:21" ht="20.100000000000001" customHeight="1" x14ac:dyDescent="0.3">
      <c r="A91" s="44">
        <v>83</v>
      </c>
      <c r="B91" s="78">
        <v>45477</v>
      </c>
      <c r="C91" s="79"/>
      <c r="D91" s="80" t="s">
        <v>337</v>
      </c>
      <c r="E91" s="81"/>
      <c r="F91" s="82">
        <v>40</v>
      </c>
      <c r="G91" s="83" t="s">
        <v>18</v>
      </c>
      <c r="H91" s="82">
        <v>25</v>
      </c>
      <c r="I91" s="27">
        <f t="shared" si="4"/>
        <v>1000</v>
      </c>
      <c r="J91" s="28"/>
      <c r="K91" s="29">
        <v>1250</v>
      </c>
      <c r="L91" s="30"/>
      <c r="M91" s="31">
        <f t="shared" si="5"/>
        <v>0</v>
      </c>
      <c r="N91" s="31">
        <f t="shared" si="6"/>
        <v>1250</v>
      </c>
      <c r="O91" s="25"/>
      <c r="P91" s="78">
        <v>45477</v>
      </c>
      <c r="Q91" s="81"/>
      <c r="R91" s="26" t="s">
        <v>797</v>
      </c>
      <c r="S91" s="21"/>
      <c r="T91" s="32" t="s">
        <v>338</v>
      </c>
      <c r="U91" s="21"/>
    </row>
    <row r="92" spans="1:21" ht="20.100000000000001" customHeight="1" x14ac:dyDescent="0.3">
      <c r="A92" s="44">
        <v>84</v>
      </c>
      <c r="B92" s="78">
        <v>45482</v>
      </c>
      <c r="C92" s="79"/>
      <c r="D92" s="80" t="s">
        <v>675</v>
      </c>
      <c r="E92" s="81"/>
      <c r="F92" s="82">
        <v>60</v>
      </c>
      <c r="G92" s="83" t="s">
        <v>18</v>
      </c>
      <c r="H92" s="82">
        <v>5</v>
      </c>
      <c r="I92" s="27">
        <f t="shared" si="4"/>
        <v>300</v>
      </c>
      <c r="J92" s="28"/>
      <c r="K92" s="29">
        <v>2150</v>
      </c>
      <c r="L92" s="30"/>
      <c r="M92" s="31">
        <f t="shared" si="5"/>
        <v>0</v>
      </c>
      <c r="N92" s="31">
        <f t="shared" si="6"/>
        <v>2150</v>
      </c>
      <c r="O92" s="25"/>
      <c r="P92" s="78">
        <v>45483</v>
      </c>
      <c r="Q92" s="81"/>
      <c r="R92" s="26" t="s">
        <v>798</v>
      </c>
      <c r="S92" s="21"/>
      <c r="T92" s="32" t="s">
        <v>660</v>
      </c>
      <c r="U92" s="21"/>
    </row>
    <row r="93" spans="1:21" ht="20.100000000000001" customHeight="1" x14ac:dyDescent="0.3">
      <c r="A93" s="44">
        <v>85</v>
      </c>
      <c r="B93" s="78" t="s">
        <v>712</v>
      </c>
      <c r="C93" s="79"/>
      <c r="D93" s="80" t="s">
        <v>327</v>
      </c>
      <c r="E93" s="81"/>
      <c r="F93" s="82">
        <v>300</v>
      </c>
      <c r="G93" s="83" t="s">
        <v>18</v>
      </c>
      <c r="H93" s="82">
        <v>1</v>
      </c>
      <c r="I93" s="27">
        <f t="shared" si="4"/>
        <v>300</v>
      </c>
      <c r="J93" s="28"/>
      <c r="K93" s="29">
        <v>400</v>
      </c>
      <c r="L93" s="30"/>
      <c r="M93" s="31">
        <f t="shared" si="5"/>
        <v>0</v>
      </c>
      <c r="N93" s="31">
        <f t="shared" si="6"/>
        <v>400</v>
      </c>
      <c r="O93" s="25"/>
      <c r="P93" s="78">
        <v>45490</v>
      </c>
      <c r="Q93" s="81"/>
      <c r="R93" s="26" t="s">
        <v>799</v>
      </c>
      <c r="S93" s="21"/>
      <c r="T93" s="32" t="s">
        <v>713</v>
      </c>
      <c r="U93" s="21"/>
    </row>
    <row r="94" spans="1:21" ht="20.100000000000001" customHeight="1" x14ac:dyDescent="0.3">
      <c r="A94" s="44">
        <v>86</v>
      </c>
      <c r="B94" s="65">
        <v>45477</v>
      </c>
      <c r="C94" s="79"/>
      <c r="D94" s="80" t="s">
        <v>497</v>
      </c>
      <c r="E94" s="81"/>
      <c r="F94" s="82">
        <v>40</v>
      </c>
      <c r="G94" s="83" t="s">
        <v>18</v>
      </c>
      <c r="H94" s="82">
        <v>50</v>
      </c>
      <c r="I94" s="27">
        <f t="shared" si="4"/>
        <v>2000</v>
      </c>
      <c r="J94" s="28"/>
      <c r="K94" s="29">
        <v>1949.1499999999999</v>
      </c>
      <c r="L94" s="30">
        <v>0.18</v>
      </c>
      <c r="M94" s="31">
        <f t="shared" si="5"/>
        <v>350.84699999999998</v>
      </c>
      <c r="N94" s="31">
        <f t="shared" si="6"/>
        <v>2299.9969999999998</v>
      </c>
      <c r="O94" s="25"/>
      <c r="P94" s="78">
        <v>45497</v>
      </c>
      <c r="Q94" s="81"/>
      <c r="R94" s="26" t="s">
        <v>800</v>
      </c>
      <c r="S94" s="21"/>
      <c r="T94" s="32" t="s">
        <v>672</v>
      </c>
      <c r="U94" s="21"/>
    </row>
    <row r="95" spans="1:21" ht="20.100000000000001" customHeight="1" x14ac:dyDescent="0.3">
      <c r="A95" s="44">
        <v>87</v>
      </c>
      <c r="B95" s="65">
        <v>45477</v>
      </c>
      <c r="C95" s="79"/>
      <c r="D95" s="80" t="s">
        <v>714</v>
      </c>
      <c r="E95" s="81"/>
      <c r="F95" s="82">
        <v>40</v>
      </c>
      <c r="G95" s="83" t="s">
        <v>18</v>
      </c>
      <c r="H95" s="82">
        <v>25</v>
      </c>
      <c r="I95" s="27">
        <f t="shared" si="4"/>
        <v>1000</v>
      </c>
      <c r="J95" s="28"/>
      <c r="K95" s="29">
        <v>3813.55</v>
      </c>
      <c r="L95" s="30">
        <v>0.18</v>
      </c>
      <c r="M95" s="31">
        <f t="shared" si="5"/>
        <v>686.43899999999996</v>
      </c>
      <c r="N95" s="31">
        <f t="shared" si="6"/>
        <v>4499.9890000000005</v>
      </c>
      <c r="O95" s="25"/>
      <c r="P95" s="78">
        <v>45497</v>
      </c>
      <c r="Q95" s="81"/>
      <c r="R95" s="26" t="s">
        <v>800</v>
      </c>
      <c r="S95" s="21"/>
      <c r="T95" s="32" t="s">
        <v>672</v>
      </c>
      <c r="U95" s="21"/>
    </row>
    <row r="96" spans="1:21" ht="20.100000000000001" customHeight="1" x14ac:dyDescent="0.3">
      <c r="A96" s="44">
        <v>88</v>
      </c>
      <c r="B96" s="78">
        <v>45509</v>
      </c>
      <c r="C96" s="79"/>
      <c r="D96" s="80" t="s">
        <v>703</v>
      </c>
      <c r="E96" s="81"/>
      <c r="F96" s="82">
        <v>20</v>
      </c>
      <c r="G96" s="83" t="s">
        <v>18</v>
      </c>
      <c r="H96" s="82">
        <v>25</v>
      </c>
      <c r="I96" s="27">
        <f t="shared" si="4"/>
        <v>500</v>
      </c>
      <c r="J96" s="28"/>
      <c r="K96" s="29">
        <v>6250</v>
      </c>
      <c r="L96" s="30"/>
      <c r="M96" s="31">
        <f t="shared" si="5"/>
        <v>0</v>
      </c>
      <c r="N96" s="31">
        <f t="shared" si="6"/>
        <v>6250</v>
      </c>
      <c r="O96" s="25"/>
      <c r="P96" s="78">
        <v>45509</v>
      </c>
      <c r="Q96" s="81"/>
      <c r="R96" s="26" t="s">
        <v>801</v>
      </c>
      <c r="S96" s="21"/>
      <c r="T96" s="32" t="s">
        <v>691</v>
      </c>
      <c r="U96" s="21"/>
    </row>
    <row r="97" spans="1:21" ht="20.100000000000001" customHeight="1" x14ac:dyDescent="0.3">
      <c r="A97" s="44">
        <v>89</v>
      </c>
      <c r="B97" s="78">
        <v>45509</v>
      </c>
      <c r="C97" s="79"/>
      <c r="D97" s="80" t="s">
        <v>597</v>
      </c>
      <c r="E97" s="81"/>
      <c r="F97" s="82">
        <v>100</v>
      </c>
      <c r="G97" s="83" t="s">
        <v>18</v>
      </c>
      <c r="H97" s="82">
        <v>5</v>
      </c>
      <c r="I97" s="27">
        <f t="shared" si="4"/>
        <v>500</v>
      </c>
      <c r="J97" s="28"/>
      <c r="K97" s="29">
        <v>2875</v>
      </c>
      <c r="L97" s="30"/>
      <c r="M97" s="31">
        <f t="shared" si="5"/>
        <v>0</v>
      </c>
      <c r="N97" s="31">
        <f t="shared" si="6"/>
        <v>2875</v>
      </c>
      <c r="O97" s="25"/>
      <c r="P97" s="78">
        <v>45509</v>
      </c>
      <c r="Q97" s="81"/>
      <c r="R97" s="26" t="s">
        <v>802</v>
      </c>
      <c r="S97" s="21"/>
      <c r="T97" s="32" t="s">
        <v>609</v>
      </c>
      <c r="U97" s="21"/>
    </row>
    <row r="98" spans="1:21" ht="20.100000000000001" customHeight="1" x14ac:dyDescent="0.3">
      <c r="A98" s="44">
        <v>90</v>
      </c>
      <c r="B98" s="78">
        <v>45512</v>
      </c>
      <c r="C98" s="79"/>
      <c r="D98" s="80" t="s">
        <v>291</v>
      </c>
      <c r="E98" s="81"/>
      <c r="F98" s="82">
        <v>50</v>
      </c>
      <c r="G98" s="83" t="s">
        <v>18</v>
      </c>
      <c r="H98" s="82">
        <v>20</v>
      </c>
      <c r="I98" s="27">
        <f t="shared" si="4"/>
        <v>1000</v>
      </c>
      <c r="J98" s="28"/>
      <c r="K98" s="29">
        <v>2900</v>
      </c>
      <c r="L98" s="30"/>
      <c r="M98" s="31">
        <f t="shared" si="5"/>
        <v>0</v>
      </c>
      <c r="N98" s="31">
        <f t="shared" si="6"/>
        <v>2900</v>
      </c>
      <c r="O98" s="25"/>
      <c r="P98" s="78">
        <v>45512</v>
      </c>
      <c r="Q98" s="81"/>
      <c r="R98" s="26" t="s">
        <v>803</v>
      </c>
      <c r="S98" s="21"/>
      <c r="T98" s="32" t="s">
        <v>691</v>
      </c>
      <c r="U98" s="21"/>
    </row>
    <row r="99" spans="1:21" ht="20.100000000000001" customHeight="1" x14ac:dyDescent="0.3">
      <c r="A99" s="44">
        <v>91</v>
      </c>
      <c r="B99" s="78">
        <v>45512</v>
      </c>
      <c r="C99" s="79"/>
      <c r="D99" s="80" t="s">
        <v>561</v>
      </c>
      <c r="E99" s="81"/>
      <c r="F99" s="82">
        <v>20</v>
      </c>
      <c r="G99" s="83" t="s">
        <v>18</v>
      </c>
      <c r="H99" s="82">
        <v>25</v>
      </c>
      <c r="I99" s="27">
        <f t="shared" si="4"/>
        <v>500</v>
      </c>
      <c r="J99" s="28"/>
      <c r="K99" s="29">
        <v>6000</v>
      </c>
      <c r="L99" s="30"/>
      <c r="M99" s="31">
        <f t="shared" si="5"/>
        <v>0</v>
      </c>
      <c r="N99" s="31">
        <f t="shared" si="6"/>
        <v>6000</v>
      </c>
      <c r="O99" s="25"/>
      <c r="P99" s="78">
        <v>45512</v>
      </c>
      <c r="Q99" s="81"/>
      <c r="R99" s="26" t="s">
        <v>804</v>
      </c>
      <c r="S99" s="21"/>
      <c r="T99" s="32" t="s">
        <v>74</v>
      </c>
      <c r="U99" s="21"/>
    </row>
    <row r="100" spans="1:21" ht="20.100000000000001" customHeight="1" x14ac:dyDescent="0.3">
      <c r="A100" s="44">
        <v>92</v>
      </c>
      <c r="B100" s="78">
        <v>45512</v>
      </c>
      <c r="C100" s="79"/>
      <c r="D100" s="80" t="s">
        <v>485</v>
      </c>
      <c r="E100" s="81"/>
      <c r="F100" s="82">
        <v>34</v>
      </c>
      <c r="G100" s="83" t="s">
        <v>18</v>
      </c>
      <c r="H100" s="82">
        <v>30</v>
      </c>
      <c r="I100" s="27">
        <f t="shared" si="4"/>
        <v>1020</v>
      </c>
      <c r="J100" s="28"/>
      <c r="K100" s="29">
        <v>1957</v>
      </c>
      <c r="L100" s="30"/>
      <c r="M100" s="31">
        <f t="shared" si="5"/>
        <v>0</v>
      </c>
      <c r="N100" s="31">
        <f t="shared" si="6"/>
        <v>1957</v>
      </c>
      <c r="O100" s="25"/>
      <c r="P100" s="78">
        <v>45512</v>
      </c>
      <c r="Q100" s="81"/>
      <c r="R100" s="26" t="s">
        <v>805</v>
      </c>
      <c r="S100" s="21"/>
      <c r="T100" s="32" t="s">
        <v>315</v>
      </c>
      <c r="U100" s="21"/>
    </row>
    <row r="101" spans="1:21" ht="20.100000000000001" customHeight="1" x14ac:dyDescent="0.3">
      <c r="A101" s="44">
        <v>93</v>
      </c>
      <c r="B101" s="78">
        <v>45512</v>
      </c>
      <c r="C101" s="79"/>
      <c r="D101" s="80" t="s">
        <v>235</v>
      </c>
      <c r="E101" s="81"/>
      <c r="F101" s="82">
        <v>40</v>
      </c>
      <c r="G101" s="83" t="s">
        <v>18</v>
      </c>
      <c r="H101" s="82">
        <v>25</v>
      </c>
      <c r="I101" s="27">
        <f t="shared" si="4"/>
        <v>1000</v>
      </c>
      <c r="J101" s="110" t="s">
        <v>717</v>
      </c>
      <c r="K101" s="89">
        <v>2750</v>
      </c>
      <c r="L101" s="30"/>
      <c r="M101" s="31">
        <f t="shared" si="5"/>
        <v>0</v>
      </c>
      <c r="N101" s="31">
        <f t="shared" si="6"/>
        <v>2750</v>
      </c>
      <c r="O101" s="25"/>
      <c r="P101" s="78">
        <v>45512</v>
      </c>
      <c r="Q101" s="81"/>
      <c r="R101" s="26" t="s">
        <v>806</v>
      </c>
      <c r="S101" s="21"/>
      <c r="T101" s="32" t="s">
        <v>709</v>
      </c>
      <c r="U101" s="21"/>
    </row>
    <row r="102" spans="1:21" ht="20.100000000000001" customHeight="1" x14ac:dyDescent="0.3">
      <c r="A102" s="44">
        <v>94</v>
      </c>
      <c r="B102" s="78">
        <v>45514</v>
      </c>
      <c r="C102" s="79"/>
      <c r="D102" s="80" t="s">
        <v>715</v>
      </c>
      <c r="E102" s="81"/>
      <c r="F102" s="82">
        <v>100</v>
      </c>
      <c r="G102" s="83" t="s">
        <v>109</v>
      </c>
      <c r="H102" s="82">
        <v>10</v>
      </c>
      <c r="I102" s="27">
        <f t="shared" si="4"/>
        <v>1000</v>
      </c>
      <c r="J102" s="28"/>
      <c r="K102" s="29">
        <v>200</v>
      </c>
      <c r="L102" s="30">
        <v>0.18</v>
      </c>
      <c r="M102" s="31">
        <f t="shared" si="5"/>
        <v>36</v>
      </c>
      <c r="N102" s="31">
        <f t="shared" si="6"/>
        <v>236</v>
      </c>
      <c r="O102" s="25"/>
      <c r="P102" s="78">
        <v>45514</v>
      </c>
      <c r="Q102" s="81"/>
      <c r="R102" s="26" t="s">
        <v>807</v>
      </c>
      <c r="S102" s="21"/>
      <c r="T102" s="32" t="s">
        <v>315</v>
      </c>
      <c r="U102" s="21"/>
    </row>
    <row r="103" spans="1:21" ht="20.100000000000001" customHeight="1" x14ac:dyDescent="0.3">
      <c r="A103" s="44">
        <v>95</v>
      </c>
      <c r="B103" s="78">
        <v>45514</v>
      </c>
      <c r="C103" s="79"/>
      <c r="D103" s="80" t="s">
        <v>507</v>
      </c>
      <c r="E103" s="81"/>
      <c r="F103" s="82">
        <v>20</v>
      </c>
      <c r="G103" s="83" t="s">
        <v>56</v>
      </c>
      <c r="H103" s="82">
        <v>5</v>
      </c>
      <c r="I103" s="27">
        <f t="shared" si="4"/>
        <v>100</v>
      </c>
      <c r="J103" s="28"/>
      <c r="K103" s="29">
        <v>1138</v>
      </c>
      <c r="L103" s="30">
        <v>0.18</v>
      </c>
      <c r="M103" s="31">
        <f t="shared" si="5"/>
        <v>204.84</v>
      </c>
      <c r="N103" s="31">
        <f t="shared" si="6"/>
        <v>1342.84</v>
      </c>
      <c r="O103" s="25"/>
      <c r="P103" s="78">
        <v>45514</v>
      </c>
      <c r="Q103" s="81"/>
      <c r="R103" s="26" t="s">
        <v>807</v>
      </c>
      <c r="S103" s="21"/>
      <c r="T103" s="32" t="s">
        <v>315</v>
      </c>
      <c r="U103" s="21"/>
    </row>
    <row r="104" spans="1:21" ht="20.100000000000001" customHeight="1" x14ac:dyDescent="0.3">
      <c r="A104" s="44">
        <v>96</v>
      </c>
      <c r="B104" s="78">
        <v>45514</v>
      </c>
      <c r="C104" s="79"/>
      <c r="D104" s="80" t="s">
        <v>708</v>
      </c>
      <c r="E104" s="81"/>
      <c r="F104" s="82">
        <v>20</v>
      </c>
      <c r="G104" s="83" t="s">
        <v>56</v>
      </c>
      <c r="H104" s="82">
        <v>5</v>
      </c>
      <c r="I104" s="27">
        <f t="shared" si="4"/>
        <v>100</v>
      </c>
      <c r="J104" s="28"/>
      <c r="K104" s="29">
        <v>1010</v>
      </c>
      <c r="L104" s="30"/>
      <c r="M104" s="31">
        <f t="shared" si="5"/>
        <v>0</v>
      </c>
      <c r="N104" s="31">
        <f t="shared" si="6"/>
        <v>1010</v>
      </c>
      <c r="O104" s="25"/>
      <c r="P104" s="78">
        <v>45514</v>
      </c>
      <c r="Q104" s="81"/>
      <c r="R104" s="26" t="s">
        <v>808</v>
      </c>
      <c r="S104" s="21"/>
      <c r="T104" s="32" t="s">
        <v>609</v>
      </c>
      <c r="U104" s="21"/>
    </row>
    <row r="105" spans="1:21" ht="20.100000000000001" customHeight="1" x14ac:dyDescent="0.3">
      <c r="A105" s="44">
        <v>97</v>
      </c>
      <c r="B105" s="78">
        <v>45514</v>
      </c>
      <c r="C105" s="79"/>
      <c r="D105" s="80" t="s">
        <v>881</v>
      </c>
      <c r="E105" s="81"/>
      <c r="F105" s="82">
        <v>10</v>
      </c>
      <c r="G105" s="83" t="s">
        <v>56</v>
      </c>
      <c r="H105" s="82">
        <v>5</v>
      </c>
      <c r="I105" s="27">
        <f t="shared" si="4"/>
        <v>50</v>
      </c>
      <c r="J105" s="28"/>
      <c r="K105" s="29">
        <v>2587</v>
      </c>
      <c r="L105" s="30">
        <v>0.12</v>
      </c>
      <c r="M105" s="31">
        <f t="shared" si="5"/>
        <v>310.44</v>
      </c>
      <c r="N105" s="31">
        <f t="shared" si="6"/>
        <v>2897.44</v>
      </c>
      <c r="O105" s="25"/>
      <c r="P105" s="78">
        <v>45514</v>
      </c>
      <c r="Q105" s="81"/>
      <c r="R105" s="26" t="s">
        <v>808</v>
      </c>
      <c r="S105" s="21"/>
      <c r="T105" s="32" t="s">
        <v>609</v>
      </c>
      <c r="U105" s="21"/>
    </row>
    <row r="106" spans="1:21" ht="20.100000000000001" customHeight="1" x14ac:dyDescent="0.3">
      <c r="A106" s="44">
        <v>98</v>
      </c>
      <c r="B106" s="78">
        <v>45514</v>
      </c>
      <c r="C106" s="79"/>
      <c r="D106" s="80" t="s">
        <v>627</v>
      </c>
      <c r="E106" s="81"/>
      <c r="F106" s="82">
        <v>20</v>
      </c>
      <c r="G106" s="83" t="s">
        <v>18</v>
      </c>
      <c r="H106" s="82">
        <v>1</v>
      </c>
      <c r="I106" s="27">
        <f t="shared" si="4"/>
        <v>20</v>
      </c>
      <c r="J106" s="28"/>
      <c r="K106" s="29">
        <v>3408</v>
      </c>
      <c r="L106" s="30">
        <v>0.12</v>
      </c>
      <c r="M106" s="31">
        <f t="shared" si="5"/>
        <v>408.96</v>
      </c>
      <c r="N106" s="31">
        <f t="shared" si="6"/>
        <v>3816.96</v>
      </c>
      <c r="O106" s="25"/>
      <c r="P106" s="78">
        <v>45514</v>
      </c>
      <c r="Q106" s="81"/>
      <c r="R106" s="26" t="s">
        <v>808</v>
      </c>
      <c r="S106" s="21"/>
      <c r="T106" s="32" t="s">
        <v>609</v>
      </c>
      <c r="U106" s="21"/>
    </row>
    <row r="107" spans="1:21" ht="20.100000000000001" customHeight="1" x14ac:dyDescent="0.3">
      <c r="A107" s="44">
        <v>99</v>
      </c>
      <c r="B107" s="78">
        <v>45514</v>
      </c>
      <c r="C107" s="79"/>
      <c r="D107" s="80" t="s">
        <v>393</v>
      </c>
      <c r="E107" s="81"/>
      <c r="F107" s="82">
        <v>20</v>
      </c>
      <c r="G107" s="83" t="s">
        <v>56</v>
      </c>
      <c r="H107" s="82">
        <v>5</v>
      </c>
      <c r="I107" s="27">
        <f t="shared" si="4"/>
        <v>100</v>
      </c>
      <c r="J107" s="28"/>
      <c r="K107" s="29">
        <v>924</v>
      </c>
      <c r="L107" s="30">
        <v>0.12</v>
      </c>
      <c r="M107" s="31">
        <f t="shared" si="5"/>
        <v>110.88</v>
      </c>
      <c r="N107" s="31">
        <f t="shared" si="6"/>
        <v>1034.8800000000001</v>
      </c>
      <c r="O107" s="25"/>
      <c r="P107" s="78">
        <v>45514</v>
      </c>
      <c r="Q107" s="81"/>
      <c r="R107" s="26" t="s">
        <v>808</v>
      </c>
      <c r="S107" s="21"/>
      <c r="T107" s="32" t="s">
        <v>609</v>
      </c>
      <c r="U107" s="21"/>
    </row>
    <row r="108" spans="1:21" ht="20.100000000000001" customHeight="1" x14ac:dyDescent="0.3">
      <c r="A108" s="44">
        <v>100</v>
      </c>
      <c r="B108" s="78">
        <v>45514</v>
      </c>
      <c r="C108" s="79"/>
      <c r="D108" s="80" t="s">
        <v>723</v>
      </c>
      <c r="E108" s="81"/>
      <c r="F108" s="82">
        <v>100</v>
      </c>
      <c r="G108" s="83" t="s">
        <v>230</v>
      </c>
      <c r="H108" s="82">
        <v>100</v>
      </c>
      <c r="I108" s="27">
        <f t="shared" si="4"/>
        <v>10000</v>
      </c>
      <c r="J108" s="28"/>
      <c r="K108" s="29">
        <v>386</v>
      </c>
      <c r="L108" s="30">
        <v>0.12</v>
      </c>
      <c r="M108" s="31">
        <f t="shared" si="5"/>
        <v>46.32</v>
      </c>
      <c r="N108" s="31">
        <f t="shared" si="6"/>
        <v>432.32</v>
      </c>
      <c r="O108" s="25"/>
      <c r="P108" s="78">
        <v>45514</v>
      </c>
      <c r="Q108" s="81"/>
      <c r="R108" s="26" t="s">
        <v>808</v>
      </c>
      <c r="S108" s="21"/>
      <c r="T108" s="32" t="s">
        <v>609</v>
      </c>
      <c r="U108" s="21"/>
    </row>
    <row r="109" spans="1:21" ht="20.100000000000001" customHeight="1" x14ac:dyDescent="0.3">
      <c r="A109" s="44">
        <v>101</v>
      </c>
      <c r="B109" s="78">
        <v>45514</v>
      </c>
      <c r="C109" s="79"/>
      <c r="D109" s="80" t="s">
        <v>395</v>
      </c>
      <c r="E109" s="81"/>
      <c r="F109" s="82">
        <v>50</v>
      </c>
      <c r="G109" s="83" t="s">
        <v>230</v>
      </c>
      <c r="H109" s="82">
        <v>100</v>
      </c>
      <c r="I109" s="27">
        <f t="shared" si="4"/>
        <v>5000</v>
      </c>
      <c r="J109" s="28"/>
      <c r="K109" s="29">
        <v>733</v>
      </c>
      <c r="L109" s="30">
        <v>0.12</v>
      </c>
      <c r="M109" s="31">
        <f t="shared" si="5"/>
        <v>87.96</v>
      </c>
      <c r="N109" s="31">
        <f t="shared" si="6"/>
        <v>820.96</v>
      </c>
      <c r="O109" s="25"/>
      <c r="P109" s="78">
        <v>45514</v>
      </c>
      <c r="Q109" s="81"/>
      <c r="R109" s="26" t="s">
        <v>808</v>
      </c>
      <c r="S109" s="21"/>
      <c r="T109" s="32" t="s">
        <v>609</v>
      </c>
      <c r="U109" s="21"/>
    </row>
    <row r="110" spans="1:21" ht="20.100000000000001" customHeight="1" x14ac:dyDescent="0.3">
      <c r="A110" s="44">
        <v>102</v>
      </c>
      <c r="B110" s="78">
        <v>45514</v>
      </c>
      <c r="C110" s="79"/>
      <c r="D110" s="80" t="s">
        <v>396</v>
      </c>
      <c r="E110" s="81"/>
      <c r="F110" s="82">
        <v>100</v>
      </c>
      <c r="G110" s="83" t="s">
        <v>230</v>
      </c>
      <c r="H110" s="82">
        <v>100</v>
      </c>
      <c r="I110" s="27">
        <f t="shared" si="4"/>
        <v>10000</v>
      </c>
      <c r="J110" s="28"/>
      <c r="K110" s="29">
        <v>319.24</v>
      </c>
      <c r="L110" s="30">
        <v>0.12</v>
      </c>
      <c r="M110" s="31">
        <f t="shared" si="5"/>
        <v>38.308799999999998</v>
      </c>
      <c r="N110" s="31">
        <f t="shared" si="6"/>
        <v>357.54880000000003</v>
      </c>
      <c r="O110" s="25"/>
      <c r="P110" s="78">
        <v>45514</v>
      </c>
      <c r="Q110" s="81"/>
      <c r="R110" s="26" t="s">
        <v>808</v>
      </c>
      <c r="S110" s="21"/>
      <c r="T110" s="32" t="s">
        <v>609</v>
      </c>
      <c r="U110" s="21"/>
    </row>
    <row r="111" spans="1:21" ht="20.100000000000001" customHeight="1" x14ac:dyDescent="0.3">
      <c r="A111" s="44">
        <v>103</v>
      </c>
      <c r="B111" s="78">
        <v>45514</v>
      </c>
      <c r="C111" s="79"/>
      <c r="D111" s="80" t="s">
        <v>516</v>
      </c>
      <c r="E111" s="81"/>
      <c r="F111" s="82">
        <v>65</v>
      </c>
      <c r="G111" s="83" t="s">
        <v>51</v>
      </c>
      <c r="H111" s="82">
        <v>1000</v>
      </c>
      <c r="I111" s="27">
        <f t="shared" si="4"/>
        <v>65000</v>
      </c>
      <c r="J111" s="110" t="s">
        <v>717</v>
      </c>
      <c r="K111" s="109">
        <v>945.02</v>
      </c>
      <c r="L111" s="30">
        <v>0.05</v>
      </c>
      <c r="M111" s="31">
        <f t="shared" si="5"/>
        <v>47.251000000000005</v>
      </c>
      <c r="N111" s="31">
        <f t="shared" si="6"/>
        <v>992.27099999999996</v>
      </c>
      <c r="O111" s="25"/>
      <c r="P111" s="78">
        <v>45514</v>
      </c>
      <c r="Q111" s="81"/>
      <c r="R111" s="26" t="s">
        <v>809</v>
      </c>
      <c r="S111" s="21"/>
      <c r="T111" s="32" t="s">
        <v>124</v>
      </c>
      <c r="U111" s="21"/>
    </row>
    <row r="112" spans="1:21" ht="20.100000000000001" customHeight="1" x14ac:dyDescent="0.3">
      <c r="A112" s="44">
        <v>104</v>
      </c>
      <c r="B112" s="78">
        <v>45514</v>
      </c>
      <c r="C112" s="79"/>
      <c r="D112" s="80" t="s">
        <v>400</v>
      </c>
      <c r="E112" s="81"/>
      <c r="F112" s="82">
        <v>1000</v>
      </c>
      <c r="G112" s="83" t="s">
        <v>230</v>
      </c>
      <c r="H112" s="82">
        <v>1</v>
      </c>
      <c r="I112" s="27">
        <f t="shared" si="4"/>
        <v>1000</v>
      </c>
      <c r="J112" s="28"/>
      <c r="K112" s="29">
        <v>75</v>
      </c>
      <c r="L112" s="30">
        <v>0.12</v>
      </c>
      <c r="M112" s="31">
        <f t="shared" si="5"/>
        <v>9</v>
      </c>
      <c r="N112" s="31">
        <f t="shared" si="6"/>
        <v>84</v>
      </c>
      <c r="O112" s="25"/>
      <c r="P112" s="78">
        <v>45514</v>
      </c>
      <c r="Q112" s="81"/>
      <c r="R112" s="26" t="s">
        <v>810</v>
      </c>
      <c r="S112" s="21"/>
      <c r="T112" s="32" t="s">
        <v>713</v>
      </c>
      <c r="U112" s="21"/>
    </row>
    <row r="113" spans="1:21" ht="20.100000000000001" customHeight="1" x14ac:dyDescent="0.3">
      <c r="A113" s="44">
        <v>105</v>
      </c>
      <c r="B113" s="78">
        <v>45514</v>
      </c>
      <c r="C113" s="79"/>
      <c r="D113" s="80" t="s">
        <v>345</v>
      </c>
      <c r="E113" s="81"/>
      <c r="F113" s="82">
        <v>100</v>
      </c>
      <c r="G113" s="83" t="s">
        <v>51</v>
      </c>
      <c r="H113" s="82">
        <v>2500</v>
      </c>
      <c r="I113" s="27">
        <f t="shared" si="4"/>
        <v>250000</v>
      </c>
      <c r="J113" s="28"/>
      <c r="K113" s="29">
        <v>550</v>
      </c>
      <c r="L113" s="30">
        <v>0.05</v>
      </c>
      <c r="M113" s="31">
        <f t="shared" si="5"/>
        <v>27.5</v>
      </c>
      <c r="N113" s="31">
        <f t="shared" si="6"/>
        <v>577.5</v>
      </c>
      <c r="O113" s="25"/>
      <c r="P113" s="78">
        <v>45514</v>
      </c>
      <c r="Q113" s="81"/>
      <c r="R113" s="26" t="s">
        <v>811</v>
      </c>
      <c r="S113" s="21"/>
      <c r="T113" s="32" t="s">
        <v>682</v>
      </c>
      <c r="U113" s="21"/>
    </row>
    <row r="114" spans="1:21" ht="20.100000000000001" customHeight="1" x14ac:dyDescent="0.3">
      <c r="A114" s="44">
        <v>106</v>
      </c>
      <c r="B114" s="78">
        <v>45514</v>
      </c>
      <c r="C114" s="79"/>
      <c r="D114" s="80" t="s">
        <v>696</v>
      </c>
      <c r="E114" s="81"/>
      <c r="F114" s="82">
        <v>43</v>
      </c>
      <c r="G114" s="83" t="s">
        <v>51</v>
      </c>
      <c r="H114" s="82">
        <v>1000</v>
      </c>
      <c r="I114" s="27">
        <f t="shared" si="4"/>
        <v>43000</v>
      </c>
      <c r="J114" s="28"/>
      <c r="K114" s="29">
        <v>1995</v>
      </c>
      <c r="L114" s="30">
        <v>0.05</v>
      </c>
      <c r="M114" s="31">
        <f t="shared" si="5"/>
        <v>99.75</v>
      </c>
      <c r="N114" s="31">
        <f t="shared" si="6"/>
        <v>2094.75</v>
      </c>
      <c r="O114" s="25"/>
      <c r="P114" s="78">
        <v>45514</v>
      </c>
      <c r="Q114" s="81"/>
      <c r="R114" s="26" t="s">
        <v>812</v>
      </c>
      <c r="S114" s="21"/>
      <c r="T114" s="32" t="s">
        <v>309</v>
      </c>
      <c r="U114" s="21"/>
    </row>
    <row r="115" spans="1:21" ht="20.100000000000001" customHeight="1" x14ac:dyDescent="0.3">
      <c r="A115" s="44">
        <v>107</v>
      </c>
      <c r="B115" s="78">
        <v>45514</v>
      </c>
      <c r="C115" s="79"/>
      <c r="D115" s="80" t="s">
        <v>407</v>
      </c>
      <c r="E115" s="81"/>
      <c r="F115" s="82">
        <v>43</v>
      </c>
      <c r="G115" s="83" t="s">
        <v>51</v>
      </c>
      <c r="H115" s="82">
        <v>1000</v>
      </c>
      <c r="I115" s="27">
        <f t="shared" si="4"/>
        <v>43000</v>
      </c>
      <c r="J115" s="28"/>
      <c r="K115" s="29">
        <v>3255</v>
      </c>
      <c r="L115" s="30">
        <v>0.05</v>
      </c>
      <c r="M115" s="31">
        <f t="shared" si="5"/>
        <v>162.75</v>
      </c>
      <c r="N115" s="31">
        <f t="shared" si="6"/>
        <v>3417.75</v>
      </c>
      <c r="O115" s="25"/>
      <c r="P115" s="78">
        <v>45514</v>
      </c>
      <c r="Q115" s="81"/>
      <c r="R115" s="26" t="s">
        <v>812</v>
      </c>
      <c r="S115" s="21"/>
      <c r="T115" s="32" t="s">
        <v>309</v>
      </c>
      <c r="U115" s="21"/>
    </row>
    <row r="116" spans="1:21" ht="20.100000000000001" customHeight="1" x14ac:dyDescent="0.3">
      <c r="A116" s="44">
        <v>108</v>
      </c>
      <c r="B116" s="78">
        <v>45514</v>
      </c>
      <c r="C116" s="79"/>
      <c r="D116" s="80" t="s">
        <v>277</v>
      </c>
      <c r="E116" s="81"/>
      <c r="F116" s="82">
        <v>30</v>
      </c>
      <c r="G116" s="83" t="s">
        <v>51</v>
      </c>
      <c r="H116" s="82">
        <v>1000</v>
      </c>
      <c r="I116" s="27">
        <f t="shared" si="4"/>
        <v>30000</v>
      </c>
      <c r="J116" s="28"/>
      <c r="K116" s="29">
        <v>1575</v>
      </c>
      <c r="L116" s="30">
        <v>0.05</v>
      </c>
      <c r="M116" s="31">
        <f t="shared" si="5"/>
        <v>78.75</v>
      </c>
      <c r="N116" s="31">
        <f t="shared" si="6"/>
        <v>1653.75</v>
      </c>
      <c r="O116" s="25"/>
      <c r="P116" s="78">
        <v>45514</v>
      </c>
      <c r="Q116" s="81"/>
      <c r="R116" s="26" t="s">
        <v>812</v>
      </c>
      <c r="S116" s="21"/>
      <c r="T116" s="32" t="s">
        <v>309</v>
      </c>
      <c r="U116" s="21"/>
    </row>
    <row r="117" spans="1:21" ht="20.100000000000001" customHeight="1" x14ac:dyDescent="0.3">
      <c r="A117" s="44">
        <v>109</v>
      </c>
      <c r="B117" s="78">
        <v>45514</v>
      </c>
      <c r="C117" s="79"/>
      <c r="D117" s="80" t="s">
        <v>924</v>
      </c>
      <c r="E117" s="81"/>
      <c r="F117" s="82">
        <v>43</v>
      </c>
      <c r="G117" s="83" t="s">
        <v>51</v>
      </c>
      <c r="H117" s="82">
        <v>1000</v>
      </c>
      <c r="I117" s="27">
        <f t="shared" si="4"/>
        <v>43000</v>
      </c>
      <c r="J117" s="28"/>
      <c r="K117" s="29">
        <v>5250</v>
      </c>
      <c r="L117" s="30">
        <v>0.05</v>
      </c>
      <c r="M117" s="31">
        <f t="shared" si="5"/>
        <v>262.5</v>
      </c>
      <c r="N117" s="31">
        <f t="shared" si="6"/>
        <v>5512.5</v>
      </c>
      <c r="O117" s="25"/>
      <c r="P117" s="78">
        <v>45514</v>
      </c>
      <c r="Q117" s="81"/>
      <c r="R117" s="26" t="s">
        <v>812</v>
      </c>
      <c r="S117" s="21"/>
      <c r="T117" s="32" t="s">
        <v>309</v>
      </c>
      <c r="U117" s="21"/>
    </row>
    <row r="118" spans="1:21" ht="20.100000000000001" customHeight="1" x14ac:dyDescent="0.3">
      <c r="A118" s="44">
        <v>110</v>
      </c>
      <c r="B118" s="78">
        <v>45514</v>
      </c>
      <c r="C118" s="79"/>
      <c r="D118" s="80" t="s">
        <v>716</v>
      </c>
      <c r="E118" s="81"/>
      <c r="F118" s="82">
        <v>20</v>
      </c>
      <c r="G118" s="83" t="s">
        <v>56</v>
      </c>
      <c r="H118" s="82">
        <v>5</v>
      </c>
      <c r="I118" s="27">
        <f t="shared" si="4"/>
        <v>100</v>
      </c>
      <c r="J118" s="28"/>
      <c r="K118" s="29">
        <v>692</v>
      </c>
      <c r="L118" s="30"/>
      <c r="M118" s="31">
        <f t="shared" si="5"/>
        <v>0</v>
      </c>
      <c r="N118" s="31">
        <f t="shared" si="6"/>
        <v>692</v>
      </c>
      <c r="O118" s="25"/>
      <c r="P118" s="78">
        <v>45514</v>
      </c>
      <c r="Q118" s="81"/>
      <c r="R118" s="26" t="s">
        <v>813</v>
      </c>
      <c r="S118" s="21"/>
      <c r="T118" s="32" t="s">
        <v>671</v>
      </c>
      <c r="U118" s="21"/>
    </row>
    <row r="119" spans="1:21" ht="20.100000000000001" customHeight="1" x14ac:dyDescent="0.3">
      <c r="A119" s="44">
        <v>111</v>
      </c>
      <c r="B119" s="78">
        <v>45514</v>
      </c>
      <c r="C119" s="79"/>
      <c r="D119" s="80" t="s">
        <v>402</v>
      </c>
      <c r="E119" s="81"/>
      <c r="F119" s="82">
        <v>100</v>
      </c>
      <c r="G119" s="83" t="s">
        <v>18</v>
      </c>
      <c r="H119" s="82">
        <v>1</v>
      </c>
      <c r="I119" s="27">
        <f t="shared" si="4"/>
        <v>100</v>
      </c>
      <c r="J119" s="28"/>
      <c r="K119" s="91">
        <v>720</v>
      </c>
      <c r="L119" s="92"/>
      <c r="M119" s="31">
        <f t="shared" si="5"/>
        <v>0</v>
      </c>
      <c r="N119" s="31">
        <f t="shared" si="6"/>
        <v>720</v>
      </c>
      <c r="O119" s="25"/>
      <c r="P119" s="78">
        <v>45514</v>
      </c>
      <c r="Q119" s="81"/>
      <c r="R119" s="26" t="s">
        <v>814</v>
      </c>
      <c r="S119" s="21"/>
      <c r="T119" s="32" t="s">
        <v>404</v>
      </c>
      <c r="U119" s="21"/>
    </row>
    <row r="120" spans="1:21" ht="20.100000000000001" customHeight="1" x14ac:dyDescent="0.3">
      <c r="A120" s="44">
        <v>112</v>
      </c>
      <c r="B120" s="78">
        <v>45517</v>
      </c>
      <c r="C120" s="79"/>
      <c r="D120" s="80" t="s">
        <v>417</v>
      </c>
      <c r="E120" s="81"/>
      <c r="F120" s="82">
        <v>20</v>
      </c>
      <c r="G120" s="83" t="s">
        <v>18</v>
      </c>
      <c r="H120" s="82">
        <v>25</v>
      </c>
      <c r="I120" s="27">
        <f t="shared" si="4"/>
        <v>500</v>
      </c>
      <c r="J120" s="28"/>
      <c r="K120" s="91">
        <v>1775</v>
      </c>
      <c r="L120" s="92"/>
      <c r="M120" s="31">
        <f t="shared" si="5"/>
        <v>0</v>
      </c>
      <c r="N120" s="31">
        <f t="shared" si="6"/>
        <v>1775</v>
      </c>
      <c r="O120" s="25"/>
      <c r="P120" s="78">
        <v>45518</v>
      </c>
      <c r="Q120" s="81"/>
      <c r="R120" s="26" t="s">
        <v>815</v>
      </c>
      <c r="S120" s="21"/>
      <c r="T120" s="32" t="s">
        <v>609</v>
      </c>
      <c r="U120" s="21"/>
    </row>
    <row r="121" spans="1:21" ht="20.100000000000001" customHeight="1" x14ac:dyDescent="0.3">
      <c r="A121" s="44">
        <v>113</v>
      </c>
      <c r="B121" s="78">
        <v>45517</v>
      </c>
      <c r="C121" s="79"/>
      <c r="D121" s="80" t="s">
        <v>340</v>
      </c>
      <c r="E121" s="81"/>
      <c r="F121" s="82">
        <v>20</v>
      </c>
      <c r="G121" s="83" t="s">
        <v>18</v>
      </c>
      <c r="H121" s="82">
        <v>25</v>
      </c>
      <c r="I121" s="27">
        <f t="shared" ref="I121" si="7">F121*H121</f>
        <v>500</v>
      </c>
      <c r="J121" s="28"/>
      <c r="K121" s="29">
        <v>3200</v>
      </c>
      <c r="L121" s="30">
        <v>0.12</v>
      </c>
      <c r="M121" s="31">
        <f t="shared" si="5"/>
        <v>384</v>
      </c>
      <c r="N121" s="31">
        <f t="shared" si="6"/>
        <v>3584</v>
      </c>
      <c r="O121" s="25"/>
      <c r="P121" s="78">
        <v>45518</v>
      </c>
      <c r="Q121" s="81"/>
      <c r="R121" s="26" t="s">
        <v>816</v>
      </c>
      <c r="S121" s="21"/>
      <c r="T121" s="32" t="s">
        <v>678</v>
      </c>
      <c r="U121" s="21"/>
    </row>
    <row r="122" spans="1:21" ht="20.100000000000001" customHeight="1" x14ac:dyDescent="0.3">
      <c r="A122" s="44">
        <v>114</v>
      </c>
      <c r="B122" s="78">
        <v>45526</v>
      </c>
      <c r="C122" s="79"/>
      <c r="D122" s="80" t="s">
        <v>681</v>
      </c>
      <c r="E122" s="81"/>
      <c r="F122" s="82">
        <v>20</v>
      </c>
      <c r="G122" s="83" t="s">
        <v>18</v>
      </c>
      <c r="H122" s="82">
        <v>25</v>
      </c>
      <c r="I122" s="27">
        <f t="shared" si="4"/>
        <v>500</v>
      </c>
      <c r="J122" s="28"/>
      <c r="K122" s="29">
        <v>14250</v>
      </c>
      <c r="L122" s="30"/>
      <c r="M122" s="31">
        <f t="shared" si="5"/>
        <v>0</v>
      </c>
      <c r="N122" s="31">
        <f t="shared" si="6"/>
        <v>14250</v>
      </c>
      <c r="O122" s="25"/>
      <c r="P122" s="78">
        <v>45526</v>
      </c>
      <c r="Q122" s="81"/>
      <c r="R122" s="26" t="s">
        <v>817</v>
      </c>
      <c r="S122" s="21"/>
      <c r="T122" s="32" t="s">
        <v>680</v>
      </c>
      <c r="U122" s="21"/>
    </row>
    <row r="123" spans="1:21" ht="20.100000000000001" customHeight="1" x14ac:dyDescent="0.3">
      <c r="A123" s="44">
        <v>115</v>
      </c>
      <c r="B123" s="78">
        <v>45526</v>
      </c>
      <c r="C123" s="79"/>
      <c r="D123" s="80" t="s">
        <v>296</v>
      </c>
      <c r="E123" s="81"/>
      <c r="F123" s="82">
        <v>28</v>
      </c>
      <c r="G123" s="83" t="s">
        <v>18</v>
      </c>
      <c r="H123" s="82">
        <v>25</v>
      </c>
      <c r="I123" s="27">
        <f t="shared" si="4"/>
        <v>700</v>
      </c>
      <c r="J123" s="28"/>
      <c r="K123" s="29">
        <v>1750</v>
      </c>
      <c r="L123" s="30"/>
      <c r="M123" s="31">
        <f t="shared" si="5"/>
        <v>0</v>
      </c>
      <c r="N123" s="31">
        <f t="shared" si="6"/>
        <v>1750</v>
      </c>
      <c r="O123" s="25"/>
      <c r="P123" s="78">
        <v>45526</v>
      </c>
      <c r="Q123" s="81"/>
      <c r="R123" s="26" t="s">
        <v>818</v>
      </c>
      <c r="S123" s="21"/>
      <c r="T123" s="32" t="s">
        <v>609</v>
      </c>
      <c r="U123" s="21"/>
    </row>
    <row r="124" spans="1:21" ht="20.100000000000001" customHeight="1" x14ac:dyDescent="0.3">
      <c r="A124" s="44">
        <v>116</v>
      </c>
      <c r="B124" s="78">
        <v>45526</v>
      </c>
      <c r="C124" s="79"/>
      <c r="D124" s="80" t="s">
        <v>559</v>
      </c>
      <c r="E124" s="110" t="s">
        <v>717</v>
      </c>
      <c r="F124" s="82">
        <v>15</v>
      </c>
      <c r="G124" s="83" t="s">
        <v>18</v>
      </c>
      <c r="H124" s="82">
        <v>20</v>
      </c>
      <c r="I124" s="27">
        <f t="shared" si="4"/>
        <v>300</v>
      </c>
      <c r="J124" s="28"/>
      <c r="K124" s="29">
        <v>31000</v>
      </c>
      <c r="L124" s="30"/>
      <c r="M124" s="31">
        <f t="shared" si="5"/>
        <v>0</v>
      </c>
      <c r="N124" s="31">
        <f t="shared" si="6"/>
        <v>31000</v>
      </c>
      <c r="O124" s="25"/>
      <c r="P124" s="78">
        <v>45526</v>
      </c>
      <c r="Q124" s="81"/>
      <c r="R124" s="26" t="s">
        <v>819</v>
      </c>
      <c r="S124" s="21"/>
      <c r="T124" s="32" t="s">
        <v>702</v>
      </c>
      <c r="U124" s="21"/>
    </row>
    <row r="125" spans="1:21" ht="20.100000000000001" customHeight="1" x14ac:dyDescent="0.3">
      <c r="A125" s="44">
        <v>117</v>
      </c>
      <c r="B125" s="78">
        <v>45526</v>
      </c>
      <c r="C125" s="79"/>
      <c r="D125" s="80" t="s">
        <v>571</v>
      </c>
      <c r="E125" s="81"/>
      <c r="F125" s="82">
        <v>10</v>
      </c>
      <c r="G125" s="83" t="s">
        <v>18</v>
      </c>
      <c r="H125" s="82">
        <v>25</v>
      </c>
      <c r="I125" s="93">
        <f>F125*H125</f>
        <v>250</v>
      </c>
      <c r="J125" s="28"/>
      <c r="K125" s="29">
        <v>6050</v>
      </c>
      <c r="L125" s="30"/>
      <c r="M125" s="31">
        <f t="shared" si="5"/>
        <v>0</v>
      </c>
      <c r="N125" s="31">
        <f t="shared" si="6"/>
        <v>6050</v>
      </c>
      <c r="O125" s="25"/>
      <c r="P125" s="78">
        <v>45526</v>
      </c>
      <c r="Q125" s="81"/>
      <c r="R125" s="26" t="s">
        <v>820</v>
      </c>
      <c r="S125" s="21"/>
      <c r="T125" s="32" t="s">
        <v>349</v>
      </c>
      <c r="U125" s="21"/>
    </row>
    <row r="126" spans="1:21" ht="20.100000000000001" customHeight="1" x14ac:dyDescent="0.3">
      <c r="A126" s="44">
        <v>118</v>
      </c>
      <c r="B126" s="78">
        <v>45526</v>
      </c>
      <c r="C126" s="79"/>
      <c r="D126" s="80" t="s">
        <v>330</v>
      </c>
      <c r="E126" s="81"/>
      <c r="F126" s="82">
        <v>30</v>
      </c>
      <c r="G126" s="83" t="s">
        <v>18</v>
      </c>
      <c r="H126" s="82">
        <v>10</v>
      </c>
      <c r="I126" s="27">
        <f t="shared" si="4"/>
        <v>300</v>
      </c>
      <c r="J126" s="28"/>
      <c r="K126" s="29">
        <v>4000</v>
      </c>
      <c r="L126" s="30"/>
      <c r="M126" s="31">
        <f t="shared" si="5"/>
        <v>0</v>
      </c>
      <c r="N126" s="31">
        <f t="shared" si="6"/>
        <v>4000</v>
      </c>
      <c r="O126" s="25"/>
      <c r="P126" s="78">
        <v>45526</v>
      </c>
      <c r="Q126" s="81"/>
      <c r="R126" s="26" t="s">
        <v>821</v>
      </c>
      <c r="S126" s="21"/>
      <c r="T126" s="32" t="s">
        <v>332</v>
      </c>
      <c r="U126" s="21"/>
    </row>
    <row r="127" spans="1:21" ht="20.100000000000001" customHeight="1" x14ac:dyDescent="0.3">
      <c r="A127" s="44">
        <v>119</v>
      </c>
      <c r="B127" s="78">
        <v>45530</v>
      </c>
      <c r="C127" s="79"/>
      <c r="D127" s="80" t="s">
        <v>675</v>
      </c>
      <c r="E127" s="81"/>
      <c r="F127" s="82">
        <v>100</v>
      </c>
      <c r="G127" s="83" t="s">
        <v>18</v>
      </c>
      <c r="H127" s="82">
        <v>5</v>
      </c>
      <c r="I127" s="27">
        <f t="shared" si="4"/>
        <v>500</v>
      </c>
      <c r="J127" s="28"/>
      <c r="K127" s="29">
        <v>2150</v>
      </c>
      <c r="L127" s="30"/>
      <c r="M127" s="31">
        <f t="shared" si="5"/>
        <v>0</v>
      </c>
      <c r="N127" s="31">
        <f t="shared" si="6"/>
        <v>2150</v>
      </c>
      <c r="O127" s="25"/>
      <c r="P127" s="78">
        <v>45531</v>
      </c>
      <c r="Q127" s="81"/>
      <c r="R127" s="26" t="s">
        <v>822</v>
      </c>
      <c r="S127" s="21"/>
      <c r="T127" s="32" t="s">
        <v>660</v>
      </c>
      <c r="U127" s="21"/>
    </row>
    <row r="128" spans="1:21" ht="20.100000000000001" customHeight="1" x14ac:dyDescent="0.3">
      <c r="A128" s="44">
        <v>120</v>
      </c>
      <c r="B128" s="78">
        <v>45530</v>
      </c>
      <c r="C128" s="79"/>
      <c r="D128" s="80" t="s">
        <v>639</v>
      </c>
      <c r="E128" s="81"/>
      <c r="F128" s="82">
        <v>20</v>
      </c>
      <c r="G128" s="83" t="s">
        <v>18</v>
      </c>
      <c r="H128" s="82">
        <v>25</v>
      </c>
      <c r="I128" s="27">
        <f t="shared" si="4"/>
        <v>500</v>
      </c>
      <c r="J128" s="28"/>
      <c r="K128" s="29">
        <v>4850</v>
      </c>
      <c r="L128" s="30"/>
      <c r="M128" s="31">
        <f t="shared" si="5"/>
        <v>0</v>
      </c>
      <c r="N128" s="31">
        <f t="shared" si="6"/>
        <v>4850</v>
      </c>
      <c r="O128" s="25"/>
      <c r="P128" s="78">
        <v>45531</v>
      </c>
      <c r="Q128" s="81"/>
      <c r="R128" s="26" t="s">
        <v>823</v>
      </c>
      <c r="S128" s="21"/>
      <c r="T128" s="32" t="s">
        <v>609</v>
      </c>
      <c r="U128" s="21"/>
    </row>
    <row r="129" spans="1:21" ht="20.100000000000001" customHeight="1" x14ac:dyDescent="0.3">
      <c r="A129" s="44">
        <v>121</v>
      </c>
      <c r="B129" s="78">
        <v>45530</v>
      </c>
      <c r="C129" s="79"/>
      <c r="D129" s="80" t="s">
        <v>327</v>
      </c>
      <c r="E129" s="81"/>
      <c r="F129" s="82">
        <v>500</v>
      </c>
      <c r="G129" s="83" t="s">
        <v>18</v>
      </c>
      <c r="H129" s="82">
        <v>1</v>
      </c>
      <c r="I129" s="27">
        <f t="shared" si="4"/>
        <v>500</v>
      </c>
      <c r="J129" s="28"/>
      <c r="K129" s="29">
        <v>400</v>
      </c>
      <c r="L129" s="30"/>
      <c r="M129" s="31">
        <f t="shared" si="5"/>
        <v>0</v>
      </c>
      <c r="N129" s="31">
        <f t="shared" si="6"/>
        <v>400</v>
      </c>
      <c r="O129" s="25"/>
      <c r="P129" s="78">
        <v>45531</v>
      </c>
      <c r="Q129" s="81"/>
      <c r="R129" s="26" t="s">
        <v>824</v>
      </c>
      <c r="S129" s="21"/>
      <c r="T129" s="32" t="s">
        <v>713</v>
      </c>
      <c r="U129" s="21"/>
    </row>
    <row r="130" spans="1:21" ht="20.100000000000001" customHeight="1" x14ac:dyDescent="0.3">
      <c r="A130" s="44">
        <v>122</v>
      </c>
      <c r="B130" s="78">
        <v>45533</v>
      </c>
      <c r="C130" s="79"/>
      <c r="D130" s="80" t="s">
        <v>718</v>
      </c>
      <c r="E130" s="81"/>
      <c r="F130" s="82">
        <v>46</v>
      </c>
      <c r="G130" s="83" t="s">
        <v>51</v>
      </c>
      <c r="H130" s="82">
        <v>1000</v>
      </c>
      <c r="I130" s="27">
        <f t="shared" si="4"/>
        <v>46000</v>
      </c>
      <c r="J130" s="28"/>
      <c r="K130" s="29">
        <v>1230</v>
      </c>
      <c r="L130" s="30">
        <v>0.05</v>
      </c>
      <c r="M130" s="31">
        <f t="shared" si="5"/>
        <v>61.5</v>
      </c>
      <c r="N130" s="31">
        <f t="shared" si="6"/>
        <v>1291.5</v>
      </c>
      <c r="O130" s="25"/>
      <c r="P130" s="78">
        <v>45533</v>
      </c>
      <c r="Q130" s="81"/>
      <c r="R130" s="26" t="s">
        <v>825</v>
      </c>
      <c r="S130" s="94"/>
      <c r="T130" s="95" t="s">
        <v>609</v>
      </c>
      <c r="U130" s="21"/>
    </row>
    <row r="131" spans="1:21" ht="20.100000000000001" customHeight="1" x14ac:dyDescent="0.3">
      <c r="A131" s="44">
        <v>123</v>
      </c>
      <c r="B131" s="78">
        <v>45537</v>
      </c>
      <c r="C131" s="79"/>
      <c r="D131" s="80" t="s">
        <v>711</v>
      </c>
      <c r="E131" s="81"/>
      <c r="F131" s="82">
        <v>12</v>
      </c>
      <c r="G131" s="83" t="s">
        <v>18</v>
      </c>
      <c r="H131" s="82">
        <v>25</v>
      </c>
      <c r="I131" s="27">
        <f t="shared" si="4"/>
        <v>300</v>
      </c>
      <c r="J131" s="28"/>
      <c r="K131" s="29">
        <v>12500</v>
      </c>
      <c r="L131" s="30"/>
      <c r="M131" s="31">
        <f t="shared" si="5"/>
        <v>0</v>
      </c>
      <c r="N131" s="31">
        <f t="shared" si="6"/>
        <v>12500</v>
      </c>
      <c r="O131" s="25"/>
      <c r="P131" s="78">
        <v>45537</v>
      </c>
      <c r="Q131" s="81"/>
      <c r="R131" s="26" t="s">
        <v>826</v>
      </c>
      <c r="S131" s="21"/>
      <c r="T131" s="32" t="s">
        <v>349</v>
      </c>
      <c r="U131" s="21"/>
    </row>
    <row r="132" spans="1:21" ht="20.100000000000001" customHeight="1" x14ac:dyDescent="0.3">
      <c r="A132" s="44">
        <v>124</v>
      </c>
      <c r="B132" s="112" t="s">
        <v>719</v>
      </c>
      <c r="C132" s="79"/>
      <c r="D132" s="80" t="s">
        <v>720</v>
      </c>
      <c r="E132" s="81"/>
      <c r="F132" s="82">
        <v>20</v>
      </c>
      <c r="G132" s="83" t="s">
        <v>18</v>
      </c>
      <c r="H132" s="82">
        <v>25</v>
      </c>
      <c r="I132" s="27">
        <f t="shared" si="4"/>
        <v>500</v>
      </c>
      <c r="J132" s="28"/>
      <c r="K132" s="29">
        <v>6250</v>
      </c>
      <c r="L132" s="30"/>
      <c r="M132" s="31">
        <f t="shared" si="5"/>
        <v>0</v>
      </c>
      <c r="N132" s="31">
        <f t="shared" si="6"/>
        <v>6250</v>
      </c>
      <c r="O132" s="25"/>
      <c r="P132" s="78">
        <v>45551</v>
      </c>
      <c r="Q132" s="81"/>
      <c r="R132" s="26" t="s">
        <v>827</v>
      </c>
      <c r="S132" s="21"/>
      <c r="T132" s="32" t="s">
        <v>74</v>
      </c>
      <c r="U132" s="21"/>
    </row>
    <row r="133" spans="1:21" ht="20.100000000000001" customHeight="1" x14ac:dyDescent="0.3">
      <c r="A133" s="44">
        <v>125</v>
      </c>
      <c r="B133" s="65">
        <v>45537</v>
      </c>
      <c r="C133" s="79"/>
      <c r="D133" s="80" t="s">
        <v>668</v>
      </c>
      <c r="E133" s="81"/>
      <c r="F133" s="82">
        <v>60</v>
      </c>
      <c r="G133" s="83" t="s">
        <v>18</v>
      </c>
      <c r="H133" s="82">
        <v>25</v>
      </c>
      <c r="I133" s="27">
        <f t="shared" si="4"/>
        <v>1500</v>
      </c>
      <c r="J133" s="28"/>
      <c r="K133" s="29">
        <v>14500</v>
      </c>
      <c r="L133" s="30"/>
      <c r="M133" s="31">
        <f t="shared" si="5"/>
        <v>0</v>
      </c>
      <c r="N133" s="31">
        <f t="shared" si="6"/>
        <v>14500</v>
      </c>
      <c r="O133" s="25"/>
      <c r="P133" s="78">
        <v>45551</v>
      </c>
      <c r="Q133" s="81"/>
      <c r="R133" s="26" t="s">
        <v>828</v>
      </c>
      <c r="S133" s="21"/>
      <c r="T133" s="32" t="s">
        <v>669</v>
      </c>
      <c r="U133" s="21"/>
    </row>
    <row r="134" spans="1:21" ht="20.100000000000001" customHeight="1" x14ac:dyDescent="0.3">
      <c r="A134" s="44">
        <v>126</v>
      </c>
      <c r="B134" s="78">
        <v>45551</v>
      </c>
      <c r="C134" s="79"/>
      <c r="D134" s="80" t="s">
        <v>417</v>
      </c>
      <c r="E134" s="81"/>
      <c r="F134" s="82">
        <v>30</v>
      </c>
      <c r="G134" s="83" t="s">
        <v>18</v>
      </c>
      <c r="H134" s="82">
        <v>25</v>
      </c>
      <c r="I134" s="27">
        <f t="shared" si="4"/>
        <v>750</v>
      </c>
      <c r="J134" s="28"/>
      <c r="K134" s="29">
        <v>1775</v>
      </c>
      <c r="L134" s="30"/>
      <c r="M134" s="31">
        <f t="shared" si="5"/>
        <v>0</v>
      </c>
      <c r="N134" s="31">
        <f t="shared" si="6"/>
        <v>1775</v>
      </c>
      <c r="O134" s="25"/>
      <c r="P134" s="78">
        <v>45551</v>
      </c>
      <c r="Q134" s="81"/>
      <c r="R134" s="26" t="s">
        <v>829</v>
      </c>
      <c r="S134" s="21"/>
      <c r="T134" s="32" t="s">
        <v>609</v>
      </c>
      <c r="U134" s="21"/>
    </row>
    <row r="135" spans="1:21" ht="20.100000000000001" customHeight="1" x14ac:dyDescent="0.3">
      <c r="A135" s="44">
        <v>127</v>
      </c>
      <c r="B135" s="78">
        <v>45551</v>
      </c>
      <c r="C135" s="79"/>
      <c r="D135" s="80" t="s">
        <v>340</v>
      </c>
      <c r="E135" s="81"/>
      <c r="F135" s="82">
        <v>20</v>
      </c>
      <c r="G135" s="83" t="s">
        <v>18</v>
      </c>
      <c r="H135" s="82">
        <v>25</v>
      </c>
      <c r="I135" s="27">
        <f t="shared" si="4"/>
        <v>500</v>
      </c>
      <c r="J135" s="28"/>
      <c r="K135" s="29">
        <v>3200</v>
      </c>
      <c r="L135" s="30">
        <v>0.12</v>
      </c>
      <c r="M135" s="31">
        <f t="shared" si="5"/>
        <v>384</v>
      </c>
      <c r="N135" s="31">
        <f t="shared" si="6"/>
        <v>3584</v>
      </c>
      <c r="O135" s="25"/>
      <c r="P135" s="78">
        <v>45551</v>
      </c>
      <c r="Q135" s="81"/>
      <c r="R135" s="26" t="s">
        <v>830</v>
      </c>
      <c r="S135" s="21"/>
      <c r="T135" s="32" t="s">
        <v>678</v>
      </c>
      <c r="U135" s="21"/>
    </row>
    <row r="136" spans="1:21" ht="20.100000000000001" customHeight="1" x14ac:dyDescent="0.3">
      <c r="A136" s="44">
        <v>128</v>
      </c>
      <c r="B136" s="78">
        <v>45554</v>
      </c>
      <c r="C136" s="79"/>
      <c r="D136" s="80" t="s">
        <v>574</v>
      </c>
      <c r="E136" s="81"/>
      <c r="F136" s="82">
        <v>20</v>
      </c>
      <c r="G136" s="83" t="s">
        <v>56</v>
      </c>
      <c r="H136" s="82">
        <v>5</v>
      </c>
      <c r="I136" s="27">
        <f t="shared" si="4"/>
        <v>100</v>
      </c>
      <c r="J136" s="28"/>
      <c r="K136" s="29">
        <v>3273</v>
      </c>
      <c r="L136" s="30">
        <v>0.18</v>
      </c>
      <c r="M136" s="31">
        <f t="shared" si="5"/>
        <v>589.14</v>
      </c>
      <c r="N136" s="31">
        <f t="shared" si="6"/>
        <v>3862.14</v>
      </c>
      <c r="O136" s="25"/>
      <c r="P136" s="78">
        <v>45554</v>
      </c>
      <c r="Q136" s="81"/>
      <c r="R136" s="26" t="s">
        <v>831</v>
      </c>
      <c r="S136" s="21"/>
      <c r="T136" s="32" t="s">
        <v>315</v>
      </c>
      <c r="U136" s="21"/>
    </row>
    <row r="137" spans="1:21" ht="20.100000000000001" customHeight="1" x14ac:dyDescent="0.3">
      <c r="A137" s="44">
        <v>129</v>
      </c>
      <c r="B137" s="78">
        <v>45554</v>
      </c>
      <c r="C137" s="79"/>
      <c r="D137" s="80" t="s">
        <v>507</v>
      </c>
      <c r="E137" s="81"/>
      <c r="F137" s="82">
        <v>20</v>
      </c>
      <c r="G137" s="83" t="s">
        <v>56</v>
      </c>
      <c r="H137" s="82">
        <v>5</v>
      </c>
      <c r="I137" s="27">
        <f t="shared" ref="I137:I200" si="8">F137*H137</f>
        <v>100</v>
      </c>
      <c r="J137" s="28"/>
      <c r="K137" s="29">
        <v>1172</v>
      </c>
      <c r="L137" s="30">
        <v>0.18</v>
      </c>
      <c r="M137" s="31">
        <f t="shared" ref="M137:M200" si="9">K137*L137</f>
        <v>210.95999999999998</v>
      </c>
      <c r="N137" s="31">
        <f t="shared" ref="N137:N200" si="10">K137+M137</f>
        <v>1382.96</v>
      </c>
      <c r="O137" s="25"/>
      <c r="P137" s="78">
        <v>45554</v>
      </c>
      <c r="Q137" s="81"/>
      <c r="R137" s="26" t="s">
        <v>831</v>
      </c>
      <c r="S137" s="21"/>
      <c r="T137" s="32" t="s">
        <v>315</v>
      </c>
      <c r="U137" s="21"/>
    </row>
    <row r="138" spans="1:21" ht="20.100000000000001" customHeight="1" x14ac:dyDescent="0.3">
      <c r="A138" s="44">
        <v>130</v>
      </c>
      <c r="B138" s="78">
        <v>45554</v>
      </c>
      <c r="C138" s="79"/>
      <c r="D138" s="80" t="s">
        <v>721</v>
      </c>
      <c r="E138" s="81"/>
      <c r="F138" s="82">
        <v>40</v>
      </c>
      <c r="G138" s="83" t="s">
        <v>56</v>
      </c>
      <c r="H138" s="82">
        <v>5</v>
      </c>
      <c r="I138" s="27">
        <f t="shared" si="8"/>
        <v>200</v>
      </c>
      <c r="J138" s="28"/>
      <c r="K138" s="29">
        <v>720.98</v>
      </c>
      <c r="L138" s="30">
        <v>0.18</v>
      </c>
      <c r="M138" s="31">
        <f t="shared" si="9"/>
        <v>129.7764</v>
      </c>
      <c r="N138" s="31">
        <f t="shared" si="10"/>
        <v>850.75639999999999</v>
      </c>
      <c r="O138" s="25"/>
      <c r="P138" s="78">
        <v>45554</v>
      </c>
      <c r="Q138" s="81"/>
      <c r="R138" s="26" t="s">
        <v>832</v>
      </c>
      <c r="S138" s="21"/>
      <c r="T138" s="32" t="s">
        <v>683</v>
      </c>
      <c r="U138" s="21"/>
    </row>
    <row r="139" spans="1:21" ht="20.100000000000001" customHeight="1" x14ac:dyDescent="0.3">
      <c r="A139" s="44">
        <v>131</v>
      </c>
      <c r="B139" s="78">
        <v>45554</v>
      </c>
      <c r="C139" s="79"/>
      <c r="D139" s="80" t="s">
        <v>726</v>
      </c>
      <c r="E139" s="81"/>
      <c r="F139" s="82">
        <v>160</v>
      </c>
      <c r="G139" s="83" t="s">
        <v>66</v>
      </c>
      <c r="H139" s="82">
        <v>500</v>
      </c>
      <c r="I139" s="27">
        <f t="shared" si="8"/>
        <v>80000</v>
      </c>
      <c r="J139" s="28"/>
      <c r="K139" s="29">
        <v>317.79599999999999</v>
      </c>
      <c r="L139" s="30">
        <v>0.18</v>
      </c>
      <c r="M139" s="31">
        <f t="shared" si="9"/>
        <v>57.203279999999999</v>
      </c>
      <c r="N139" s="31">
        <f t="shared" si="10"/>
        <v>374.99928</v>
      </c>
      <c r="O139" s="25"/>
      <c r="P139" s="78">
        <v>45554</v>
      </c>
      <c r="Q139" s="81"/>
      <c r="R139" s="26" t="s">
        <v>832</v>
      </c>
      <c r="S139" s="21"/>
      <c r="T139" s="32" t="s">
        <v>683</v>
      </c>
      <c r="U139" s="21"/>
    </row>
    <row r="140" spans="1:21" ht="20.100000000000001" customHeight="1" x14ac:dyDescent="0.3">
      <c r="A140" s="44">
        <v>132</v>
      </c>
      <c r="B140" s="78">
        <v>45554</v>
      </c>
      <c r="C140" s="79"/>
      <c r="D140" s="80" t="s">
        <v>722</v>
      </c>
      <c r="E140" s="81"/>
      <c r="F140" s="82">
        <v>20</v>
      </c>
      <c r="G140" s="83" t="s">
        <v>56</v>
      </c>
      <c r="H140" s="82">
        <v>5</v>
      </c>
      <c r="I140" s="27">
        <f t="shared" si="8"/>
        <v>100</v>
      </c>
      <c r="J140" s="28"/>
      <c r="K140" s="29">
        <v>3270.96</v>
      </c>
      <c r="L140" s="30">
        <v>0.18</v>
      </c>
      <c r="M140" s="31">
        <f t="shared" si="9"/>
        <v>588.77279999999996</v>
      </c>
      <c r="N140" s="31">
        <f t="shared" si="10"/>
        <v>3859.7327999999998</v>
      </c>
      <c r="O140" s="25"/>
      <c r="P140" s="78">
        <v>45554</v>
      </c>
      <c r="Q140" s="81"/>
      <c r="R140" s="26" t="s">
        <v>832</v>
      </c>
      <c r="S140" s="21"/>
      <c r="T140" s="32" t="s">
        <v>683</v>
      </c>
      <c r="U140" s="21"/>
    </row>
    <row r="141" spans="1:21" ht="20.100000000000001" customHeight="1" x14ac:dyDescent="0.3">
      <c r="A141" s="44">
        <v>133</v>
      </c>
      <c r="B141" s="78">
        <v>45554</v>
      </c>
      <c r="C141" s="79"/>
      <c r="D141" s="80" t="s">
        <v>509</v>
      </c>
      <c r="E141" s="81"/>
      <c r="F141" s="82">
        <v>96</v>
      </c>
      <c r="G141" s="83" t="s">
        <v>56</v>
      </c>
      <c r="H141" s="82">
        <v>1</v>
      </c>
      <c r="I141" s="27">
        <f t="shared" si="8"/>
        <v>96</v>
      </c>
      <c r="J141" s="28"/>
      <c r="K141" s="29">
        <v>580</v>
      </c>
      <c r="L141" s="30"/>
      <c r="M141" s="31">
        <f t="shared" si="9"/>
        <v>0</v>
      </c>
      <c r="N141" s="31">
        <f t="shared" si="10"/>
        <v>580</v>
      </c>
      <c r="O141" s="25"/>
      <c r="P141" s="78">
        <v>45554</v>
      </c>
      <c r="Q141" s="81"/>
      <c r="R141" s="26" t="s">
        <v>833</v>
      </c>
      <c r="S141" s="21"/>
      <c r="T141" s="32" t="s">
        <v>609</v>
      </c>
      <c r="U141" s="21"/>
    </row>
    <row r="142" spans="1:21" ht="20.100000000000001" customHeight="1" x14ac:dyDescent="0.3">
      <c r="A142" s="44">
        <v>134</v>
      </c>
      <c r="B142" s="78">
        <v>45554</v>
      </c>
      <c r="C142" s="79"/>
      <c r="D142" s="80" t="s">
        <v>723</v>
      </c>
      <c r="E142" s="81"/>
      <c r="F142" s="82">
        <v>400</v>
      </c>
      <c r="G142" s="83" t="s">
        <v>230</v>
      </c>
      <c r="H142" s="82">
        <v>50</v>
      </c>
      <c r="I142" s="27">
        <f t="shared" si="8"/>
        <v>20000</v>
      </c>
      <c r="J142" s="28"/>
      <c r="K142" s="29">
        <v>116</v>
      </c>
      <c r="L142" s="30">
        <v>0.12</v>
      </c>
      <c r="M142" s="31">
        <f t="shared" si="9"/>
        <v>13.92</v>
      </c>
      <c r="N142" s="31">
        <f t="shared" si="10"/>
        <v>129.91999999999999</v>
      </c>
      <c r="O142" s="25"/>
      <c r="P142" s="78">
        <v>45554</v>
      </c>
      <c r="Q142" s="81"/>
      <c r="R142" s="26" t="s">
        <v>833</v>
      </c>
      <c r="S142" s="21"/>
      <c r="T142" s="32" t="s">
        <v>609</v>
      </c>
      <c r="U142" s="21"/>
    </row>
    <row r="143" spans="1:21" ht="20.100000000000001" customHeight="1" x14ac:dyDescent="0.3">
      <c r="A143" s="44">
        <v>135</v>
      </c>
      <c r="B143" s="78">
        <v>45554</v>
      </c>
      <c r="C143" s="79"/>
      <c r="D143" s="80" t="s">
        <v>695</v>
      </c>
      <c r="E143" s="81"/>
      <c r="F143" s="82">
        <v>38</v>
      </c>
      <c r="G143" s="83" t="s">
        <v>51</v>
      </c>
      <c r="H143" s="82">
        <v>1000</v>
      </c>
      <c r="I143" s="27">
        <f t="shared" si="8"/>
        <v>38000</v>
      </c>
      <c r="J143" s="28"/>
      <c r="K143" s="29">
        <v>945.02</v>
      </c>
      <c r="L143" s="30">
        <v>0.05</v>
      </c>
      <c r="M143" s="31">
        <f t="shared" si="9"/>
        <v>47.251000000000005</v>
      </c>
      <c r="N143" s="31">
        <f t="shared" si="10"/>
        <v>992.27099999999996</v>
      </c>
      <c r="O143" s="25"/>
      <c r="P143" s="78">
        <v>45554</v>
      </c>
      <c r="Q143" s="81"/>
      <c r="R143" s="26" t="s">
        <v>834</v>
      </c>
      <c r="S143" s="21"/>
      <c r="T143" s="32" t="s">
        <v>124</v>
      </c>
      <c r="U143" s="21"/>
    </row>
    <row r="144" spans="1:21" ht="20.100000000000001" customHeight="1" x14ac:dyDescent="0.3">
      <c r="A144" s="44">
        <v>136</v>
      </c>
      <c r="B144" s="78">
        <v>45554</v>
      </c>
      <c r="C144" s="79"/>
      <c r="D144" s="80" t="s">
        <v>716</v>
      </c>
      <c r="E144" s="81"/>
      <c r="F144" s="82">
        <v>20</v>
      </c>
      <c r="G144" s="83" t="s">
        <v>56</v>
      </c>
      <c r="H144" s="82">
        <v>5</v>
      </c>
      <c r="I144" s="27">
        <f t="shared" si="8"/>
        <v>100</v>
      </c>
      <c r="J144" s="28"/>
      <c r="K144" s="29">
        <v>692</v>
      </c>
      <c r="L144" s="30"/>
      <c r="M144" s="31">
        <f t="shared" si="9"/>
        <v>0</v>
      </c>
      <c r="N144" s="31">
        <f t="shared" si="10"/>
        <v>692</v>
      </c>
      <c r="O144" s="25"/>
      <c r="P144" s="78">
        <v>45554</v>
      </c>
      <c r="Q144" s="81"/>
      <c r="R144" s="26" t="s">
        <v>835</v>
      </c>
      <c r="S144" s="21"/>
      <c r="T144" s="32" t="s">
        <v>671</v>
      </c>
      <c r="U144" s="21"/>
    </row>
    <row r="145" spans="1:21" ht="20.100000000000001" customHeight="1" x14ac:dyDescent="0.3">
      <c r="A145" s="44">
        <v>137</v>
      </c>
      <c r="B145" s="78">
        <v>45555</v>
      </c>
      <c r="C145" s="79"/>
      <c r="D145" s="80" t="s">
        <v>690</v>
      </c>
      <c r="E145" s="81"/>
      <c r="F145" s="82">
        <v>32</v>
      </c>
      <c r="G145" s="83" t="s">
        <v>66</v>
      </c>
      <c r="H145" s="82">
        <v>400</v>
      </c>
      <c r="I145" s="27">
        <f t="shared" si="8"/>
        <v>12800</v>
      </c>
      <c r="J145" s="28"/>
      <c r="K145" s="29">
        <v>8550</v>
      </c>
      <c r="L145" s="30">
        <v>0.12</v>
      </c>
      <c r="M145" s="31">
        <f t="shared" si="9"/>
        <v>1026</v>
      </c>
      <c r="N145" s="31">
        <f t="shared" si="10"/>
        <v>9576</v>
      </c>
      <c r="O145" s="25"/>
      <c r="P145" s="78">
        <v>45555</v>
      </c>
      <c r="Q145" s="81"/>
      <c r="R145" s="26" t="s">
        <v>836</v>
      </c>
      <c r="S145" s="21"/>
      <c r="T145" s="32" t="s">
        <v>691</v>
      </c>
      <c r="U145" s="21"/>
    </row>
    <row r="146" spans="1:21" ht="20.100000000000001" customHeight="1" x14ac:dyDescent="0.3">
      <c r="A146" s="44">
        <v>138</v>
      </c>
      <c r="B146" s="78">
        <v>45555</v>
      </c>
      <c r="C146" s="79"/>
      <c r="D146" s="24" t="s">
        <v>500</v>
      </c>
      <c r="E146" s="81"/>
      <c r="F146" s="82">
        <v>12</v>
      </c>
      <c r="G146" s="83" t="s">
        <v>18</v>
      </c>
      <c r="H146" s="82">
        <v>25</v>
      </c>
      <c r="I146" s="27">
        <f t="shared" si="8"/>
        <v>300</v>
      </c>
      <c r="J146" s="28"/>
      <c r="K146" s="29">
        <v>6000</v>
      </c>
      <c r="L146" s="30"/>
      <c r="M146" s="31">
        <f t="shared" si="9"/>
        <v>0</v>
      </c>
      <c r="N146" s="31">
        <f t="shared" si="10"/>
        <v>6000</v>
      </c>
      <c r="O146" s="25"/>
      <c r="P146" s="78">
        <v>45555</v>
      </c>
      <c r="Q146" s="81"/>
      <c r="R146" s="26" t="s">
        <v>837</v>
      </c>
      <c r="S146" s="21"/>
      <c r="T146" s="32" t="s">
        <v>609</v>
      </c>
      <c r="U146" s="21"/>
    </row>
    <row r="147" spans="1:21" ht="20.100000000000001" customHeight="1" x14ac:dyDescent="0.3">
      <c r="A147" s="44">
        <v>139</v>
      </c>
      <c r="B147" s="78">
        <v>45555</v>
      </c>
      <c r="C147" s="79"/>
      <c r="D147" s="80" t="s">
        <v>667</v>
      </c>
      <c r="E147" s="81"/>
      <c r="F147" s="82">
        <v>1500</v>
      </c>
      <c r="G147" s="83" t="s">
        <v>66</v>
      </c>
      <c r="H147" s="82">
        <v>200</v>
      </c>
      <c r="I147" s="27">
        <f t="shared" si="8"/>
        <v>300000</v>
      </c>
      <c r="J147" s="28"/>
      <c r="K147" s="29">
        <v>190</v>
      </c>
      <c r="L147" s="30"/>
      <c r="M147" s="31">
        <f t="shared" si="9"/>
        <v>0</v>
      </c>
      <c r="N147" s="31">
        <f t="shared" si="10"/>
        <v>190</v>
      </c>
      <c r="O147" s="25"/>
      <c r="P147" s="78">
        <v>45555</v>
      </c>
      <c r="Q147" s="81"/>
      <c r="R147" s="26" t="s">
        <v>837</v>
      </c>
      <c r="S147" s="21"/>
      <c r="T147" s="32" t="s">
        <v>609</v>
      </c>
      <c r="U147" s="21"/>
    </row>
    <row r="148" spans="1:21" ht="20.100000000000001" customHeight="1" x14ac:dyDescent="0.3">
      <c r="A148" s="44">
        <v>140</v>
      </c>
      <c r="B148" s="78">
        <v>45555</v>
      </c>
      <c r="C148" s="79"/>
      <c r="D148" s="80" t="s">
        <v>724</v>
      </c>
      <c r="E148" s="81"/>
      <c r="F148" s="82">
        <v>16</v>
      </c>
      <c r="G148" s="83" t="s">
        <v>18</v>
      </c>
      <c r="H148" s="82">
        <v>25</v>
      </c>
      <c r="I148" s="27">
        <f t="shared" si="8"/>
        <v>400</v>
      </c>
      <c r="J148" s="28"/>
      <c r="K148" s="29">
        <v>49750</v>
      </c>
      <c r="L148" s="30"/>
      <c r="M148" s="31">
        <f t="shared" si="9"/>
        <v>0</v>
      </c>
      <c r="N148" s="31">
        <f t="shared" si="10"/>
        <v>49750</v>
      </c>
      <c r="O148" s="25"/>
      <c r="P148" s="78">
        <v>45555</v>
      </c>
      <c r="Q148" s="81"/>
      <c r="R148" s="26" t="s">
        <v>838</v>
      </c>
      <c r="S148" s="21"/>
      <c r="T148" s="32" t="s">
        <v>669</v>
      </c>
      <c r="U148" s="21"/>
    </row>
    <row r="149" spans="1:21" ht="20.100000000000001" customHeight="1" x14ac:dyDescent="0.3">
      <c r="A149" s="44">
        <v>141</v>
      </c>
      <c r="B149" s="78">
        <v>45555</v>
      </c>
      <c r="C149" s="79"/>
      <c r="D149" s="80" t="s">
        <v>725</v>
      </c>
      <c r="E149" s="81"/>
      <c r="F149" s="82">
        <v>50</v>
      </c>
      <c r="G149" s="83" t="s">
        <v>18</v>
      </c>
      <c r="H149" s="82">
        <v>20</v>
      </c>
      <c r="I149" s="27">
        <f t="shared" si="8"/>
        <v>1000</v>
      </c>
      <c r="J149" s="28"/>
      <c r="K149" s="29">
        <v>1800</v>
      </c>
      <c r="L149" s="30"/>
      <c r="M149" s="31">
        <f t="shared" si="9"/>
        <v>0</v>
      </c>
      <c r="N149" s="31">
        <f t="shared" si="10"/>
        <v>1800</v>
      </c>
      <c r="O149" s="25"/>
      <c r="P149" s="78">
        <v>45555</v>
      </c>
      <c r="Q149" s="81"/>
      <c r="R149" s="26" t="s">
        <v>839</v>
      </c>
      <c r="S149" s="21"/>
      <c r="T149" s="32" t="s">
        <v>421</v>
      </c>
      <c r="U149" s="21"/>
    </row>
    <row r="150" spans="1:21" ht="20.100000000000001" customHeight="1" x14ac:dyDescent="0.3">
      <c r="A150" s="44">
        <v>142</v>
      </c>
      <c r="B150" s="78" t="s">
        <v>189</v>
      </c>
      <c r="C150" s="79"/>
      <c r="D150" s="24" t="s">
        <v>727</v>
      </c>
      <c r="E150" s="11"/>
      <c r="F150" s="26">
        <v>50</v>
      </c>
      <c r="G150" s="62" t="s">
        <v>18</v>
      </c>
      <c r="H150" s="26">
        <v>10</v>
      </c>
      <c r="I150" s="27">
        <f t="shared" si="8"/>
        <v>500</v>
      </c>
      <c r="J150" s="28"/>
      <c r="K150" s="29">
        <v>4600</v>
      </c>
      <c r="L150" s="30"/>
      <c r="M150" s="31">
        <f t="shared" si="9"/>
        <v>0</v>
      </c>
      <c r="N150" s="31">
        <f t="shared" si="10"/>
        <v>4600</v>
      </c>
      <c r="O150" s="25"/>
      <c r="P150" s="68" t="s">
        <v>344</v>
      </c>
      <c r="Q150" s="81"/>
      <c r="R150" s="26" t="s">
        <v>840</v>
      </c>
      <c r="S150" s="21"/>
      <c r="T150" s="32" t="s">
        <v>728</v>
      </c>
      <c r="U150" s="21"/>
    </row>
    <row r="151" spans="1:21" ht="20.100000000000001" customHeight="1" x14ac:dyDescent="0.3">
      <c r="A151" s="44">
        <v>143</v>
      </c>
      <c r="B151" s="111">
        <v>45528</v>
      </c>
      <c r="C151" s="79"/>
      <c r="D151" s="80" t="s">
        <v>863</v>
      </c>
      <c r="E151" s="81"/>
      <c r="F151" s="82">
        <v>1</v>
      </c>
      <c r="G151" s="83" t="s">
        <v>18</v>
      </c>
      <c r="H151" s="82">
        <v>14</v>
      </c>
      <c r="I151" s="27">
        <f t="shared" si="8"/>
        <v>14</v>
      </c>
      <c r="J151" s="28"/>
      <c r="K151" s="29">
        <v>319000</v>
      </c>
      <c r="L151" s="30">
        <v>0.12</v>
      </c>
      <c r="M151" s="31">
        <f t="shared" si="9"/>
        <v>38280</v>
      </c>
      <c r="N151" s="31">
        <f t="shared" si="10"/>
        <v>357280</v>
      </c>
      <c r="O151" s="25"/>
      <c r="P151" s="78">
        <v>45563</v>
      </c>
      <c r="Q151" s="81"/>
      <c r="R151" s="26" t="s">
        <v>841</v>
      </c>
      <c r="S151" s="21"/>
      <c r="T151" s="32" t="s">
        <v>609</v>
      </c>
      <c r="U151" s="21"/>
    </row>
    <row r="152" spans="1:21" ht="20.100000000000001" customHeight="1" x14ac:dyDescent="0.3">
      <c r="A152" s="44">
        <v>144</v>
      </c>
      <c r="B152" s="78">
        <v>45565</v>
      </c>
      <c r="C152" s="79"/>
      <c r="D152" s="80" t="s">
        <v>720</v>
      </c>
      <c r="E152" s="81"/>
      <c r="F152" s="82">
        <v>20</v>
      </c>
      <c r="G152" s="83" t="s">
        <v>18</v>
      </c>
      <c r="H152" s="82">
        <v>25</v>
      </c>
      <c r="I152" s="27">
        <f t="shared" si="8"/>
        <v>500</v>
      </c>
      <c r="J152" s="28"/>
      <c r="K152" s="29">
        <v>6250</v>
      </c>
      <c r="L152" s="30"/>
      <c r="M152" s="31">
        <f t="shared" si="9"/>
        <v>0</v>
      </c>
      <c r="N152" s="31">
        <f t="shared" si="10"/>
        <v>6250</v>
      </c>
      <c r="O152" s="25"/>
      <c r="P152" s="78">
        <v>45565</v>
      </c>
      <c r="Q152" s="81"/>
      <c r="R152" s="26" t="s">
        <v>842</v>
      </c>
      <c r="S152" s="21"/>
      <c r="T152" s="32" t="s">
        <v>74</v>
      </c>
      <c r="U152" s="21"/>
    </row>
    <row r="153" spans="1:21" ht="20.100000000000001" customHeight="1" x14ac:dyDescent="0.3">
      <c r="A153" s="44">
        <v>145</v>
      </c>
      <c r="B153" s="78">
        <v>45565</v>
      </c>
      <c r="C153" s="79"/>
      <c r="D153" s="80" t="s">
        <v>729</v>
      </c>
      <c r="E153" s="81"/>
      <c r="F153" s="82">
        <v>50</v>
      </c>
      <c r="G153" s="83" t="s">
        <v>18</v>
      </c>
      <c r="H153" s="82">
        <v>20</v>
      </c>
      <c r="I153" s="27">
        <f t="shared" si="8"/>
        <v>1000</v>
      </c>
      <c r="J153" s="28"/>
      <c r="K153" s="29">
        <v>1500</v>
      </c>
      <c r="L153" s="30"/>
      <c r="M153" s="31">
        <f t="shared" si="9"/>
        <v>0</v>
      </c>
      <c r="N153" s="31">
        <f t="shared" si="10"/>
        <v>1500</v>
      </c>
      <c r="O153" s="25"/>
      <c r="P153" s="78">
        <v>45565</v>
      </c>
      <c r="Q153" s="81"/>
      <c r="R153" s="26" t="s">
        <v>843</v>
      </c>
      <c r="S153" s="21"/>
      <c r="T153" s="32" t="s">
        <v>26</v>
      </c>
      <c r="U153" s="21"/>
    </row>
    <row r="154" spans="1:21" ht="20.100000000000001" customHeight="1" x14ac:dyDescent="0.3">
      <c r="A154" s="44">
        <v>146</v>
      </c>
      <c r="B154" s="78">
        <v>45565</v>
      </c>
      <c r="C154" s="79"/>
      <c r="D154" s="80" t="s">
        <v>730</v>
      </c>
      <c r="E154" s="81"/>
      <c r="F154" s="82">
        <v>200</v>
      </c>
      <c r="G154" s="83" t="s">
        <v>230</v>
      </c>
      <c r="H154" s="82">
        <v>100</v>
      </c>
      <c r="I154" s="27">
        <f t="shared" si="8"/>
        <v>20000</v>
      </c>
      <c r="J154" s="28"/>
      <c r="K154" s="29">
        <v>102</v>
      </c>
      <c r="L154" s="30">
        <v>0.12</v>
      </c>
      <c r="M154" s="31">
        <f t="shared" si="9"/>
        <v>12.24</v>
      </c>
      <c r="N154" s="31">
        <f t="shared" si="10"/>
        <v>114.24</v>
      </c>
      <c r="O154" s="25"/>
      <c r="P154" s="78">
        <v>45565</v>
      </c>
      <c r="Q154" s="81"/>
      <c r="R154" s="26" t="s">
        <v>844</v>
      </c>
      <c r="S154" s="21"/>
      <c r="T154" s="32" t="s">
        <v>688</v>
      </c>
      <c r="U154" s="21"/>
    </row>
    <row r="155" spans="1:21" ht="20.100000000000001" customHeight="1" x14ac:dyDescent="0.3">
      <c r="A155" s="44">
        <v>147</v>
      </c>
      <c r="B155" s="78">
        <v>45565</v>
      </c>
      <c r="C155" s="79"/>
      <c r="D155" s="80" t="s">
        <v>723</v>
      </c>
      <c r="E155" s="81"/>
      <c r="F155" s="82">
        <v>600</v>
      </c>
      <c r="G155" s="83" t="s">
        <v>230</v>
      </c>
      <c r="H155" s="82">
        <v>50</v>
      </c>
      <c r="I155" s="27">
        <f t="shared" si="8"/>
        <v>30000</v>
      </c>
      <c r="J155" s="28"/>
      <c r="K155" s="29">
        <v>116</v>
      </c>
      <c r="L155" s="30">
        <v>0.12</v>
      </c>
      <c r="M155" s="31">
        <f t="shared" si="9"/>
        <v>13.92</v>
      </c>
      <c r="N155" s="31">
        <f t="shared" si="10"/>
        <v>129.91999999999999</v>
      </c>
      <c r="O155" s="25"/>
      <c r="P155" s="78">
        <v>45565</v>
      </c>
      <c r="Q155" s="81"/>
      <c r="R155" s="26" t="s">
        <v>844</v>
      </c>
      <c r="S155" s="21"/>
      <c r="T155" s="32" t="s">
        <v>688</v>
      </c>
      <c r="U155" s="21"/>
    </row>
    <row r="156" spans="1:21" ht="20.100000000000001" customHeight="1" x14ac:dyDescent="0.3">
      <c r="A156" s="44">
        <v>148</v>
      </c>
      <c r="B156" s="78">
        <v>45565</v>
      </c>
      <c r="C156" s="79"/>
      <c r="D156" s="80" t="s">
        <v>321</v>
      </c>
      <c r="E156" s="81"/>
      <c r="F156" s="82">
        <v>30</v>
      </c>
      <c r="G156" s="83" t="s">
        <v>18</v>
      </c>
      <c r="H156" s="82">
        <v>1</v>
      </c>
      <c r="I156" s="27">
        <f t="shared" si="8"/>
        <v>30</v>
      </c>
      <c r="J156" s="28"/>
      <c r="K156" s="29">
        <v>3500</v>
      </c>
      <c r="L156" s="30"/>
      <c r="M156" s="31">
        <f t="shared" si="9"/>
        <v>0</v>
      </c>
      <c r="N156" s="31">
        <f t="shared" si="10"/>
        <v>3500</v>
      </c>
      <c r="O156" s="25"/>
      <c r="P156" s="78">
        <v>45565</v>
      </c>
      <c r="Q156" s="81"/>
      <c r="R156" s="26" t="s">
        <v>845</v>
      </c>
      <c r="S156" s="21"/>
      <c r="T156" s="32" t="s">
        <v>323</v>
      </c>
      <c r="U156" s="21"/>
    </row>
    <row r="157" spans="1:21" ht="20.100000000000001" customHeight="1" x14ac:dyDescent="0.3">
      <c r="A157" s="44">
        <v>149</v>
      </c>
      <c r="B157" s="78">
        <v>45565</v>
      </c>
      <c r="C157" s="79"/>
      <c r="D157" s="80" t="s">
        <v>731</v>
      </c>
      <c r="E157" s="81"/>
      <c r="F157" s="82">
        <v>15</v>
      </c>
      <c r="G157" s="83" t="s">
        <v>18</v>
      </c>
      <c r="H157" s="82">
        <v>10</v>
      </c>
      <c r="I157" s="27">
        <f t="shared" si="8"/>
        <v>150</v>
      </c>
      <c r="J157" s="28"/>
      <c r="K157" s="29">
        <v>10500</v>
      </c>
      <c r="L157" s="30"/>
      <c r="M157" s="31">
        <f t="shared" si="9"/>
        <v>0</v>
      </c>
      <c r="N157" s="31">
        <f t="shared" si="10"/>
        <v>10500</v>
      </c>
      <c r="O157" s="25"/>
      <c r="P157" s="78">
        <v>45565</v>
      </c>
      <c r="Q157" s="81"/>
      <c r="R157" s="26" t="s">
        <v>846</v>
      </c>
      <c r="S157" s="21"/>
      <c r="T157" s="32" t="s">
        <v>682</v>
      </c>
      <c r="U157" s="21"/>
    </row>
    <row r="158" spans="1:21" ht="20.100000000000001" customHeight="1" x14ac:dyDescent="0.3">
      <c r="A158" s="44">
        <v>150</v>
      </c>
      <c r="B158" s="112" t="s">
        <v>719</v>
      </c>
      <c r="C158" s="79"/>
      <c r="D158" s="80" t="s">
        <v>732</v>
      </c>
      <c r="E158" s="81"/>
      <c r="F158" s="82">
        <v>40</v>
      </c>
      <c r="G158" s="83" t="s">
        <v>18</v>
      </c>
      <c r="H158" s="82">
        <v>25</v>
      </c>
      <c r="I158" s="27">
        <f t="shared" si="8"/>
        <v>1000</v>
      </c>
      <c r="J158" s="28"/>
      <c r="K158" s="29">
        <v>4250</v>
      </c>
      <c r="L158" s="30"/>
      <c r="M158" s="31">
        <f t="shared" si="9"/>
        <v>0</v>
      </c>
      <c r="N158" s="31">
        <f t="shared" si="10"/>
        <v>4250</v>
      </c>
      <c r="O158" s="25"/>
      <c r="P158" s="78">
        <v>45565</v>
      </c>
      <c r="Q158" s="81"/>
      <c r="R158" s="26" t="s">
        <v>847</v>
      </c>
      <c r="S158" s="21"/>
      <c r="T158" s="32" t="s">
        <v>98</v>
      </c>
      <c r="U158" s="21"/>
    </row>
    <row r="159" spans="1:21" ht="20.100000000000001" customHeight="1" x14ac:dyDescent="0.3">
      <c r="A159" s="44">
        <v>151</v>
      </c>
      <c r="B159" s="84">
        <v>45572</v>
      </c>
      <c r="C159" s="79"/>
      <c r="D159" s="80" t="s">
        <v>285</v>
      </c>
      <c r="E159" s="81"/>
      <c r="F159" s="82">
        <v>40</v>
      </c>
      <c r="G159" s="83" t="s">
        <v>18</v>
      </c>
      <c r="H159" s="82">
        <v>25</v>
      </c>
      <c r="I159" s="27">
        <f t="shared" si="8"/>
        <v>1000</v>
      </c>
      <c r="J159" s="28"/>
      <c r="K159" s="29">
        <v>5508.45</v>
      </c>
      <c r="L159" s="30">
        <v>0.18</v>
      </c>
      <c r="M159" s="31">
        <f t="shared" si="9"/>
        <v>991.52099999999996</v>
      </c>
      <c r="N159" s="31">
        <f t="shared" si="10"/>
        <v>6499.9709999999995</v>
      </c>
      <c r="O159" s="25"/>
      <c r="P159" s="78">
        <v>45573</v>
      </c>
      <c r="Q159" s="81"/>
      <c r="R159" s="26" t="s">
        <v>848</v>
      </c>
      <c r="S159" s="21"/>
      <c r="T159" s="32" t="s">
        <v>464</v>
      </c>
      <c r="U159" s="21"/>
    </row>
    <row r="160" spans="1:21" ht="20.100000000000001" customHeight="1" x14ac:dyDescent="0.3">
      <c r="A160" s="44">
        <v>152</v>
      </c>
      <c r="B160" s="84">
        <v>45572</v>
      </c>
      <c r="C160" s="79"/>
      <c r="D160" s="80" t="s">
        <v>340</v>
      </c>
      <c r="E160" s="81"/>
      <c r="F160" s="82">
        <v>20</v>
      </c>
      <c r="G160" s="83" t="s">
        <v>18</v>
      </c>
      <c r="H160" s="82">
        <v>25</v>
      </c>
      <c r="I160" s="27">
        <f t="shared" si="8"/>
        <v>500</v>
      </c>
      <c r="J160" s="28"/>
      <c r="K160" s="29">
        <v>3200</v>
      </c>
      <c r="L160" s="30">
        <v>0.12</v>
      </c>
      <c r="M160" s="31">
        <f t="shared" si="9"/>
        <v>384</v>
      </c>
      <c r="N160" s="31">
        <f t="shared" si="10"/>
        <v>3584</v>
      </c>
      <c r="O160" s="25"/>
      <c r="P160" s="78">
        <v>45573</v>
      </c>
      <c r="Q160" s="81"/>
      <c r="R160" s="26" t="s">
        <v>849</v>
      </c>
      <c r="S160" s="21"/>
      <c r="T160" s="32" t="s">
        <v>678</v>
      </c>
      <c r="U160" s="21"/>
    </row>
    <row r="161" spans="1:21" ht="20.100000000000001" customHeight="1" x14ac:dyDescent="0.3">
      <c r="A161" s="44">
        <v>153</v>
      </c>
      <c r="B161" s="84" t="s">
        <v>189</v>
      </c>
      <c r="C161" s="79"/>
      <c r="D161" s="80" t="s">
        <v>256</v>
      </c>
      <c r="E161" s="81"/>
      <c r="F161" s="82">
        <v>70</v>
      </c>
      <c r="G161" s="83" t="s">
        <v>51</v>
      </c>
      <c r="H161" s="82">
        <v>1000</v>
      </c>
      <c r="I161" s="27">
        <f t="shared" si="8"/>
        <v>70000</v>
      </c>
      <c r="J161" s="28"/>
      <c r="K161" s="29">
        <v>56</v>
      </c>
      <c r="L161" s="30">
        <v>0.05</v>
      </c>
      <c r="M161" s="31">
        <f t="shared" si="9"/>
        <v>2.8000000000000003</v>
      </c>
      <c r="N161" s="31">
        <f t="shared" si="10"/>
        <v>58.8</v>
      </c>
      <c r="O161" s="25"/>
      <c r="P161" s="78">
        <v>45579</v>
      </c>
      <c r="Q161" s="81"/>
      <c r="R161" s="26" t="s">
        <v>850</v>
      </c>
      <c r="S161" s="21"/>
      <c r="T161" s="32" t="s">
        <v>309</v>
      </c>
      <c r="U161" s="21"/>
    </row>
    <row r="162" spans="1:21" ht="20.100000000000001" customHeight="1" x14ac:dyDescent="0.3">
      <c r="A162" s="44">
        <v>154</v>
      </c>
      <c r="B162" s="84">
        <v>45580</v>
      </c>
      <c r="C162" s="79"/>
      <c r="D162" s="80" t="s">
        <v>715</v>
      </c>
      <c r="E162" s="81"/>
      <c r="F162" s="82">
        <v>150</v>
      </c>
      <c r="G162" s="83" t="s">
        <v>109</v>
      </c>
      <c r="H162" s="82">
        <v>10</v>
      </c>
      <c r="I162" s="27">
        <f t="shared" si="8"/>
        <v>1500</v>
      </c>
      <c r="J162" s="28"/>
      <c r="K162" s="29">
        <v>200</v>
      </c>
      <c r="L162" s="30">
        <v>0.18</v>
      </c>
      <c r="M162" s="31">
        <f t="shared" si="9"/>
        <v>36</v>
      </c>
      <c r="N162" s="31">
        <f t="shared" si="10"/>
        <v>236</v>
      </c>
      <c r="O162" s="25"/>
      <c r="P162" s="78">
        <v>45580</v>
      </c>
      <c r="Q162" s="81"/>
      <c r="R162" s="26" t="s">
        <v>851</v>
      </c>
      <c r="S162" s="21"/>
      <c r="T162" s="32" t="s">
        <v>315</v>
      </c>
      <c r="U162" s="21"/>
    </row>
    <row r="163" spans="1:21" ht="20.100000000000001" customHeight="1" x14ac:dyDescent="0.3">
      <c r="A163" s="44">
        <v>155</v>
      </c>
      <c r="B163" s="84">
        <v>45580</v>
      </c>
      <c r="C163" s="85"/>
      <c r="D163" s="80" t="s">
        <v>733</v>
      </c>
      <c r="E163" s="81"/>
      <c r="F163" s="82">
        <v>40</v>
      </c>
      <c r="G163" s="83" t="s">
        <v>56</v>
      </c>
      <c r="H163" s="82">
        <v>5</v>
      </c>
      <c r="I163" s="27">
        <f t="shared" si="8"/>
        <v>200</v>
      </c>
      <c r="J163" s="28"/>
      <c r="K163" s="29">
        <v>1012</v>
      </c>
      <c r="L163" s="30"/>
      <c r="M163" s="31">
        <f t="shared" si="9"/>
        <v>0</v>
      </c>
      <c r="N163" s="31">
        <f t="shared" si="10"/>
        <v>1012</v>
      </c>
      <c r="O163" s="25"/>
      <c r="P163" s="84">
        <v>45580</v>
      </c>
      <c r="Q163" s="81"/>
      <c r="R163" s="26" t="s">
        <v>852</v>
      </c>
      <c r="S163" s="21"/>
      <c r="T163" s="32" t="s">
        <v>683</v>
      </c>
      <c r="U163" s="21"/>
    </row>
    <row r="164" spans="1:21" ht="20.100000000000001" customHeight="1" x14ac:dyDescent="0.3">
      <c r="A164" s="44">
        <v>156</v>
      </c>
      <c r="B164" s="84">
        <v>45580</v>
      </c>
      <c r="C164" s="85"/>
      <c r="D164" s="80" t="s">
        <v>734</v>
      </c>
      <c r="E164" s="81"/>
      <c r="F164" s="82">
        <v>200</v>
      </c>
      <c r="G164" s="83" t="s">
        <v>230</v>
      </c>
      <c r="H164" s="82">
        <v>10</v>
      </c>
      <c r="I164" s="27">
        <f t="shared" si="8"/>
        <v>2000</v>
      </c>
      <c r="J164" s="28"/>
      <c r="K164" s="29">
        <v>625</v>
      </c>
      <c r="L164" s="30">
        <v>0.12</v>
      </c>
      <c r="M164" s="31">
        <f t="shared" si="9"/>
        <v>75</v>
      </c>
      <c r="N164" s="31">
        <f t="shared" si="10"/>
        <v>700</v>
      </c>
      <c r="O164" s="25"/>
      <c r="P164" s="84">
        <v>45580</v>
      </c>
      <c r="Q164" s="81"/>
      <c r="R164" s="26" t="s">
        <v>853</v>
      </c>
      <c r="S164" s="21"/>
      <c r="T164" s="32" t="s">
        <v>735</v>
      </c>
      <c r="U164" s="21"/>
    </row>
    <row r="165" spans="1:21" ht="20.100000000000001" customHeight="1" x14ac:dyDescent="0.3">
      <c r="A165" s="44">
        <v>157</v>
      </c>
      <c r="B165" s="84">
        <v>45580</v>
      </c>
      <c r="C165" s="85"/>
      <c r="D165" s="80" t="s">
        <v>881</v>
      </c>
      <c r="E165" s="81"/>
      <c r="F165" s="82">
        <v>20</v>
      </c>
      <c r="G165" s="83" t="s">
        <v>56</v>
      </c>
      <c r="H165" s="82">
        <v>5</v>
      </c>
      <c r="I165" s="27">
        <f t="shared" si="8"/>
        <v>100</v>
      </c>
      <c r="J165" s="28"/>
      <c r="K165" s="29">
        <v>2587.1999999999998</v>
      </c>
      <c r="L165" s="30">
        <v>0.12</v>
      </c>
      <c r="M165" s="31">
        <f t="shared" si="9"/>
        <v>310.46399999999994</v>
      </c>
      <c r="N165" s="31">
        <f t="shared" si="10"/>
        <v>2897.6639999999998</v>
      </c>
      <c r="O165" s="25"/>
      <c r="P165" s="84">
        <v>45580</v>
      </c>
      <c r="Q165" s="81"/>
      <c r="R165" s="26" t="s">
        <v>854</v>
      </c>
      <c r="S165" s="21"/>
      <c r="T165" s="32" t="s">
        <v>609</v>
      </c>
      <c r="U165" s="21"/>
    </row>
    <row r="166" spans="1:21" ht="20.100000000000001" customHeight="1" x14ac:dyDescent="0.3">
      <c r="A166" s="44">
        <v>158</v>
      </c>
      <c r="B166" s="84">
        <v>45580</v>
      </c>
      <c r="C166" s="85"/>
      <c r="D166" s="80" t="s">
        <v>694</v>
      </c>
      <c r="E166" s="81"/>
      <c r="F166" s="82">
        <v>20</v>
      </c>
      <c r="G166" s="83" t="s">
        <v>56</v>
      </c>
      <c r="H166" s="82">
        <v>5</v>
      </c>
      <c r="I166" s="27">
        <f t="shared" si="8"/>
        <v>100</v>
      </c>
      <c r="J166" s="28"/>
      <c r="K166" s="29">
        <v>4930</v>
      </c>
      <c r="L166" s="30">
        <v>0.18</v>
      </c>
      <c r="M166" s="31">
        <f t="shared" si="9"/>
        <v>887.4</v>
      </c>
      <c r="N166" s="31">
        <f t="shared" si="10"/>
        <v>5817.4</v>
      </c>
      <c r="O166" s="25"/>
      <c r="P166" s="84">
        <v>45580</v>
      </c>
      <c r="Q166" s="81"/>
      <c r="R166" s="26" t="s">
        <v>854</v>
      </c>
      <c r="S166" s="21"/>
      <c r="T166" s="32" t="s">
        <v>609</v>
      </c>
      <c r="U166" s="21"/>
    </row>
    <row r="167" spans="1:21" ht="20.100000000000001" customHeight="1" x14ac:dyDescent="0.3">
      <c r="A167" s="44">
        <v>159</v>
      </c>
      <c r="B167" s="84">
        <v>45580</v>
      </c>
      <c r="C167" s="85"/>
      <c r="D167" s="80" t="s">
        <v>627</v>
      </c>
      <c r="E167" s="81"/>
      <c r="F167" s="82">
        <v>30</v>
      </c>
      <c r="G167" s="83" t="s">
        <v>18</v>
      </c>
      <c r="H167" s="82">
        <v>1</v>
      </c>
      <c r="I167" s="27">
        <f t="shared" si="8"/>
        <v>30</v>
      </c>
      <c r="J167" s="28"/>
      <c r="K167" s="29">
        <v>3408</v>
      </c>
      <c r="L167" s="30">
        <v>0.12</v>
      </c>
      <c r="M167" s="31">
        <f t="shared" si="9"/>
        <v>408.96</v>
      </c>
      <c r="N167" s="31">
        <f t="shared" si="10"/>
        <v>3816.96</v>
      </c>
      <c r="O167" s="25"/>
      <c r="P167" s="84">
        <v>45580</v>
      </c>
      <c r="Q167" s="81"/>
      <c r="R167" s="26" t="s">
        <v>854</v>
      </c>
      <c r="S167" s="21"/>
      <c r="T167" s="32" t="s">
        <v>609</v>
      </c>
      <c r="U167" s="21"/>
    </row>
    <row r="168" spans="1:21" ht="20.100000000000001" customHeight="1" x14ac:dyDescent="0.3">
      <c r="A168" s="44">
        <v>160</v>
      </c>
      <c r="B168" s="84">
        <v>45580</v>
      </c>
      <c r="C168" s="85"/>
      <c r="D168" s="80" t="s">
        <v>723</v>
      </c>
      <c r="E168" s="81"/>
      <c r="F168" s="82">
        <v>400</v>
      </c>
      <c r="G168" s="83" t="s">
        <v>230</v>
      </c>
      <c r="H168" s="82">
        <v>50</v>
      </c>
      <c r="I168" s="27">
        <f t="shared" si="8"/>
        <v>20000</v>
      </c>
      <c r="J168" s="28"/>
      <c r="K168" s="29">
        <v>116</v>
      </c>
      <c r="L168" s="30">
        <v>0.12</v>
      </c>
      <c r="M168" s="31">
        <f t="shared" si="9"/>
        <v>13.92</v>
      </c>
      <c r="N168" s="31">
        <f t="shared" si="10"/>
        <v>129.91999999999999</v>
      </c>
      <c r="O168" s="25"/>
      <c r="P168" s="84">
        <v>45580</v>
      </c>
      <c r="Q168" s="81"/>
      <c r="R168" s="26" t="s">
        <v>854</v>
      </c>
      <c r="S168" s="21"/>
      <c r="T168" s="32" t="s">
        <v>609</v>
      </c>
      <c r="U168" s="21"/>
    </row>
    <row r="169" spans="1:21" ht="20.100000000000001" customHeight="1" x14ac:dyDescent="0.3">
      <c r="A169" s="44">
        <v>161</v>
      </c>
      <c r="B169" s="84">
        <v>45580</v>
      </c>
      <c r="C169" s="85"/>
      <c r="D169" s="80" t="s">
        <v>395</v>
      </c>
      <c r="E169" s="81"/>
      <c r="F169" s="82">
        <v>100</v>
      </c>
      <c r="G169" s="83" t="s">
        <v>230</v>
      </c>
      <c r="H169" s="82">
        <v>100</v>
      </c>
      <c r="I169" s="27">
        <f t="shared" si="8"/>
        <v>10000</v>
      </c>
      <c r="J169" s="28"/>
      <c r="K169" s="29">
        <v>733</v>
      </c>
      <c r="L169" s="30">
        <v>0.05</v>
      </c>
      <c r="M169" s="31">
        <f t="shared" si="9"/>
        <v>36.65</v>
      </c>
      <c r="N169" s="31">
        <f t="shared" si="10"/>
        <v>769.65</v>
      </c>
      <c r="O169" s="25"/>
      <c r="P169" s="84">
        <v>45580</v>
      </c>
      <c r="Q169" s="81"/>
      <c r="R169" s="26" t="s">
        <v>854</v>
      </c>
      <c r="S169" s="21"/>
      <c r="T169" s="32" t="s">
        <v>609</v>
      </c>
      <c r="U169" s="21"/>
    </row>
    <row r="170" spans="1:21" ht="20.100000000000001" customHeight="1" x14ac:dyDescent="0.3">
      <c r="A170" s="44">
        <v>162</v>
      </c>
      <c r="B170" s="84">
        <v>45580</v>
      </c>
      <c r="C170" s="85"/>
      <c r="D170" s="80" t="s">
        <v>736</v>
      </c>
      <c r="E170" s="81"/>
      <c r="F170" s="82">
        <v>200</v>
      </c>
      <c r="G170" s="83" t="s">
        <v>230</v>
      </c>
      <c r="H170" s="82">
        <v>100</v>
      </c>
      <c r="I170" s="27">
        <f t="shared" si="8"/>
        <v>20000</v>
      </c>
      <c r="J170" s="28"/>
      <c r="K170" s="29">
        <v>225</v>
      </c>
      <c r="L170" s="30">
        <v>0.12</v>
      </c>
      <c r="M170" s="31">
        <f t="shared" si="9"/>
        <v>27</v>
      </c>
      <c r="N170" s="31">
        <f t="shared" si="10"/>
        <v>252</v>
      </c>
      <c r="O170" s="25"/>
      <c r="P170" s="84">
        <v>45580</v>
      </c>
      <c r="Q170" s="81"/>
      <c r="R170" s="26" t="s">
        <v>854</v>
      </c>
      <c r="S170" s="21"/>
      <c r="T170" s="32" t="s">
        <v>609</v>
      </c>
      <c r="U170" s="21"/>
    </row>
    <row r="171" spans="1:21" ht="20.100000000000001" customHeight="1" x14ac:dyDescent="0.3">
      <c r="A171" s="44">
        <v>163</v>
      </c>
      <c r="B171" s="84">
        <v>45580</v>
      </c>
      <c r="C171" s="85"/>
      <c r="D171" s="80" t="s">
        <v>517</v>
      </c>
      <c r="E171" s="81"/>
      <c r="F171" s="82">
        <v>9</v>
      </c>
      <c r="G171" s="83" t="s">
        <v>51</v>
      </c>
      <c r="H171" s="82">
        <v>1000</v>
      </c>
      <c r="I171" s="27">
        <f t="shared" si="8"/>
        <v>9000</v>
      </c>
      <c r="J171" s="28"/>
      <c r="K171" s="29">
        <v>2499.31</v>
      </c>
      <c r="L171" s="30">
        <v>0.05</v>
      </c>
      <c r="M171" s="31">
        <f t="shared" si="9"/>
        <v>124.96550000000001</v>
      </c>
      <c r="N171" s="31">
        <f t="shared" si="10"/>
        <v>2624.2754999999997</v>
      </c>
      <c r="O171" s="25"/>
      <c r="P171" s="84">
        <v>45580</v>
      </c>
      <c r="Q171" s="81"/>
      <c r="R171" s="26" t="s">
        <v>855</v>
      </c>
      <c r="S171" s="21"/>
      <c r="T171" s="32" t="s">
        <v>124</v>
      </c>
      <c r="U171" s="21"/>
    </row>
    <row r="172" spans="1:21" ht="20.100000000000001" customHeight="1" x14ac:dyDescent="0.3">
      <c r="A172" s="44">
        <v>164</v>
      </c>
      <c r="B172" s="84">
        <v>45580</v>
      </c>
      <c r="C172" s="85"/>
      <c r="D172" s="80" t="s">
        <v>400</v>
      </c>
      <c r="E172" s="81"/>
      <c r="F172" s="82">
        <v>1000</v>
      </c>
      <c r="G172" s="83" t="s">
        <v>230</v>
      </c>
      <c r="H172" s="82">
        <v>1</v>
      </c>
      <c r="I172" s="27">
        <f t="shared" si="8"/>
        <v>1000</v>
      </c>
      <c r="J172" s="28"/>
      <c r="K172" s="29">
        <v>75</v>
      </c>
      <c r="L172" s="30">
        <v>0.12</v>
      </c>
      <c r="M172" s="31">
        <f t="shared" si="9"/>
        <v>9</v>
      </c>
      <c r="N172" s="31">
        <f t="shared" si="10"/>
        <v>84</v>
      </c>
      <c r="O172" s="25"/>
      <c r="P172" s="84">
        <v>45580</v>
      </c>
      <c r="Q172" s="81"/>
      <c r="R172" s="26" t="s">
        <v>856</v>
      </c>
      <c r="S172" s="21"/>
      <c r="T172" s="32" t="s">
        <v>713</v>
      </c>
      <c r="U172" s="21"/>
    </row>
    <row r="173" spans="1:21" ht="20.100000000000001" customHeight="1" x14ac:dyDescent="0.3">
      <c r="A173" s="44">
        <v>165</v>
      </c>
      <c r="B173" s="84">
        <v>45580</v>
      </c>
      <c r="C173" s="85"/>
      <c r="D173" s="80" t="s">
        <v>704</v>
      </c>
      <c r="E173" s="81"/>
      <c r="F173" s="82">
        <v>20</v>
      </c>
      <c r="G173" s="83" t="s">
        <v>18</v>
      </c>
      <c r="H173" s="82">
        <v>1</v>
      </c>
      <c r="I173" s="27">
        <f t="shared" si="8"/>
        <v>20</v>
      </c>
      <c r="J173" s="28"/>
      <c r="K173" s="29">
        <v>960</v>
      </c>
      <c r="L173" s="30"/>
      <c r="M173" s="31">
        <f t="shared" si="9"/>
        <v>0</v>
      </c>
      <c r="N173" s="31">
        <f t="shared" si="10"/>
        <v>960</v>
      </c>
      <c r="O173" s="25"/>
      <c r="P173" s="84">
        <v>45580</v>
      </c>
      <c r="Q173" s="81"/>
      <c r="R173" s="26" t="s">
        <v>857</v>
      </c>
      <c r="S173" s="21"/>
      <c r="T173" s="32" t="s">
        <v>700</v>
      </c>
      <c r="U173" s="21"/>
    </row>
    <row r="174" spans="1:21" ht="20.100000000000001" customHeight="1" x14ac:dyDescent="0.3">
      <c r="A174" s="44">
        <v>166</v>
      </c>
      <c r="B174" s="84">
        <v>45583</v>
      </c>
      <c r="C174" s="85"/>
      <c r="D174" s="80" t="s">
        <v>737</v>
      </c>
      <c r="E174" s="81"/>
      <c r="F174" s="82">
        <v>90</v>
      </c>
      <c r="G174" s="83" t="s">
        <v>51</v>
      </c>
      <c r="H174" s="82">
        <v>1000</v>
      </c>
      <c r="I174" s="27">
        <f t="shared" si="8"/>
        <v>90000</v>
      </c>
      <c r="J174" s="28"/>
      <c r="K174" s="29">
        <v>106</v>
      </c>
      <c r="L174" s="30">
        <v>0.05</v>
      </c>
      <c r="M174" s="31">
        <f t="shared" si="9"/>
        <v>5.3000000000000007</v>
      </c>
      <c r="N174" s="31">
        <f t="shared" si="10"/>
        <v>111.3</v>
      </c>
      <c r="O174" s="25"/>
      <c r="P174" s="78">
        <v>45583</v>
      </c>
      <c r="Q174" s="81"/>
      <c r="R174" s="26" t="s">
        <v>858</v>
      </c>
      <c r="S174" s="21"/>
      <c r="T174" s="32" t="s">
        <v>309</v>
      </c>
      <c r="U174" s="21"/>
    </row>
    <row r="175" spans="1:21" ht="20.100000000000001" customHeight="1" x14ac:dyDescent="0.3">
      <c r="A175" s="44">
        <v>167</v>
      </c>
      <c r="B175" s="84">
        <v>45583</v>
      </c>
      <c r="C175" s="85"/>
      <c r="D175" s="80" t="s">
        <v>256</v>
      </c>
      <c r="E175" s="81"/>
      <c r="F175" s="82">
        <v>90</v>
      </c>
      <c r="G175" s="83" t="s">
        <v>51</v>
      </c>
      <c r="H175" s="82">
        <v>1000</v>
      </c>
      <c r="I175" s="27">
        <f t="shared" si="8"/>
        <v>90000</v>
      </c>
      <c r="J175" s="28"/>
      <c r="K175" s="29">
        <v>56</v>
      </c>
      <c r="L175" s="30">
        <v>0.05</v>
      </c>
      <c r="M175" s="31">
        <f t="shared" si="9"/>
        <v>2.8000000000000003</v>
      </c>
      <c r="N175" s="31">
        <f t="shared" si="10"/>
        <v>58.8</v>
      </c>
      <c r="O175" s="25"/>
      <c r="P175" s="78">
        <v>45583</v>
      </c>
      <c r="Q175" s="81"/>
      <c r="R175" s="26" t="s">
        <v>858</v>
      </c>
      <c r="S175" s="21"/>
      <c r="T175" s="32" t="s">
        <v>309</v>
      </c>
      <c r="U175" s="21"/>
    </row>
    <row r="176" spans="1:21" ht="20.100000000000001" customHeight="1" x14ac:dyDescent="0.3">
      <c r="A176" s="44">
        <v>168</v>
      </c>
      <c r="B176" s="84">
        <v>45586</v>
      </c>
      <c r="C176" s="85"/>
      <c r="D176" s="80" t="s">
        <v>738</v>
      </c>
      <c r="E176" s="81"/>
      <c r="F176" s="82">
        <v>40</v>
      </c>
      <c r="G176" s="83" t="s">
        <v>56</v>
      </c>
      <c r="H176" s="82">
        <v>5</v>
      </c>
      <c r="I176" s="27">
        <f t="shared" si="8"/>
        <v>200</v>
      </c>
      <c r="J176" s="28"/>
      <c r="K176" s="29">
        <v>950</v>
      </c>
      <c r="L176" s="30"/>
      <c r="M176" s="31">
        <f t="shared" si="9"/>
        <v>0</v>
      </c>
      <c r="N176" s="31">
        <f t="shared" si="10"/>
        <v>950</v>
      </c>
      <c r="O176" s="25"/>
      <c r="P176" s="112" t="s">
        <v>344</v>
      </c>
      <c r="Q176" s="81"/>
      <c r="R176" s="26" t="s">
        <v>859</v>
      </c>
      <c r="S176" s="21"/>
      <c r="T176" s="32" t="s">
        <v>677</v>
      </c>
      <c r="U176" s="21"/>
    </row>
    <row r="177" spans="1:21" ht="20.100000000000001" customHeight="1" x14ac:dyDescent="0.3">
      <c r="A177" s="44">
        <v>169</v>
      </c>
      <c r="B177" s="84" t="s">
        <v>189</v>
      </c>
      <c r="C177" s="85"/>
      <c r="D177" s="80" t="s">
        <v>703</v>
      </c>
      <c r="E177" s="81"/>
      <c r="F177" s="82">
        <v>20</v>
      </c>
      <c r="G177" s="83" t="s">
        <v>18</v>
      </c>
      <c r="H177" s="82">
        <v>25</v>
      </c>
      <c r="I177" s="27">
        <f t="shared" si="8"/>
        <v>500</v>
      </c>
      <c r="J177" s="28"/>
      <c r="K177" s="29">
        <v>6250</v>
      </c>
      <c r="L177" s="30"/>
      <c r="M177" s="31">
        <f t="shared" si="9"/>
        <v>0</v>
      </c>
      <c r="N177" s="31">
        <f t="shared" si="10"/>
        <v>6250</v>
      </c>
      <c r="O177" s="25"/>
      <c r="P177" s="78">
        <v>45591</v>
      </c>
      <c r="Q177" s="81"/>
      <c r="R177" s="26" t="s">
        <v>860</v>
      </c>
      <c r="S177" s="21"/>
      <c r="T177" s="32" t="s">
        <v>691</v>
      </c>
      <c r="U177" s="21"/>
    </row>
    <row r="178" spans="1:21" ht="20.100000000000001" customHeight="1" x14ac:dyDescent="0.3">
      <c r="A178" s="44">
        <v>170</v>
      </c>
      <c r="B178" s="84" t="s">
        <v>189</v>
      </c>
      <c r="C178" s="85"/>
      <c r="D178" s="80" t="s">
        <v>561</v>
      </c>
      <c r="E178" s="81"/>
      <c r="F178" s="82">
        <v>20</v>
      </c>
      <c r="G178" s="83" t="s">
        <v>18</v>
      </c>
      <c r="H178" s="82">
        <v>25</v>
      </c>
      <c r="I178" s="27">
        <f t="shared" ref="I178" si="11">F178*H178</f>
        <v>500</v>
      </c>
      <c r="J178" s="28"/>
      <c r="K178" s="29">
        <v>6000</v>
      </c>
      <c r="L178" s="30"/>
      <c r="M178" s="31">
        <f t="shared" si="9"/>
        <v>0</v>
      </c>
      <c r="N178" s="31">
        <f t="shared" si="10"/>
        <v>6000</v>
      </c>
      <c r="O178" s="25"/>
      <c r="P178" s="78">
        <v>45591</v>
      </c>
      <c r="Q178" s="81"/>
      <c r="R178" s="26" t="s">
        <v>861</v>
      </c>
      <c r="S178" s="21"/>
      <c r="T178" s="32" t="s">
        <v>74</v>
      </c>
      <c r="U178" s="21"/>
    </row>
    <row r="179" spans="1:21" ht="20.100000000000001" customHeight="1" x14ac:dyDescent="0.3">
      <c r="A179" s="44">
        <v>171</v>
      </c>
      <c r="B179" s="84" t="s">
        <v>189</v>
      </c>
      <c r="C179" s="79"/>
      <c r="D179" s="80" t="s">
        <v>740</v>
      </c>
      <c r="E179" s="81"/>
      <c r="F179" s="82">
        <v>14</v>
      </c>
      <c r="G179" s="83" t="s">
        <v>18</v>
      </c>
      <c r="H179" s="82">
        <v>25</v>
      </c>
      <c r="I179" s="27">
        <f t="shared" si="8"/>
        <v>350</v>
      </c>
      <c r="J179" s="28"/>
      <c r="K179" s="29">
        <v>2750</v>
      </c>
      <c r="L179" s="30"/>
      <c r="M179" s="31">
        <f t="shared" si="9"/>
        <v>0</v>
      </c>
      <c r="N179" s="31">
        <f t="shared" si="10"/>
        <v>2750</v>
      </c>
      <c r="O179" s="25"/>
      <c r="P179" s="78">
        <v>45595</v>
      </c>
      <c r="Q179" s="81"/>
      <c r="R179" s="26" t="s">
        <v>862</v>
      </c>
      <c r="S179" s="21"/>
      <c r="T179" s="32" t="s">
        <v>98</v>
      </c>
      <c r="U179" s="21"/>
    </row>
    <row r="180" spans="1:21" ht="20.100000000000001" customHeight="1" x14ac:dyDescent="0.3">
      <c r="A180" s="44">
        <v>172</v>
      </c>
      <c r="B180" s="84">
        <v>45607</v>
      </c>
      <c r="C180" s="79"/>
      <c r="D180" s="80" t="s">
        <v>497</v>
      </c>
      <c r="E180" s="81"/>
      <c r="F180" s="82">
        <v>40</v>
      </c>
      <c r="G180" s="83" t="s">
        <v>18</v>
      </c>
      <c r="H180" s="82">
        <v>50</v>
      </c>
      <c r="I180" s="27">
        <f t="shared" si="8"/>
        <v>2000</v>
      </c>
      <c r="J180" s="28"/>
      <c r="K180" s="29">
        <v>1906.8</v>
      </c>
      <c r="L180" s="30">
        <v>0.18</v>
      </c>
      <c r="M180" s="31">
        <f t="shared" si="9"/>
        <v>343.22399999999999</v>
      </c>
      <c r="N180" s="31">
        <f t="shared" si="10"/>
        <v>2250.0239999999999</v>
      </c>
      <c r="O180" s="25"/>
      <c r="P180" s="78">
        <v>45608</v>
      </c>
      <c r="Q180" s="81"/>
      <c r="R180" s="26" t="s">
        <v>742</v>
      </c>
      <c r="S180" s="21"/>
      <c r="T180" s="32" t="s">
        <v>672</v>
      </c>
      <c r="U180" s="21"/>
    </row>
    <row r="181" spans="1:21" ht="20.100000000000001" customHeight="1" x14ac:dyDescent="0.3">
      <c r="A181" s="44">
        <v>173</v>
      </c>
      <c r="B181" s="84">
        <v>45607</v>
      </c>
      <c r="C181" s="79"/>
      <c r="D181" s="80" t="s">
        <v>741</v>
      </c>
      <c r="E181" s="81"/>
      <c r="F181" s="82">
        <v>100</v>
      </c>
      <c r="G181" s="83" t="s">
        <v>51</v>
      </c>
      <c r="H181" s="82">
        <v>2500</v>
      </c>
      <c r="I181" s="27">
        <f t="shared" si="8"/>
        <v>250000</v>
      </c>
      <c r="J181" s="28"/>
      <c r="K181" s="29">
        <v>875</v>
      </c>
      <c r="L181" s="30">
        <v>0.05</v>
      </c>
      <c r="M181" s="31">
        <f t="shared" si="9"/>
        <v>43.75</v>
      </c>
      <c r="N181" s="31">
        <f t="shared" si="10"/>
        <v>918.75</v>
      </c>
      <c r="O181" s="25"/>
      <c r="P181" s="78">
        <v>45608</v>
      </c>
      <c r="Q181" s="81"/>
      <c r="R181" s="26" t="s">
        <v>743</v>
      </c>
      <c r="S181" s="21"/>
      <c r="T181" s="32" t="s">
        <v>265</v>
      </c>
      <c r="U181" s="21"/>
    </row>
    <row r="182" spans="1:21" ht="20.100000000000001" customHeight="1" x14ac:dyDescent="0.3">
      <c r="A182" s="44">
        <v>174</v>
      </c>
      <c r="B182" s="84">
        <v>45611</v>
      </c>
      <c r="C182" s="79"/>
      <c r="D182" s="80" t="s">
        <v>863</v>
      </c>
      <c r="E182" s="81"/>
      <c r="F182" s="82">
        <v>1</v>
      </c>
      <c r="G182" s="83" t="s">
        <v>18</v>
      </c>
      <c r="H182" s="82">
        <v>14</v>
      </c>
      <c r="I182" s="27">
        <f t="shared" si="8"/>
        <v>14</v>
      </c>
      <c r="J182" s="28"/>
      <c r="K182" s="29">
        <v>319000</v>
      </c>
      <c r="L182" s="30">
        <v>0.12</v>
      </c>
      <c r="M182" s="31">
        <f t="shared" si="9"/>
        <v>38280</v>
      </c>
      <c r="N182" s="31">
        <f t="shared" si="10"/>
        <v>357280</v>
      </c>
      <c r="O182" s="25"/>
      <c r="P182" s="78">
        <v>45611</v>
      </c>
      <c r="Q182" s="81"/>
      <c r="R182" s="26" t="s">
        <v>864</v>
      </c>
      <c r="S182" s="21"/>
      <c r="T182" s="32" t="s">
        <v>609</v>
      </c>
      <c r="U182" s="21"/>
    </row>
    <row r="183" spans="1:21" ht="20.100000000000001" customHeight="1" x14ac:dyDescent="0.3">
      <c r="A183" s="44">
        <v>175</v>
      </c>
      <c r="B183" s="84">
        <v>45624</v>
      </c>
      <c r="C183" s="79"/>
      <c r="D183" s="80" t="s">
        <v>291</v>
      </c>
      <c r="E183" s="81"/>
      <c r="F183" s="82">
        <v>25</v>
      </c>
      <c r="G183" s="83" t="s">
        <v>18</v>
      </c>
      <c r="H183" s="82">
        <v>20</v>
      </c>
      <c r="I183" s="27">
        <f t="shared" si="8"/>
        <v>500</v>
      </c>
      <c r="J183" s="28"/>
      <c r="K183" s="29">
        <v>2900</v>
      </c>
      <c r="L183" s="30"/>
      <c r="M183" s="31">
        <f t="shared" si="9"/>
        <v>0</v>
      </c>
      <c r="N183" s="31">
        <f t="shared" si="10"/>
        <v>2900</v>
      </c>
      <c r="O183" s="25"/>
      <c r="P183" s="78">
        <v>45625</v>
      </c>
      <c r="Q183" s="81"/>
      <c r="R183" s="26" t="s">
        <v>865</v>
      </c>
      <c r="S183" s="21"/>
      <c r="T183" s="32" t="s">
        <v>691</v>
      </c>
      <c r="U183" s="21"/>
    </row>
    <row r="184" spans="1:21" ht="20.100000000000001" customHeight="1" x14ac:dyDescent="0.3">
      <c r="A184" s="44">
        <v>176</v>
      </c>
      <c r="B184" s="78">
        <v>45624</v>
      </c>
      <c r="C184" s="79"/>
      <c r="D184" s="80" t="s">
        <v>681</v>
      </c>
      <c r="E184" s="81"/>
      <c r="F184" s="82">
        <v>20</v>
      </c>
      <c r="G184" s="83" t="s">
        <v>18</v>
      </c>
      <c r="H184" s="82">
        <v>25</v>
      </c>
      <c r="I184" s="27">
        <f t="shared" si="8"/>
        <v>500</v>
      </c>
      <c r="J184" s="28"/>
      <c r="K184" s="29">
        <v>14250</v>
      </c>
      <c r="L184" s="30"/>
      <c r="M184" s="31">
        <f t="shared" si="9"/>
        <v>0</v>
      </c>
      <c r="N184" s="31">
        <f t="shared" si="10"/>
        <v>14250</v>
      </c>
      <c r="O184" s="25"/>
      <c r="P184" s="78">
        <v>45625</v>
      </c>
      <c r="Q184" s="81"/>
      <c r="R184" s="26" t="s">
        <v>866</v>
      </c>
      <c r="S184" s="21"/>
      <c r="T184" s="32" t="s">
        <v>680</v>
      </c>
      <c r="U184" s="21"/>
    </row>
    <row r="185" spans="1:21" ht="20.100000000000001" customHeight="1" x14ac:dyDescent="0.3">
      <c r="A185" s="44">
        <v>177</v>
      </c>
      <c r="B185" s="78">
        <v>45630</v>
      </c>
      <c r="C185" s="79"/>
      <c r="D185" s="80" t="s">
        <v>863</v>
      </c>
      <c r="E185" s="81"/>
      <c r="F185" s="82">
        <v>1</v>
      </c>
      <c r="G185" s="83" t="s">
        <v>18</v>
      </c>
      <c r="H185" s="82">
        <v>14</v>
      </c>
      <c r="I185" s="27">
        <f t="shared" si="8"/>
        <v>14</v>
      </c>
      <c r="J185" s="28"/>
      <c r="K185" s="29">
        <v>319000</v>
      </c>
      <c r="L185" s="30">
        <v>0.12</v>
      </c>
      <c r="M185" s="31">
        <f t="shared" si="9"/>
        <v>38280</v>
      </c>
      <c r="N185" s="31">
        <f t="shared" si="10"/>
        <v>357280</v>
      </c>
      <c r="O185" s="25"/>
      <c r="P185" s="78">
        <v>45630</v>
      </c>
      <c r="Q185" s="81"/>
      <c r="R185" s="26" t="s">
        <v>867</v>
      </c>
      <c r="S185" s="21"/>
      <c r="T185" s="32" t="s">
        <v>609</v>
      </c>
      <c r="U185" s="21"/>
    </row>
    <row r="186" spans="1:21" ht="20.100000000000001" customHeight="1" x14ac:dyDescent="0.3">
      <c r="A186" s="44">
        <v>178</v>
      </c>
      <c r="B186" s="78">
        <v>45630</v>
      </c>
      <c r="C186" s="79"/>
      <c r="D186" s="80" t="s">
        <v>868</v>
      </c>
      <c r="E186" s="81"/>
      <c r="F186" s="82">
        <v>40</v>
      </c>
      <c r="G186" s="83" t="s">
        <v>18</v>
      </c>
      <c r="H186" s="82">
        <v>1</v>
      </c>
      <c r="I186" s="27">
        <f t="shared" si="8"/>
        <v>40</v>
      </c>
      <c r="J186" s="28"/>
      <c r="K186" s="29">
        <v>3500</v>
      </c>
      <c r="L186" s="30"/>
      <c r="M186" s="31">
        <f t="shared" si="9"/>
        <v>0</v>
      </c>
      <c r="N186" s="31">
        <f t="shared" si="10"/>
        <v>3500</v>
      </c>
      <c r="O186" s="25"/>
      <c r="P186" s="78">
        <v>45630</v>
      </c>
      <c r="Q186" s="81"/>
      <c r="R186" s="26" t="s">
        <v>869</v>
      </c>
      <c r="S186" s="21"/>
      <c r="T186" s="32" t="s">
        <v>323</v>
      </c>
      <c r="U186" s="21"/>
    </row>
    <row r="187" spans="1:21" ht="20.100000000000001" customHeight="1" x14ac:dyDescent="0.3">
      <c r="A187" s="44">
        <v>179</v>
      </c>
      <c r="B187" s="78">
        <v>45630</v>
      </c>
      <c r="C187" s="79"/>
      <c r="D187" s="80" t="s">
        <v>516</v>
      </c>
      <c r="E187" s="81"/>
      <c r="F187" s="82">
        <v>35</v>
      </c>
      <c r="G187" s="83" t="s">
        <v>51</v>
      </c>
      <c r="H187" s="82">
        <v>1000</v>
      </c>
      <c r="I187" s="27">
        <f t="shared" si="8"/>
        <v>35000</v>
      </c>
      <c r="J187" s="28"/>
      <c r="K187" s="29">
        <v>945.02</v>
      </c>
      <c r="L187" s="30">
        <v>0.05</v>
      </c>
      <c r="M187" s="31">
        <f t="shared" si="9"/>
        <v>47.251000000000005</v>
      </c>
      <c r="N187" s="31">
        <f t="shared" si="10"/>
        <v>992.27099999999996</v>
      </c>
      <c r="O187" s="25"/>
      <c r="P187" s="78">
        <v>45630</v>
      </c>
      <c r="Q187" s="81"/>
      <c r="R187" s="26" t="s">
        <v>870</v>
      </c>
      <c r="S187" s="21"/>
      <c r="T187" s="32" t="s">
        <v>124</v>
      </c>
      <c r="U187" s="21"/>
    </row>
    <row r="188" spans="1:21" ht="20.100000000000001" customHeight="1" x14ac:dyDescent="0.3">
      <c r="A188" s="44">
        <v>180</v>
      </c>
      <c r="B188" s="78">
        <v>45630</v>
      </c>
      <c r="C188" s="79"/>
      <c r="D188" s="80" t="s">
        <v>696</v>
      </c>
      <c r="E188" s="81"/>
      <c r="F188" s="82">
        <v>29</v>
      </c>
      <c r="G188" s="83" t="s">
        <v>51</v>
      </c>
      <c r="H188" s="82">
        <v>1000</v>
      </c>
      <c r="I188" s="27">
        <f t="shared" si="8"/>
        <v>29000</v>
      </c>
      <c r="J188" s="28"/>
      <c r="K188" s="29">
        <v>1995</v>
      </c>
      <c r="L188" s="30">
        <v>0.05</v>
      </c>
      <c r="M188" s="31">
        <f t="shared" si="9"/>
        <v>99.75</v>
      </c>
      <c r="N188" s="31">
        <f t="shared" si="10"/>
        <v>2094.75</v>
      </c>
      <c r="O188" s="25"/>
      <c r="P188" s="78">
        <v>45630</v>
      </c>
      <c r="Q188" s="81"/>
      <c r="R188" s="26" t="s">
        <v>871</v>
      </c>
      <c r="S188" s="21"/>
      <c r="T188" s="32" t="s">
        <v>309</v>
      </c>
      <c r="U188" s="21"/>
    </row>
    <row r="189" spans="1:21" ht="20.100000000000001" customHeight="1" x14ac:dyDescent="0.3">
      <c r="A189" s="44">
        <v>181</v>
      </c>
      <c r="B189" s="78">
        <v>45630</v>
      </c>
      <c r="C189" s="79"/>
      <c r="D189" s="80" t="s">
        <v>407</v>
      </c>
      <c r="E189" s="81"/>
      <c r="F189" s="82">
        <v>36</v>
      </c>
      <c r="G189" s="83" t="s">
        <v>51</v>
      </c>
      <c r="H189" s="82">
        <v>1000</v>
      </c>
      <c r="I189" s="27">
        <f t="shared" si="8"/>
        <v>36000</v>
      </c>
      <c r="J189" s="28"/>
      <c r="K189" s="29">
        <v>3255</v>
      </c>
      <c r="L189" s="30">
        <v>0.05</v>
      </c>
      <c r="M189" s="31">
        <f t="shared" si="9"/>
        <v>162.75</v>
      </c>
      <c r="N189" s="31">
        <f t="shared" si="10"/>
        <v>3417.75</v>
      </c>
      <c r="O189" s="25"/>
      <c r="P189" s="78">
        <v>45630</v>
      </c>
      <c r="Q189" s="81"/>
      <c r="R189" s="26" t="s">
        <v>871</v>
      </c>
      <c r="S189" s="21"/>
      <c r="T189" s="32" t="s">
        <v>309</v>
      </c>
      <c r="U189" s="21"/>
    </row>
    <row r="190" spans="1:21" ht="20.100000000000001" customHeight="1" x14ac:dyDescent="0.3">
      <c r="A190" s="44">
        <v>182</v>
      </c>
      <c r="B190" s="78">
        <v>45630</v>
      </c>
      <c r="C190" s="79"/>
      <c r="D190" s="80" t="s">
        <v>277</v>
      </c>
      <c r="E190" s="81"/>
      <c r="F190" s="82">
        <v>79</v>
      </c>
      <c r="G190" s="83" t="s">
        <v>51</v>
      </c>
      <c r="H190" s="82">
        <v>1000</v>
      </c>
      <c r="I190" s="27">
        <f t="shared" si="8"/>
        <v>79000</v>
      </c>
      <c r="J190" s="28"/>
      <c r="K190" s="29">
        <v>1575</v>
      </c>
      <c r="L190" s="30">
        <v>0.05</v>
      </c>
      <c r="M190" s="31">
        <f t="shared" si="9"/>
        <v>78.75</v>
      </c>
      <c r="N190" s="31">
        <f t="shared" si="10"/>
        <v>1653.75</v>
      </c>
      <c r="O190" s="25"/>
      <c r="P190" s="78">
        <v>45630</v>
      </c>
      <c r="Q190" s="81"/>
      <c r="R190" s="26" t="s">
        <v>871</v>
      </c>
      <c r="S190" s="21"/>
      <c r="T190" s="32" t="s">
        <v>309</v>
      </c>
      <c r="U190" s="21"/>
    </row>
    <row r="191" spans="1:21" ht="20.100000000000001" customHeight="1" x14ac:dyDescent="0.3">
      <c r="A191" s="44">
        <v>183</v>
      </c>
      <c r="B191" s="78">
        <v>45630</v>
      </c>
      <c r="C191" s="79"/>
      <c r="D191" s="80" t="s">
        <v>698</v>
      </c>
      <c r="E191" s="81"/>
      <c r="F191" s="82">
        <v>42</v>
      </c>
      <c r="G191" s="83" t="s">
        <v>51</v>
      </c>
      <c r="H191" s="82">
        <v>1000</v>
      </c>
      <c r="I191" s="27">
        <f t="shared" si="8"/>
        <v>42000</v>
      </c>
      <c r="J191" s="28"/>
      <c r="K191" s="29">
        <v>2730</v>
      </c>
      <c r="L191" s="30">
        <v>0.05</v>
      </c>
      <c r="M191" s="31">
        <f t="shared" si="9"/>
        <v>136.5</v>
      </c>
      <c r="N191" s="31">
        <f t="shared" si="10"/>
        <v>2866.5</v>
      </c>
      <c r="O191" s="25"/>
      <c r="P191" s="78">
        <v>45630</v>
      </c>
      <c r="Q191" s="81"/>
      <c r="R191" s="26" t="s">
        <v>871</v>
      </c>
      <c r="S191" s="21"/>
      <c r="T191" s="32" t="s">
        <v>309</v>
      </c>
      <c r="U191" s="21"/>
    </row>
    <row r="192" spans="1:21" ht="20.100000000000001" customHeight="1" x14ac:dyDescent="0.3">
      <c r="A192" s="44">
        <v>184</v>
      </c>
      <c r="B192" s="78">
        <v>45630</v>
      </c>
      <c r="C192" s="79"/>
      <c r="D192" s="80" t="s">
        <v>924</v>
      </c>
      <c r="E192" s="81"/>
      <c r="F192" s="82">
        <v>79</v>
      </c>
      <c r="G192" s="83" t="s">
        <v>51</v>
      </c>
      <c r="H192" s="82">
        <v>1000</v>
      </c>
      <c r="I192" s="27">
        <f t="shared" si="8"/>
        <v>79000</v>
      </c>
      <c r="J192" s="28"/>
      <c r="K192" s="29">
        <v>5250</v>
      </c>
      <c r="L192" s="30">
        <v>0.05</v>
      </c>
      <c r="M192" s="31">
        <f t="shared" si="9"/>
        <v>262.5</v>
      </c>
      <c r="N192" s="31">
        <f t="shared" si="10"/>
        <v>5512.5</v>
      </c>
      <c r="O192" s="25"/>
      <c r="P192" s="78">
        <v>45630</v>
      </c>
      <c r="Q192" s="81"/>
      <c r="R192" s="26" t="s">
        <v>871</v>
      </c>
      <c r="S192" s="21"/>
      <c r="T192" s="32" t="s">
        <v>309</v>
      </c>
      <c r="U192" s="21"/>
    </row>
    <row r="193" spans="1:21" ht="20.100000000000001" customHeight="1" x14ac:dyDescent="0.3">
      <c r="A193" s="44">
        <v>185</v>
      </c>
      <c r="B193" s="78">
        <v>45642</v>
      </c>
      <c r="C193" s="79"/>
      <c r="D193" s="80" t="s">
        <v>543</v>
      </c>
      <c r="E193" s="81"/>
      <c r="F193" s="82">
        <v>20</v>
      </c>
      <c r="G193" s="83" t="s">
        <v>56</v>
      </c>
      <c r="H193" s="82">
        <v>5</v>
      </c>
      <c r="I193" s="27">
        <f t="shared" si="8"/>
        <v>100</v>
      </c>
      <c r="J193" s="28"/>
      <c r="K193" s="29">
        <v>457</v>
      </c>
      <c r="L193" s="30">
        <v>0.18</v>
      </c>
      <c r="M193" s="31">
        <f t="shared" si="9"/>
        <v>82.259999999999991</v>
      </c>
      <c r="N193" s="31">
        <f t="shared" si="10"/>
        <v>539.26</v>
      </c>
      <c r="O193" s="25"/>
      <c r="P193" s="78">
        <v>45642</v>
      </c>
      <c r="Q193" s="81"/>
      <c r="R193" s="26" t="s">
        <v>872</v>
      </c>
      <c r="S193" s="21"/>
      <c r="T193" s="32" t="s">
        <v>315</v>
      </c>
      <c r="U193" s="21"/>
    </row>
    <row r="194" spans="1:21" ht="20.100000000000001" customHeight="1" x14ac:dyDescent="0.3">
      <c r="A194" s="44">
        <v>186</v>
      </c>
      <c r="B194" s="78">
        <v>45642</v>
      </c>
      <c r="C194" s="79"/>
      <c r="D194" s="80" t="s">
        <v>574</v>
      </c>
      <c r="E194" s="81"/>
      <c r="F194" s="82">
        <v>20</v>
      </c>
      <c r="G194" s="83" t="s">
        <v>56</v>
      </c>
      <c r="H194" s="82">
        <v>5</v>
      </c>
      <c r="I194" s="27">
        <f t="shared" si="8"/>
        <v>100</v>
      </c>
      <c r="J194" s="28"/>
      <c r="K194" s="29">
        <v>3273</v>
      </c>
      <c r="L194" s="30">
        <v>0.18</v>
      </c>
      <c r="M194" s="31">
        <f t="shared" si="9"/>
        <v>589.14</v>
      </c>
      <c r="N194" s="31">
        <f t="shared" si="10"/>
        <v>3862.14</v>
      </c>
      <c r="O194" s="25"/>
      <c r="P194" s="78">
        <v>45642</v>
      </c>
      <c r="Q194" s="81"/>
      <c r="R194" s="26" t="s">
        <v>872</v>
      </c>
      <c r="S194" s="21"/>
      <c r="T194" s="32" t="s">
        <v>315</v>
      </c>
      <c r="U194" s="21"/>
    </row>
    <row r="195" spans="1:21" ht="20.100000000000001" customHeight="1" x14ac:dyDescent="0.3">
      <c r="A195" s="44">
        <v>187</v>
      </c>
      <c r="B195" s="78">
        <v>45642</v>
      </c>
      <c r="C195" s="79"/>
      <c r="D195" s="80" t="s">
        <v>507</v>
      </c>
      <c r="E195" s="81"/>
      <c r="F195" s="82">
        <v>20</v>
      </c>
      <c r="G195" s="83" t="s">
        <v>56</v>
      </c>
      <c r="H195" s="82">
        <v>5</v>
      </c>
      <c r="I195" s="27">
        <f t="shared" si="8"/>
        <v>100</v>
      </c>
      <c r="J195" s="28"/>
      <c r="K195" s="29">
        <v>1172</v>
      </c>
      <c r="L195" s="30">
        <v>0.18</v>
      </c>
      <c r="M195" s="31">
        <f t="shared" si="9"/>
        <v>210.95999999999998</v>
      </c>
      <c r="N195" s="31">
        <f t="shared" si="10"/>
        <v>1382.96</v>
      </c>
      <c r="O195" s="25"/>
      <c r="P195" s="78">
        <v>45642</v>
      </c>
      <c r="Q195" s="81"/>
      <c r="R195" s="26" t="s">
        <v>872</v>
      </c>
      <c r="S195" s="21"/>
      <c r="T195" s="32" t="s">
        <v>315</v>
      </c>
      <c r="U195" s="21"/>
    </row>
    <row r="196" spans="1:21" ht="20.100000000000001" customHeight="1" x14ac:dyDescent="0.3">
      <c r="A196" s="44">
        <v>188</v>
      </c>
      <c r="B196" s="78">
        <v>45642</v>
      </c>
      <c r="C196" s="79"/>
      <c r="D196" s="80" t="s">
        <v>623</v>
      </c>
      <c r="E196" s="81"/>
      <c r="F196" s="82">
        <v>6</v>
      </c>
      <c r="G196" s="83" t="s">
        <v>109</v>
      </c>
      <c r="H196" s="82">
        <v>100</v>
      </c>
      <c r="I196" s="27">
        <f t="shared" si="8"/>
        <v>600</v>
      </c>
      <c r="J196" s="28"/>
      <c r="K196" s="29">
        <v>6375</v>
      </c>
      <c r="L196" s="30"/>
      <c r="M196" s="31">
        <f t="shared" si="9"/>
        <v>0</v>
      </c>
      <c r="N196" s="31">
        <f t="shared" si="10"/>
        <v>6375</v>
      </c>
      <c r="O196" s="25"/>
      <c r="P196" s="78">
        <v>45642</v>
      </c>
      <c r="Q196" s="81"/>
      <c r="R196" s="26" t="s">
        <v>872</v>
      </c>
      <c r="S196" s="21"/>
      <c r="T196" s="32" t="s">
        <v>315</v>
      </c>
      <c r="U196" s="21"/>
    </row>
    <row r="197" spans="1:21" ht="20.100000000000001" customHeight="1" x14ac:dyDescent="0.3">
      <c r="A197" s="44">
        <v>189</v>
      </c>
      <c r="B197" s="78">
        <v>45642</v>
      </c>
      <c r="C197" s="79"/>
      <c r="D197" s="80" t="s">
        <v>873</v>
      </c>
      <c r="E197" s="81"/>
      <c r="F197" s="82">
        <v>40</v>
      </c>
      <c r="G197" s="83" t="s">
        <v>56</v>
      </c>
      <c r="H197" s="82">
        <v>5</v>
      </c>
      <c r="I197" s="27">
        <f t="shared" si="8"/>
        <v>200</v>
      </c>
      <c r="J197" s="28"/>
      <c r="K197" s="29">
        <v>515</v>
      </c>
      <c r="L197" s="30"/>
      <c r="M197" s="31">
        <f t="shared" si="9"/>
        <v>0</v>
      </c>
      <c r="N197" s="31">
        <f t="shared" si="10"/>
        <v>515</v>
      </c>
      <c r="O197" s="25"/>
      <c r="P197" s="78">
        <v>45642</v>
      </c>
      <c r="Q197" s="81"/>
      <c r="R197" s="26" t="s">
        <v>874</v>
      </c>
      <c r="S197" s="21"/>
      <c r="T197" s="32" t="s">
        <v>609</v>
      </c>
      <c r="U197" s="21"/>
    </row>
    <row r="198" spans="1:21" ht="20.100000000000001" customHeight="1" x14ac:dyDescent="0.3">
      <c r="A198" s="44">
        <v>190</v>
      </c>
      <c r="B198" s="78">
        <v>45642</v>
      </c>
      <c r="C198" s="79"/>
      <c r="D198" s="80" t="s">
        <v>509</v>
      </c>
      <c r="E198" s="81"/>
      <c r="F198" s="82">
        <v>96</v>
      </c>
      <c r="G198" s="83" t="s">
        <v>56</v>
      </c>
      <c r="H198" s="82">
        <v>5</v>
      </c>
      <c r="I198" s="27">
        <f t="shared" si="8"/>
        <v>480</v>
      </c>
      <c r="J198" s="28"/>
      <c r="K198" s="29">
        <v>580</v>
      </c>
      <c r="L198" s="30"/>
      <c r="M198" s="31">
        <f t="shared" si="9"/>
        <v>0</v>
      </c>
      <c r="N198" s="31">
        <f t="shared" si="10"/>
        <v>580</v>
      </c>
      <c r="O198" s="25"/>
      <c r="P198" s="78">
        <v>45642</v>
      </c>
      <c r="Q198" s="81"/>
      <c r="R198" s="26" t="s">
        <v>874</v>
      </c>
      <c r="S198" s="21"/>
      <c r="T198" s="32" t="s">
        <v>609</v>
      </c>
      <c r="U198" s="21"/>
    </row>
    <row r="199" spans="1:21" ht="20.100000000000001" customHeight="1" x14ac:dyDescent="0.3">
      <c r="A199" s="44">
        <v>191</v>
      </c>
      <c r="B199" s="78">
        <v>45642</v>
      </c>
      <c r="C199" s="79"/>
      <c r="D199" s="80" t="s">
        <v>510</v>
      </c>
      <c r="E199" s="81"/>
      <c r="F199" s="82">
        <v>200</v>
      </c>
      <c r="G199" s="83" t="s">
        <v>66</v>
      </c>
      <c r="H199" s="82">
        <v>50</v>
      </c>
      <c r="I199" s="27">
        <f t="shared" si="8"/>
        <v>10000</v>
      </c>
      <c r="J199" s="28"/>
      <c r="K199" s="29">
        <v>71.5</v>
      </c>
      <c r="L199" s="30"/>
      <c r="M199" s="31">
        <f t="shared" si="9"/>
        <v>0</v>
      </c>
      <c r="N199" s="31">
        <f t="shared" si="10"/>
        <v>71.5</v>
      </c>
      <c r="O199" s="25"/>
      <c r="P199" s="78">
        <v>45642</v>
      </c>
      <c r="Q199" s="81"/>
      <c r="R199" s="26" t="s">
        <v>874</v>
      </c>
      <c r="S199" s="21"/>
      <c r="T199" s="32" t="s">
        <v>609</v>
      </c>
      <c r="U199" s="21"/>
    </row>
    <row r="200" spans="1:21" ht="20.100000000000001" customHeight="1" x14ac:dyDescent="0.3">
      <c r="A200" s="44">
        <v>192</v>
      </c>
      <c r="B200" s="78">
        <v>45642</v>
      </c>
      <c r="C200" s="79"/>
      <c r="D200" s="80" t="s">
        <v>398</v>
      </c>
      <c r="E200" s="81"/>
      <c r="F200" s="82">
        <v>20</v>
      </c>
      <c r="G200" s="83" t="s">
        <v>18</v>
      </c>
      <c r="H200" s="82">
        <v>1</v>
      </c>
      <c r="I200" s="27">
        <f t="shared" si="8"/>
        <v>20</v>
      </c>
      <c r="J200" s="28"/>
      <c r="K200" s="91">
        <v>2600</v>
      </c>
      <c r="L200" s="30"/>
      <c r="M200" s="31">
        <f t="shared" si="9"/>
        <v>0</v>
      </c>
      <c r="N200" s="31">
        <f t="shared" si="10"/>
        <v>2600</v>
      </c>
      <c r="O200" s="25"/>
      <c r="P200" s="78">
        <v>45642</v>
      </c>
      <c r="Q200" s="81"/>
      <c r="R200" s="26" t="s">
        <v>875</v>
      </c>
      <c r="S200" s="21"/>
      <c r="T200" s="32" t="s">
        <v>323</v>
      </c>
      <c r="U200" s="21"/>
    </row>
    <row r="201" spans="1:21" ht="20.100000000000001" customHeight="1" x14ac:dyDescent="0.3">
      <c r="A201" s="44">
        <v>193</v>
      </c>
      <c r="B201" s="78">
        <v>45642</v>
      </c>
      <c r="C201" s="79"/>
      <c r="D201" s="80" t="s">
        <v>741</v>
      </c>
      <c r="E201" s="81"/>
      <c r="F201" s="82">
        <v>100</v>
      </c>
      <c r="G201" s="83" t="s">
        <v>51</v>
      </c>
      <c r="H201" s="82">
        <v>2500</v>
      </c>
      <c r="I201" s="27">
        <f t="shared" ref="I201:I264" si="12">F201*H201</f>
        <v>250000</v>
      </c>
      <c r="J201" s="28"/>
      <c r="K201" s="29">
        <v>875</v>
      </c>
      <c r="L201" s="30">
        <v>0.05</v>
      </c>
      <c r="M201" s="31">
        <f t="shared" ref="M201:M264" si="13">K201*L201</f>
        <v>43.75</v>
      </c>
      <c r="N201" s="31">
        <f t="shared" ref="N201:N264" si="14">K201+M201</f>
        <v>918.75</v>
      </c>
      <c r="O201" s="25"/>
      <c r="P201" s="78">
        <v>45642</v>
      </c>
      <c r="Q201" s="81"/>
      <c r="R201" s="26" t="s">
        <v>876</v>
      </c>
      <c r="S201" s="21"/>
      <c r="T201" s="32" t="s">
        <v>265</v>
      </c>
      <c r="U201" s="21"/>
    </row>
    <row r="202" spans="1:21" ht="20.100000000000001" customHeight="1" x14ac:dyDescent="0.3">
      <c r="A202" s="44">
        <v>194</v>
      </c>
      <c r="B202" s="78">
        <v>45663</v>
      </c>
      <c r="C202" s="79"/>
      <c r="D202" s="80" t="s">
        <v>500</v>
      </c>
      <c r="E202" s="81"/>
      <c r="F202" s="82">
        <v>8</v>
      </c>
      <c r="G202" s="83" t="s">
        <v>18</v>
      </c>
      <c r="H202" s="82">
        <v>25</v>
      </c>
      <c r="I202" s="27">
        <f t="shared" si="12"/>
        <v>200</v>
      </c>
      <c r="J202" s="28"/>
      <c r="K202" s="29">
        <v>6000</v>
      </c>
      <c r="L202" s="30"/>
      <c r="M202" s="31">
        <f t="shared" si="13"/>
        <v>0</v>
      </c>
      <c r="N202" s="31">
        <f t="shared" si="14"/>
        <v>6000</v>
      </c>
      <c r="O202" s="25"/>
      <c r="P202" s="78">
        <v>45664</v>
      </c>
      <c r="Q202" s="81"/>
      <c r="R202" s="26" t="s">
        <v>877</v>
      </c>
      <c r="S202" s="21"/>
      <c r="T202" s="32" t="s">
        <v>609</v>
      </c>
      <c r="U202" s="21"/>
    </row>
    <row r="203" spans="1:21" ht="20.100000000000001" customHeight="1" x14ac:dyDescent="0.3">
      <c r="A203" s="44">
        <v>195</v>
      </c>
      <c r="B203" s="78">
        <v>45663</v>
      </c>
      <c r="C203" s="79"/>
      <c r="D203" s="80" t="s">
        <v>863</v>
      </c>
      <c r="E203" s="81"/>
      <c r="F203" s="82">
        <v>2</v>
      </c>
      <c r="G203" s="83" t="s">
        <v>18</v>
      </c>
      <c r="H203" s="82">
        <v>14</v>
      </c>
      <c r="I203" s="27">
        <f t="shared" si="12"/>
        <v>28</v>
      </c>
      <c r="J203" s="28"/>
      <c r="K203" s="29">
        <v>319000</v>
      </c>
      <c r="L203" s="30"/>
      <c r="M203" s="31">
        <f t="shared" si="13"/>
        <v>0</v>
      </c>
      <c r="N203" s="31">
        <f t="shared" si="14"/>
        <v>319000</v>
      </c>
      <c r="O203" s="25"/>
      <c r="P203" s="78">
        <v>45664</v>
      </c>
      <c r="Q203" s="81"/>
      <c r="R203" s="26" t="s">
        <v>877</v>
      </c>
      <c r="S203" s="21"/>
      <c r="T203" s="32" t="s">
        <v>609</v>
      </c>
      <c r="U203" s="21"/>
    </row>
    <row r="204" spans="1:21" ht="20.100000000000001" customHeight="1" x14ac:dyDescent="0.3">
      <c r="A204" s="44">
        <v>196</v>
      </c>
      <c r="B204" s="78">
        <v>45679</v>
      </c>
      <c r="C204" s="79"/>
      <c r="D204" s="80" t="s">
        <v>868</v>
      </c>
      <c r="E204" s="81"/>
      <c r="F204" s="82">
        <v>30</v>
      </c>
      <c r="G204" s="83" t="s">
        <v>18</v>
      </c>
      <c r="H204" s="82">
        <v>1</v>
      </c>
      <c r="I204" s="27">
        <f t="shared" si="12"/>
        <v>30</v>
      </c>
      <c r="J204" s="28"/>
      <c r="K204" s="29">
        <v>3500</v>
      </c>
      <c r="L204" s="30"/>
      <c r="M204" s="31">
        <f t="shared" si="13"/>
        <v>0</v>
      </c>
      <c r="N204" s="31">
        <f t="shared" si="14"/>
        <v>3500</v>
      </c>
      <c r="O204" s="25"/>
      <c r="P204" s="78">
        <v>45681</v>
      </c>
      <c r="Q204" s="81"/>
      <c r="R204" s="26" t="s">
        <v>878</v>
      </c>
      <c r="S204" s="21"/>
      <c r="T204" s="32" t="s">
        <v>323</v>
      </c>
      <c r="U204" s="21"/>
    </row>
    <row r="205" spans="1:21" ht="20.100000000000001" customHeight="1" x14ac:dyDescent="0.3">
      <c r="A205" s="44">
        <v>197</v>
      </c>
      <c r="B205" s="78">
        <v>45685</v>
      </c>
      <c r="C205" s="79"/>
      <c r="D205" s="80" t="s">
        <v>720</v>
      </c>
      <c r="E205" s="81"/>
      <c r="F205" s="82">
        <v>40</v>
      </c>
      <c r="G205" s="83" t="s">
        <v>18</v>
      </c>
      <c r="H205" s="82">
        <v>25</v>
      </c>
      <c r="I205" s="27">
        <f t="shared" si="12"/>
        <v>1000</v>
      </c>
      <c r="J205" s="28"/>
      <c r="K205" s="29">
        <v>6250</v>
      </c>
      <c r="L205" s="30"/>
      <c r="M205" s="31">
        <f t="shared" si="13"/>
        <v>0</v>
      </c>
      <c r="N205" s="31">
        <f t="shared" si="14"/>
        <v>6250</v>
      </c>
      <c r="O205" s="25"/>
      <c r="P205" s="78">
        <v>45685</v>
      </c>
      <c r="Q205" s="81"/>
      <c r="R205" s="26" t="s">
        <v>879</v>
      </c>
      <c r="S205" s="21"/>
      <c r="T205" s="32" t="s">
        <v>74</v>
      </c>
      <c r="U205" s="21"/>
    </row>
    <row r="206" spans="1:21" ht="20.100000000000001" customHeight="1" x14ac:dyDescent="0.3">
      <c r="A206" s="44">
        <v>198</v>
      </c>
      <c r="B206" s="78">
        <v>45685</v>
      </c>
      <c r="C206" s="79"/>
      <c r="D206" s="80" t="s">
        <v>639</v>
      </c>
      <c r="E206" s="81"/>
      <c r="F206" s="82">
        <v>44</v>
      </c>
      <c r="G206" s="83" t="s">
        <v>18</v>
      </c>
      <c r="H206" s="82">
        <v>25</v>
      </c>
      <c r="I206" s="93">
        <f t="shared" si="12"/>
        <v>1100</v>
      </c>
      <c r="J206" s="28"/>
      <c r="K206" s="29">
        <v>4615</v>
      </c>
      <c r="L206" s="30"/>
      <c r="M206" s="31">
        <f t="shared" si="13"/>
        <v>0</v>
      </c>
      <c r="N206" s="31">
        <f t="shared" si="14"/>
        <v>4615</v>
      </c>
      <c r="O206" s="25"/>
      <c r="P206" s="78">
        <v>45685</v>
      </c>
      <c r="Q206" s="81"/>
      <c r="R206" s="26" t="s">
        <v>880</v>
      </c>
      <c r="S206" s="21"/>
      <c r="T206" s="32" t="s">
        <v>609</v>
      </c>
      <c r="U206" s="21"/>
    </row>
    <row r="207" spans="1:21" ht="20.100000000000001" customHeight="1" x14ac:dyDescent="0.3">
      <c r="A207" s="44">
        <v>199</v>
      </c>
      <c r="B207" s="78">
        <v>45693</v>
      </c>
      <c r="C207" s="79"/>
      <c r="D207" s="80" t="s">
        <v>881</v>
      </c>
      <c r="E207" s="81"/>
      <c r="F207" s="82">
        <v>20</v>
      </c>
      <c r="G207" s="83" t="s">
        <v>56</v>
      </c>
      <c r="H207" s="82">
        <v>5</v>
      </c>
      <c r="I207" s="27">
        <f t="shared" si="12"/>
        <v>100</v>
      </c>
      <c r="J207" s="28"/>
      <c r="K207" s="29">
        <v>2587.1999999999998</v>
      </c>
      <c r="L207" s="30">
        <v>0.12</v>
      </c>
      <c r="M207" s="31">
        <f t="shared" si="13"/>
        <v>310.46399999999994</v>
      </c>
      <c r="N207" s="31">
        <f t="shared" si="14"/>
        <v>2897.6639999999998</v>
      </c>
      <c r="O207" s="25"/>
      <c r="P207" s="78">
        <v>45693</v>
      </c>
      <c r="Q207" s="81"/>
      <c r="R207" s="26" t="s">
        <v>883</v>
      </c>
      <c r="S207" s="21"/>
      <c r="T207" s="32" t="s">
        <v>609</v>
      </c>
      <c r="U207" s="21"/>
    </row>
    <row r="208" spans="1:21" ht="20.100000000000001" customHeight="1" x14ac:dyDescent="0.3">
      <c r="A208" s="44">
        <v>200</v>
      </c>
      <c r="B208" s="78">
        <v>45693</v>
      </c>
      <c r="C208" s="79"/>
      <c r="D208" s="80" t="s">
        <v>723</v>
      </c>
      <c r="E208" s="81"/>
      <c r="F208" s="82">
        <v>400</v>
      </c>
      <c r="G208" s="83" t="s">
        <v>230</v>
      </c>
      <c r="H208" s="82">
        <v>50</v>
      </c>
      <c r="I208" s="27">
        <f t="shared" si="12"/>
        <v>20000</v>
      </c>
      <c r="J208" s="28"/>
      <c r="K208" s="29">
        <v>116</v>
      </c>
      <c r="L208" s="30">
        <v>0.12</v>
      </c>
      <c r="M208" s="31">
        <f t="shared" si="13"/>
        <v>13.92</v>
      </c>
      <c r="N208" s="31">
        <f t="shared" si="14"/>
        <v>129.91999999999999</v>
      </c>
      <c r="O208" s="25"/>
      <c r="P208" s="78">
        <v>45693</v>
      </c>
      <c r="Q208" s="81"/>
      <c r="R208" s="26" t="s">
        <v>883</v>
      </c>
      <c r="S208" s="21"/>
      <c r="T208" s="32" t="s">
        <v>609</v>
      </c>
      <c r="U208" s="21"/>
    </row>
    <row r="209" spans="1:21" ht="20.100000000000001" customHeight="1" x14ac:dyDescent="0.3">
      <c r="A209" s="44">
        <v>201</v>
      </c>
      <c r="B209" s="78">
        <v>45693</v>
      </c>
      <c r="C209" s="79"/>
      <c r="D209" s="80" t="s">
        <v>882</v>
      </c>
      <c r="E209" s="81"/>
      <c r="F209" s="82">
        <v>132</v>
      </c>
      <c r="G209" s="83" t="s">
        <v>230</v>
      </c>
      <c r="H209" s="82">
        <v>240</v>
      </c>
      <c r="I209" s="27">
        <f t="shared" si="12"/>
        <v>31680</v>
      </c>
      <c r="J209" s="28"/>
      <c r="K209" s="29">
        <v>3575</v>
      </c>
      <c r="L209" s="30">
        <v>0.12</v>
      </c>
      <c r="M209" s="31">
        <f t="shared" si="13"/>
        <v>429</v>
      </c>
      <c r="N209" s="31">
        <f t="shared" si="14"/>
        <v>4004</v>
      </c>
      <c r="O209" s="25"/>
      <c r="P209" s="78">
        <v>45693</v>
      </c>
      <c r="Q209" s="81"/>
      <c r="R209" s="26" t="s">
        <v>883</v>
      </c>
      <c r="S209" s="21"/>
      <c r="T209" s="32" t="s">
        <v>609</v>
      </c>
      <c r="U209" s="21"/>
    </row>
    <row r="210" spans="1:21" ht="20.100000000000001" customHeight="1" x14ac:dyDescent="0.3">
      <c r="A210" s="44">
        <v>202</v>
      </c>
      <c r="B210" s="78">
        <v>45693</v>
      </c>
      <c r="C210" s="79"/>
      <c r="D210" s="80" t="s">
        <v>396</v>
      </c>
      <c r="E210" s="81"/>
      <c r="F210" s="82">
        <v>100</v>
      </c>
      <c r="G210" s="83" t="s">
        <v>230</v>
      </c>
      <c r="H210" s="82">
        <v>100</v>
      </c>
      <c r="I210" s="27">
        <f t="shared" si="12"/>
        <v>10000</v>
      </c>
      <c r="J210" s="28"/>
      <c r="K210" s="29">
        <v>319.24</v>
      </c>
      <c r="L210" s="30">
        <v>0.12</v>
      </c>
      <c r="M210" s="31">
        <f t="shared" si="13"/>
        <v>38.308799999999998</v>
      </c>
      <c r="N210" s="31">
        <f t="shared" si="14"/>
        <v>357.54880000000003</v>
      </c>
      <c r="O210" s="25"/>
      <c r="P210" s="78">
        <v>45693</v>
      </c>
      <c r="Q210" s="81"/>
      <c r="R210" s="26" t="s">
        <v>883</v>
      </c>
      <c r="S210" s="21"/>
      <c r="T210" s="32" t="s">
        <v>609</v>
      </c>
      <c r="U210" s="21"/>
    </row>
    <row r="211" spans="1:21" ht="20.100000000000001" customHeight="1" x14ac:dyDescent="0.3">
      <c r="A211" s="44">
        <v>203</v>
      </c>
      <c r="B211" s="78">
        <v>45693</v>
      </c>
      <c r="C211" s="79"/>
      <c r="D211" s="80" t="s">
        <v>400</v>
      </c>
      <c r="E211" s="81"/>
      <c r="F211" s="82">
        <v>500</v>
      </c>
      <c r="G211" s="83" t="s">
        <v>230</v>
      </c>
      <c r="H211" s="82">
        <v>1</v>
      </c>
      <c r="I211" s="27">
        <f t="shared" si="12"/>
        <v>500</v>
      </c>
      <c r="J211" s="28"/>
      <c r="K211" s="29">
        <v>75</v>
      </c>
      <c r="L211" s="30">
        <v>0.12</v>
      </c>
      <c r="M211" s="31">
        <f t="shared" si="13"/>
        <v>9</v>
      </c>
      <c r="N211" s="31">
        <f t="shared" si="14"/>
        <v>84</v>
      </c>
      <c r="O211" s="25"/>
      <c r="P211" s="78">
        <v>45693</v>
      </c>
      <c r="Q211" s="81"/>
      <c r="R211" s="26" t="s">
        <v>884</v>
      </c>
      <c r="S211" s="21"/>
      <c r="T211" s="32" t="s">
        <v>713</v>
      </c>
      <c r="U211" s="21"/>
    </row>
    <row r="212" spans="1:21" ht="20.100000000000001" customHeight="1" x14ac:dyDescent="0.3">
      <c r="A212" s="44">
        <v>204</v>
      </c>
      <c r="B212" s="78">
        <v>45693</v>
      </c>
      <c r="C212" s="79"/>
      <c r="D212" s="80" t="s">
        <v>715</v>
      </c>
      <c r="E212" s="81"/>
      <c r="F212" s="82">
        <v>100</v>
      </c>
      <c r="G212" s="83" t="s">
        <v>109</v>
      </c>
      <c r="H212" s="82">
        <v>10</v>
      </c>
      <c r="I212" s="27">
        <f t="shared" si="12"/>
        <v>1000</v>
      </c>
      <c r="J212" s="28"/>
      <c r="K212" s="29">
        <v>200</v>
      </c>
      <c r="L212" s="30">
        <v>0.18</v>
      </c>
      <c r="M212" s="31">
        <f t="shared" si="13"/>
        <v>36</v>
      </c>
      <c r="N212" s="31">
        <f t="shared" si="14"/>
        <v>236</v>
      </c>
      <c r="O212" s="25"/>
      <c r="P212" s="78">
        <v>45694</v>
      </c>
      <c r="Q212" s="81"/>
      <c r="R212" s="26" t="s">
        <v>885</v>
      </c>
      <c r="S212" s="21"/>
      <c r="T212" s="32" t="s">
        <v>315</v>
      </c>
      <c r="U212" s="21"/>
    </row>
    <row r="213" spans="1:21" ht="20.100000000000001" customHeight="1" x14ac:dyDescent="0.3">
      <c r="A213" s="44">
        <v>205</v>
      </c>
      <c r="B213" s="78">
        <v>45693</v>
      </c>
      <c r="C213" s="79"/>
      <c r="D213" s="80" t="s">
        <v>507</v>
      </c>
      <c r="E213" s="81"/>
      <c r="F213" s="82">
        <v>20</v>
      </c>
      <c r="G213" s="83" t="s">
        <v>56</v>
      </c>
      <c r="H213" s="82">
        <v>5</v>
      </c>
      <c r="I213" s="27">
        <f t="shared" si="12"/>
        <v>100</v>
      </c>
      <c r="J213" s="28"/>
      <c r="K213" s="29">
        <v>1172</v>
      </c>
      <c r="L213" s="30">
        <v>0.18</v>
      </c>
      <c r="M213" s="31">
        <f t="shared" si="13"/>
        <v>210.95999999999998</v>
      </c>
      <c r="N213" s="31">
        <f t="shared" si="14"/>
        <v>1382.96</v>
      </c>
      <c r="O213" s="25"/>
      <c r="P213" s="78">
        <v>45694</v>
      </c>
      <c r="Q213" s="81"/>
      <c r="R213" s="26" t="s">
        <v>885</v>
      </c>
      <c r="S213" s="21"/>
      <c r="T213" s="32" t="s">
        <v>315</v>
      </c>
      <c r="U213" s="21"/>
    </row>
    <row r="214" spans="1:21" ht="20.100000000000001" customHeight="1" x14ac:dyDescent="0.3">
      <c r="A214" s="44">
        <v>206</v>
      </c>
      <c r="B214" s="78">
        <v>45693</v>
      </c>
      <c r="C214" s="79"/>
      <c r="D214" s="80" t="s">
        <v>602</v>
      </c>
      <c r="E214" s="81"/>
      <c r="F214" s="82">
        <v>51</v>
      </c>
      <c r="G214" s="83" t="s">
        <v>51</v>
      </c>
      <c r="H214" s="82">
        <v>1000</v>
      </c>
      <c r="I214" s="27">
        <f t="shared" si="12"/>
        <v>51000</v>
      </c>
      <c r="J214" s="28"/>
      <c r="K214" s="29">
        <v>1500.04</v>
      </c>
      <c r="L214" s="30">
        <v>0.05</v>
      </c>
      <c r="M214" s="31">
        <f t="shared" si="13"/>
        <v>75.001999999999995</v>
      </c>
      <c r="N214" s="31">
        <f t="shared" si="14"/>
        <v>1575.0419999999999</v>
      </c>
      <c r="O214" s="25"/>
      <c r="P214" s="78">
        <v>45694</v>
      </c>
      <c r="Q214" s="81"/>
      <c r="R214" s="26" t="s">
        <v>888</v>
      </c>
      <c r="S214" s="21"/>
      <c r="T214" s="32" t="s">
        <v>124</v>
      </c>
      <c r="U214" s="21"/>
    </row>
    <row r="215" spans="1:21" ht="20.100000000000001" customHeight="1" x14ac:dyDescent="0.3">
      <c r="A215" s="44">
        <v>207</v>
      </c>
      <c r="B215" s="78">
        <v>45693</v>
      </c>
      <c r="C215" s="79"/>
      <c r="D215" s="80" t="s">
        <v>886</v>
      </c>
      <c r="E215" s="81"/>
      <c r="F215" s="82">
        <v>30</v>
      </c>
      <c r="G215" s="83" t="s">
        <v>51</v>
      </c>
      <c r="H215" s="82">
        <v>1000</v>
      </c>
      <c r="I215" s="27">
        <f t="shared" si="12"/>
        <v>30000</v>
      </c>
      <c r="J215" s="28"/>
      <c r="K215" s="29">
        <v>945.02</v>
      </c>
      <c r="L215" s="30">
        <v>0.05</v>
      </c>
      <c r="M215" s="31">
        <f t="shared" si="13"/>
        <v>47.251000000000005</v>
      </c>
      <c r="N215" s="31">
        <f t="shared" si="14"/>
        <v>992.27099999999996</v>
      </c>
      <c r="O215" s="25"/>
      <c r="P215" s="78">
        <v>45694</v>
      </c>
      <c r="Q215" s="81"/>
      <c r="R215" s="26" t="s">
        <v>888</v>
      </c>
      <c r="S215" s="21"/>
      <c r="T215" s="32" t="s">
        <v>124</v>
      </c>
      <c r="U215" s="21"/>
    </row>
    <row r="216" spans="1:21" ht="20.100000000000001" customHeight="1" x14ac:dyDescent="0.3">
      <c r="A216" s="44">
        <v>208</v>
      </c>
      <c r="B216" s="78">
        <v>45693</v>
      </c>
      <c r="C216" s="79"/>
      <c r="D216" s="80" t="s">
        <v>887</v>
      </c>
      <c r="E216" s="81"/>
      <c r="F216" s="82">
        <v>24</v>
      </c>
      <c r="G216" s="83" t="s">
        <v>51</v>
      </c>
      <c r="H216" s="82">
        <v>1000</v>
      </c>
      <c r="I216" s="27">
        <f t="shared" si="12"/>
        <v>24000</v>
      </c>
      <c r="J216" s="28"/>
      <c r="K216" s="29">
        <v>2499.31</v>
      </c>
      <c r="L216" s="30">
        <v>0.05</v>
      </c>
      <c r="M216" s="31">
        <f t="shared" si="13"/>
        <v>124.96550000000001</v>
      </c>
      <c r="N216" s="31">
        <f t="shared" si="14"/>
        <v>2624.2754999999997</v>
      </c>
      <c r="O216" s="25"/>
      <c r="P216" s="78">
        <v>45694</v>
      </c>
      <c r="Q216" s="81"/>
      <c r="R216" s="26" t="s">
        <v>888</v>
      </c>
      <c r="S216" s="21"/>
      <c r="T216" s="32" t="s">
        <v>124</v>
      </c>
      <c r="U216" s="21"/>
    </row>
    <row r="217" spans="1:21" ht="20.100000000000001" customHeight="1" x14ac:dyDescent="0.3">
      <c r="A217" s="44">
        <v>209</v>
      </c>
      <c r="B217" s="78">
        <v>45693</v>
      </c>
      <c r="C217" s="79"/>
      <c r="D217" s="80" t="s">
        <v>345</v>
      </c>
      <c r="E217" s="81"/>
      <c r="F217" s="82">
        <v>40</v>
      </c>
      <c r="G217" s="83" t="s">
        <v>51</v>
      </c>
      <c r="H217" s="82">
        <v>2500</v>
      </c>
      <c r="I217" s="27">
        <f t="shared" si="12"/>
        <v>100000</v>
      </c>
      <c r="J217" s="28"/>
      <c r="K217" s="29">
        <v>550</v>
      </c>
      <c r="L217" s="30">
        <v>0.05</v>
      </c>
      <c r="M217" s="31">
        <f t="shared" si="13"/>
        <v>27.5</v>
      </c>
      <c r="N217" s="31">
        <f t="shared" si="14"/>
        <v>577.5</v>
      </c>
      <c r="O217" s="25"/>
      <c r="P217" s="78">
        <v>45694</v>
      </c>
      <c r="Q217" s="81"/>
      <c r="R217" s="26" t="s">
        <v>889</v>
      </c>
      <c r="S217" s="21"/>
      <c r="T217" s="32" t="s">
        <v>682</v>
      </c>
      <c r="U217" s="21"/>
    </row>
    <row r="218" spans="1:21" ht="20.100000000000001" customHeight="1" x14ac:dyDescent="0.3">
      <c r="A218" s="44">
        <v>210</v>
      </c>
      <c r="B218" s="78">
        <v>45693</v>
      </c>
      <c r="C218" s="79"/>
      <c r="D218" s="80" t="s">
        <v>535</v>
      </c>
      <c r="E218" s="81"/>
      <c r="F218" s="82">
        <v>51</v>
      </c>
      <c r="G218" s="83" t="s">
        <v>51</v>
      </c>
      <c r="H218" s="82">
        <v>1000</v>
      </c>
      <c r="I218" s="27">
        <f t="shared" si="12"/>
        <v>51000</v>
      </c>
      <c r="J218" s="28"/>
      <c r="K218" s="29">
        <v>170</v>
      </c>
      <c r="L218" s="30">
        <v>0.05</v>
      </c>
      <c r="M218" s="31">
        <f t="shared" si="13"/>
        <v>8.5</v>
      </c>
      <c r="N218" s="31">
        <f t="shared" si="14"/>
        <v>178.5</v>
      </c>
      <c r="O218" s="25"/>
      <c r="P218" s="78">
        <v>45694</v>
      </c>
      <c r="Q218" s="81"/>
      <c r="R218" s="26" t="s">
        <v>895</v>
      </c>
      <c r="S218" s="21"/>
      <c r="T218" s="32" t="s">
        <v>309</v>
      </c>
      <c r="U218" s="21"/>
    </row>
    <row r="219" spans="1:21" ht="20.100000000000001" customHeight="1" x14ac:dyDescent="0.3">
      <c r="A219" s="44">
        <v>211</v>
      </c>
      <c r="B219" s="78">
        <v>45693</v>
      </c>
      <c r="C219" s="79"/>
      <c r="D219" s="80" t="s">
        <v>890</v>
      </c>
      <c r="E219" s="81"/>
      <c r="F219" s="82">
        <v>102</v>
      </c>
      <c r="G219" s="83" t="s">
        <v>51</v>
      </c>
      <c r="H219" s="82">
        <v>1000</v>
      </c>
      <c r="I219" s="27">
        <f t="shared" si="12"/>
        <v>102000</v>
      </c>
      <c r="J219" s="28"/>
      <c r="K219" s="29">
        <v>230</v>
      </c>
      <c r="L219" s="30">
        <v>0.05</v>
      </c>
      <c r="M219" s="31">
        <f t="shared" si="13"/>
        <v>11.5</v>
      </c>
      <c r="N219" s="31">
        <f t="shared" si="14"/>
        <v>241.5</v>
      </c>
      <c r="O219" s="25"/>
      <c r="P219" s="78">
        <v>45694</v>
      </c>
      <c r="Q219" s="81"/>
      <c r="R219" s="26" t="s">
        <v>895</v>
      </c>
      <c r="S219" s="21"/>
      <c r="T219" s="32" t="s">
        <v>309</v>
      </c>
      <c r="U219" s="21"/>
    </row>
    <row r="220" spans="1:21" ht="20.100000000000001" customHeight="1" x14ac:dyDescent="0.3">
      <c r="A220" s="44">
        <v>212</v>
      </c>
      <c r="B220" s="78">
        <v>45693</v>
      </c>
      <c r="C220" s="79"/>
      <c r="D220" s="80" t="s">
        <v>891</v>
      </c>
      <c r="E220" s="81"/>
      <c r="F220" s="82">
        <v>51</v>
      </c>
      <c r="G220" s="83" t="s">
        <v>51</v>
      </c>
      <c r="H220" s="82">
        <v>1000</v>
      </c>
      <c r="I220" s="27">
        <f t="shared" si="12"/>
        <v>51000</v>
      </c>
      <c r="J220" s="28"/>
      <c r="K220" s="29">
        <v>106</v>
      </c>
      <c r="L220" s="30">
        <v>0.05</v>
      </c>
      <c r="M220" s="31">
        <f t="shared" si="13"/>
        <v>5.3000000000000007</v>
      </c>
      <c r="N220" s="31">
        <f t="shared" si="14"/>
        <v>111.3</v>
      </c>
      <c r="O220" s="25"/>
      <c r="P220" s="78">
        <v>45694</v>
      </c>
      <c r="Q220" s="81"/>
      <c r="R220" s="26" t="s">
        <v>895</v>
      </c>
      <c r="S220" s="21"/>
      <c r="T220" s="32" t="s">
        <v>309</v>
      </c>
      <c r="U220" s="21"/>
    </row>
    <row r="221" spans="1:21" ht="20.100000000000001" customHeight="1" x14ac:dyDescent="0.3">
      <c r="A221" s="44">
        <v>213</v>
      </c>
      <c r="B221" s="78">
        <v>45693</v>
      </c>
      <c r="C221" s="79"/>
      <c r="D221" s="80" t="s">
        <v>256</v>
      </c>
      <c r="E221" s="81"/>
      <c r="F221" s="82">
        <v>51</v>
      </c>
      <c r="G221" s="83" t="s">
        <v>51</v>
      </c>
      <c r="H221" s="82">
        <v>1000</v>
      </c>
      <c r="I221" s="27">
        <f t="shared" si="12"/>
        <v>51000</v>
      </c>
      <c r="J221" s="28"/>
      <c r="K221" s="29">
        <v>56</v>
      </c>
      <c r="L221" s="30">
        <v>0.05</v>
      </c>
      <c r="M221" s="31">
        <f t="shared" si="13"/>
        <v>2.8000000000000003</v>
      </c>
      <c r="N221" s="31">
        <f t="shared" si="14"/>
        <v>58.8</v>
      </c>
      <c r="O221" s="25"/>
      <c r="P221" s="78">
        <v>45694</v>
      </c>
      <c r="Q221" s="81"/>
      <c r="R221" s="26" t="s">
        <v>895</v>
      </c>
      <c r="S221" s="21"/>
      <c r="T221" s="32" t="s">
        <v>309</v>
      </c>
      <c r="U221" s="21"/>
    </row>
    <row r="222" spans="1:21" ht="20.100000000000001" customHeight="1" x14ac:dyDescent="0.3">
      <c r="A222" s="44">
        <v>214</v>
      </c>
      <c r="B222" s="78">
        <v>45693</v>
      </c>
      <c r="C222" s="79"/>
      <c r="D222" s="80" t="s">
        <v>246</v>
      </c>
      <c r="E222" s="81"/>
      <c r="F222" s="82">
        <v>51</v>
      </c>
      <c r="G222" s="83" t="s">
        <v>51</v>
      </c>
      <c r="H222" s="82">
        <v>1000</v>
      </c>
      <c r="I222" s="27">
        <f t="shared" si="12"/>
        <v>51000</v>
      </c>
      <c r="J222" s="28"/>
      <c r="K222" s="29">
        <v>125</v>
      </c>
      <c r="L222" s="30">
        <v>0.05</v>
      </c>
      <c r="M222" s="31">
        <f t="shared" si="13"/>
        <v>6.25</v>
      </c>
      <c r="N222" s="31">
        <f t="shared" si="14"/>
        <v>131.25</v>
      </c>
      <c r="O222" s="25"/>
      <c r="P222" s="78">
        <v>45694</v>
      </c>
      <c r="Q222" s="81"/>
      <c r="R222" s="26" t="s">
        <v>895</v>
      </c>
      <c r="S222" s="21"/>
      <c r="T222" s="32" t="s">
        <v>309</v>
      </c>
      <c r="U222" s="21"/>
    </row>
    <row r="223" spans="1:21" ht="20.100000000000001" customHeight="1" x14ac:dyDescent="0.3">
      <c r="A223" s="44">
        <v>215</v>
      </c>
      <c r="B223" s="78">
        <v>45693</v>
      </c>
      <c r="C223" s="79"/>
      <c r="D223" s="80" t="s">
        <v>898</v>
      </c>
      <c r="E223" s="81"/>
      <c r="F223" s="82">
        <v>51</v>
      </c>
      <c r="G223" s="83" t="s">
        <v>51</v>
      </c>
      <c r="H223" s="82">
        <v>1000</v>
      </c>
      <c r="I223" s="27">
        <f t="shared" si="12"/>
        <v>51000</v>
      </c>
      <c r="J223" s="28"/>
      <c r="K223" s="29">
        <v>126</v>
      </c>
      <c r="L223" s="30">
        <v>0.05</v>
      </c>
      <c r="M223" s="31">
        <f t="shared" si="13"/>
        <v>6.3000000000000007</v>
      </c>
      <c r="N223" s="31">
        <f t="shared" si="14"/>
        <v>132.30000000000001</v>
      </c>
      <c r="O223" s="25"/>
      <c r="P223" s="78">
        <v>45694</v>
      </c>
      <c r="Q223" s="81"/>
      <c r="R223" s="26" t="s">
        <v>895</v>
      </c>
      <c r="S223" s="21"/>
      <c r="T223" s="32" t="s">
        <v>309</v>
      </c>
      <c r="U223" s="21"/>
    </row>
    <row r="224" spans="1:21" ht="20.100000000000001" customHeight="1" x14ac:dyDescent="0.3">
      <c r="A224" s="44">
        <v>216</v>
      </c>
      <c r="B224" s="78">
        <v>45693</v>
      </c>
      <c r="C224" s="79"/>
      <c r="D224" s="80" t="s">
        <v>534</v>
      </c>
      <c r="E224" s="81"/>
      <c r="F224" s="82">
        <v>102</v>
      </c>
      <c r="G224" s="83" t="s">
        <v>51</v>
      </c>
      <c r="H224" s="82">
        <v>1000</v>
      </c>
      <c r="I224" s="27">
        <f t="shared" si="12"/>
        <v>102000</v>
      </c>
      <c r="J224" s="28"/>
      <c r="K224" s="29">
        <v>1961</v>
      </c>
      <c r="L224" s="30">
        <v>0.05</v>
      </c>
      <c r="M224" s="31">
        <f t="shared" si="13"/>
        <v>98.050000000000011</v>
      </c>
      <c r="N224" s="31">
        <f t="shared" si="14"/>
        <v>2059.0500000000002</v>
      </c>
      <c r="O224" s="25"/>
      <c r="P224" s="78">
        <v>45694</v>
      </c>
      <c r="Q224" s="81"/>
      <c r="R224" s="26" t="s">
        <v>895</v>
      </c>
      <c r="S224" s="21"/>
      <c r="T224" s="32" t="s">
        <v>309</v>
      </c>
      <c r="U224" s="21"/>
    </row>
    <row r="225" spans="1:21" ht="20.100000000000001" customHeight="1" x14ac:dyDescent="0.3">
      <c r="A225" s="44">
        <v>217</v>
      </c>
      <c r="B225" s="78">
        <v>45693</v>
      </c>
      <c r="C225" s="79"/>
      <c r="D225" s="80" t="s">
        <v>926</v>
      </c>
      <c r="E225" s="81"/>
      <c r="F225" s="82">
        <v>24</v>
      </c>
      <c r="G225" s="83" t="s">
        <v>51</v>
      </c>
      <c r="H225" s="82">
        <v>1000</v>
      </c>
      <c r="I225" s="27">
        <f t="shared" si="12"/>
        <v>24000</v>
      </c>
      <c r="J225" s="28"/>
      <c r="K225" s="29">
        <v>1575</v>
      </c>
      <c r="L225" s="30">
        <v>0.05</v>
      </c>
      <c r="M225" s="31">
        <f t="shared" si="13"/>
        <v>78.75</v>
      </c>
      <c r="N225" s="31">
        <f t="shared" si="14"/>
        <v>1653.75</v>
      </c>
      <c r="O225" s="25"/>
      <c r="P225" s="78">
        <v>45694</v>
      </c>
      <c r="Q225" s="81"/>
      <c r="R225" s="26" t="s">
        <v>895</v>
      </c>
      <c r="S225" s="21"/>
      <c r="T225" s="32" t="s">
        <v>309</v>
      </c>
      <c r="U225" s="21"/>
    </row>
    <row r="226" spans="1:21" ht="20.100000000000001" customHeight="1" x14ac:dyDescent="0.3">
      <c r="A226" s="44">
        <v>218</v>
      </c>
      <c r="B226" s="78">
        <v>45693</v>
      </c>
      <c r="C226" s="79"/>
      <c r="D226" s="80" t="s">
        <v>591</v>
      </c>
      <c r="E226" s="81"/>
      <c r="F226" s="82">
        <v>28</v>
      </c>
      <c r="G226" s="83" t="s">
        <v>51</v>
      </c>
      <c r="H226" s="82">
        <v>1000</v>
      </c>
      <c r="I226" s="27">
        <f t="shared" si="12"/>
        <v>28000</v>
      </c>
      <c r="J226" s="28"/>
      <c r="K226" s="29">
        <v>1025</v>
      </c>
      <c r="L226" s="30">
        <v>0.05</v>
      </c>
      <c r="M226" s="31">
        <f t="shared" si="13"/>
        <v>51.25</v>
      </c>
      <c r="N226" s="31">
        <f t="shared" si="14"/>
        <v>1076.25</v>
      </c>
      <c r="O226" s="25"/>
      <c r="P226" s="78">
        <v>45694</v>
      </c>
      <c r="Q226" s="81"/>
      <c r="R226" s="26" t="s">
        <v>895</v>
      </c>
      <c r="S226" s="21"/>
      <c r="T226" s="32" t="s">
        <v>309</v>
      </c>
      <c r="U226" s="21"/>
    </row>
    <row r="227" spans="1:21" ht="20.100000000000001" customHeight="1" x14ac:dyDescent="0.3">
      <c r="A227" s="44">
        <v>219</v>
      </c>
      <c r="B227" s="78">
        <v>45693</v>
      </c>
      <c r="C227" s="79"/>
      <c r="D227" s="80" t="s">
        <v>248</v>
      </c>
      <c r="E227" s="81"/>
      <c r="F227" s="82">
        <v>56</v>
      </c>
      <c r="G227" s="83" t="s">
        <v>51</v>
      </c>
      <c r="H227" s="82">
        <v>1000</v>
      </c>
      <c r="I227" s="27">
        <f t="shared" si="12"/>
        <v>56000</v>
      </c>
      <c r="J227" s="28"/>
      <c r="K227" s="29">
        <v>2021</v>
      </c>
      <c r="L227" s="30">
        <v>0.05</v>
      </c>
      <c r="M227" s="31">
        <f t="shared" si="13"/>
        <v>101.05000000000001</v>
      </c>
      <c r="N227" s="31">
        <f t="shared" si="14"/>
        <v>2122.0500000000002</v>
      </c>
      <c r="O227" s="25"/>
      <c r="P227" s="78">
        <v>45694</v>
      </c>
      <c r="Q227" s="81"/>
      <c r="R227" s="26" t="s">
        <v>895</v>
      </c>
      <c r="S227" s="21"/>
      <c r="T227" s="32" t="s">
        <v>309</v>
      </c>
      <c r="U227" s="21"/>
    </row>
    <row r="228" spans="1:21" ht="20.100000000000001" customHeight="1" x14ac:dyDescent="0.3">
      <c r="A228" s="44">
        <v>220</v>
      </c>
      <c r="B228" s="78">
        <v>45693</v>
      </c>
      <c r="C228" s="79"/>
      <c r="D228" s="80" t="s">
        <v>249</v>
      </c>
      <c r="E228" s="81"/>
      <c r="F228" s="82">
        <v>51</v>
      </c>
      <c r="G228" s="83" t="s">
        <v>51</v>
      </c>
      <c r="H228" s="82">
        <v>1000</v>
      </c>
      <c r="I228" s="27">
        <f t="shared" si="12"/>
        <v>51000</v>
      </c>
      <c r="J228" s="28"/>
      <c r="K228" s="29">
        <v>2835</v>
      </c>
      <c r="L228" s="30">
        <v>0.05</v>
      </c>
      <c r="M228" s="31">
        <f t="shared" si="13"/>
        <v>141.75</v>
      </c>
      <c r="N228" s="31">
        <f t="shared" si="14"/>
        <v>2976.75</v>
      </c>
      <c r="O228" s="25"/>
      <c r="P228" s="78">
        <v>45694</v>
      </c>
      <c r="Q228" s="81"/>
      <c r="R228" s="26" t="s">
        <v>895</v>
      </c>
      <c r="S228" s="21"/>
      <c r="T228" s="32" t="s">
        <v>309</v>
      </c>
      <c r="U228" s="21"/>
    </row>
    <row r="229" spans="1:21" ht="20.100000000000001" customHeight="1" x14ac:dyDescent="0.3">
      <c r="A229" s="44">
        <v>221</v>
      </c>
      <c r="B229" s="78">
        <v>45693</v>
      </c>
      <c r="C229" s="79"/>
      <c r="D229" s="80" t="s">
        <v>892</v>
      </c>
      <c r="E229" s="81"/>
      <c r="F229" s="82">
        <v>26</v>
      </c>
      <c r="G229" s="83" t="s">
        <v>51</v>
      </c>
      <c r="H229" s="82">
        <v>1000</v>
      </c>
      <c r="I229" s="27">
        <f t="shared" si="12"/>
        <v>26000</v>
      </c>
      <c r="J229" s="28"/>
      <c r="K229" s="29">
        <v>3145</v>
      </c>
      <c r="L229" s="30">
        <v>0.05</v>
      </c>
      <c r="M229" s="31">
        <f t="shared" si="13"/>
        <v>157.25</v>
      </c>
      <c r="N229" s="31">
        <f t="shared" si="14"/>
        <v>3302.25</v>
      </c>
      <c r="O229" s="25"/>
      <c r="P229" s="78">
        <v>45694</v>
      </c>
      <c r="Q229" s="81"/>
      <c r="R229" s="26" t="s">
        <v>895</v>
      </c>
      <c r="S229" s="21"/>
      <c r="T229" s="32" t="s">
        <v>309</v>
      </c>
      <c r="U229" s="21"/>
    </row>
    <row r="230" spans="1:21" ht="20.100000000000001" customHeight="1" x14ac:dyDescent="0.3">
      <c r="A230" s="44">
        <v>222</v>
      </c>
      <c r="B230" s="78">
        <v>45693</v>
      </c>
      <c r="C230" s="79"/>
      <c r="D230" s="80" t="s">
        <v>893</v>
      </c>
      <c r="E230" s="81"/>
      <c r="F230" s="82">
        <v>51</v>
      </c>
      <c r="G230" s="83" t="s">
        <v>51</v>
      </c>
      <c r="H230" s="82">
        <v>1000</v>
      </c>
      <c r="I230" s="27">
        <f t="shared" si="12"/>
        <v>51000</v>
      </c>
      <c r="J230" s="28"/>
      <c r="K230" s="29">
        <v>1549</v>
      </c>
      <c r="L230" s="30">
        <v>0.05</v>
      </c>
      <c r="M230" s="31">
        <f t="shared" si="13"/>
        <v>77.45</v>
      </c>
      <c r="N230" s="31">
        <f t="shared" si="14"/>
        <v>1626.45</v>
      </c>
      <c r="O230" s="25"/>
      <c r="P230" s="78">
        <v>45694</v>
      </c>
      <c r="Q230" s="81"/>
      <c r="R230" s="26" t="s">
        <v>895</v>
      </c>
      <c r="S230" s="21"/>
      <c r="T230" s="32" t="s">
        <v>309</v>
      </c>
      <c r="U230" s="21"/>
    </row>
    <row r="231" spans="1:21" ht="20.100000000000001" customHeight="1" x14ac:dyDescent="0.3">
      <c r="A231" s="44">
        <v>223</v>
      </c>
      <c r="B231" s="78">
        <v>45693</v>
      </c>
      <c r="C231" s="79"/>
      <c r="D231" s="80" t="s">
        <v>894</v>
      </c>
      <c r="E231" s="81"/>
      <c r="F231" s="82">
        <v>51</v>
      </c>
      <c r="G231" s="83" t="s">
        <v>51</v>
      </c>
      <c r="H231" s="82">
        <v>1000</v>
      </c>
      <c r="I231" s="27">
        <f t="shared" si="12"/>
        <v>51000</v>
      </c>
      <c r="J231" s="28"/>
      <c r="K231" s="29">
        <v>945</v>
      </c>
      <c r="L231" s="30">
        <v>0.05</v>
      </c>
      <c r="M231" s="31">
        <f t="shared" si="13"/>
        <v>47.25</v>
      </c>
      <c r="N231" s="31">
        <f t="shared" si="14"/>
        <v>992.25</v>
      </c>
      <c r="O231" s="25"/>
      <c r="P231" s="78">
        <v>45694</v>
      </c>
      <c r="Q231" s="81"/>
      <c r="R231" s="26" t="s">
        <v>895</v>
      </c>
      <c r="S231" s="21"/>
      <c r="T231" s="32" t="s">
        <v>309</v>
      </c>
      <c r="U231" s="21"/>
    </row>
    <row r="232" spans="1:21" ht="20.100000000000001" customHeight="1" x14ac:dyDescent="0.3">
      <c r="A232" s="44">
        <v>224</v>
      </c>
      <c r="B232" s="78">
        <v>45693</v>
      </c>
      <c r="C232" s="79"/>
      <c r="D232" s="80" t="s">
        <v>526</v>
      </c>
      <c r="E232" s="81"/>
      <c r="F232" s="82">
        <v>55</v>
      </c>
      <c r="G232" s="83" t="s">
        <v>230</v>
      </c>
      <c r="H232" s="82">
        <v>200</v>
      </c>
      <c r="I232" s="27">
        <f t="shared" si="12"/>
        <v>11000</v>
      </c>
      <c r="J232" s="28"/>
      <c r="K232" s="91">
        <v>1.75</v>
      </c>
      <c r="L232" s="30">
        <v>0.05</v>
      </c>
      <c r="M232" s="31">
        <f t="shared" si="13"/>
        <v>8.7500000000000008E-2</v>
      </c>
      <c r="N232" s="31">
        <f t="shared" si="14"/>
        <v>1.8374999999999999</v>
      </c>
      <c r="O232" s="25"/>
      <c r="P232" s="78">
        <v>45694</v>
      </c>
      <c r="Q232" s="81"/>
      <c r="R232" s="26" t="s">
        <v>895</v>
      </c>
      <c r="S232" s="21"/>
      <c r="T232" s="32" t="s">
        <v>309</v>
      </c>
      <c r="U232" s="21"/>
    </row>
    <row r="233" spans="1:21" ht="20.100000000000001" customHeight="1" x14ac:dyDescent="0.3">
      <c r="A233" s="44">
        <v>225</v>
      </c>
      <c r="B233" s="78">
        <v>45693</v>
      </c>
      <c r="C233" s="79"/>
      <c r="D233" s="80" t="s">
        <v>527</v>
      </c>
      <c r="E233" s="81"/>
      <c r="F233" s="82">
        <v>55</v>
      </c>
      <c r="G233" s="83" t="s">
        <v>230</v>
      </c>
      <c r="H233" s="82">
        <v>500</v>
      </c>
      <c r="I233" s="27">
        <f t="shared" si="12"/>
        <v>27500</v>
      </c>
      <c r="J233" s="28"/>
      <c r="K233" s="29">
        <v>1.75</v>
      </c>
      <c r="L233" s="30">
        <v>0.05</v>
      </c>
      <c r="M233" s="31">
        <f t="shared" si="13"/>
        <v>8.7500000000000008E-2</v>
      </c>
      <c r="N233" s="31">
        <f t="shared" si="14"/>
        <v>1.8374999999999999</v>
      </c>
      <c r="O233" s="25"/>
      <c r="P233" s="78">
        <v>45694</v>
      </c>
      <c r="Q233" s="81"/>
      <c r="R233" s="26" t="s">
        <v>895</v>
      </c>
      <c r="S233" s="21"/>
      <c r="T233" s="32" t="s">
        <v>309</v>
      </c>
      <c r="U233" s="21"/>
    </row>
    <row r="234" spans="1:21" ht="20.100000000000001" customHeight="1" x14ac:dyDescent="0.3">
      <c r="A234" s="44">
        <v>226</v>
      </c>
      <c r="B234" s="78">
        <v>45693</v>
      </c>
      <c r="C234" s="79"/>
      <c r="D234" s="80" t="s">
        <v>528</v>
      </c>
      <c r="E234" s="81"/>
      <c r="F234" s="82">
        <v>105</v>
      </c>
      <c r="G234" s="83" t="s">
        <v>230</v>
      </c>
      <c r="H234" s="82">
        <v>200</v>
      </c>
      <c r="I234" s="27">
        <f t="shared" si="12"/>
        <v>21000</v>
      </c>
      <c r="J234" s="28"/>
      <c r="K234" s="29">
        <v>1.25</v>
      </c>
      <c r="L234" s="30">
        <v>0.05</v>
      </c>
      <c r="M234" s="31">
        <f t="shared" si="13"/>
        <v>6.25E-2</v>
      </c>
      <c r="N234" s="31">
        <f t="shared" si="14"/>
        <v>1.3125</v>
      </c>
      <c r="O234" s="25"/>
      <c r="P234" s="78">
        <v>45694</v>
      </c>
      <c r="Q234" s="81"/>
      <c r="R234" s="26" t="s">
        <v>895</v>
      </c>
      <c r="S234" s="21"/>
      <c r="T234" s="32" t="s">
        <v>309</v>
      </c>
      <c r="U234" s="21"/>
    </row>
    <row r="235" spans="1:21" ht="20.100000000000001" customHeight="1" x14ac:dyDescent="0.3">
      <c r="A235" s="44">
        <v>227</v>
      </c>
      <c r="B235" s="78">
        <v>45693</v>
      </c>
      <c r="C235" s="79"/>
      <c r="D235" s="80" t="s">
        <v>529</v>
      </c>
      <c r="E235" s="81"/>
      <c r="F235" s="82">
        <v>260</v>
      </c>
      <c r="G235" s="83" t="s">
        <v>230</v>
      </c>
      <c r="H235" s="82">
        <v>30</v>
      </c>
      <c r="I235" s="27">
        <f t="shared" si="12"/>
        <v>7800</v>
      </c>
      <c r="J235" s="28"/>
      <c r="K235" s="29">
        <v>1.75</v>
      </c>
      <c r="L235" s="30">
        <v>0.05</v>
      </c>
      <c r="M235" s="31">
        <f t="shared" si="13"/>
        <v>8.7500000000000008E-2</v>
      </c>
      <c r="N235" s="31">
        <f t="shared" si="14"/>
        <v>1.8374999999999999</v>
      </c>
      <c r="O235" s="25"/>
      <c r="P235" s="78">
        <v>45694</v>
      </c>
      <c r="Q235" s="81"/>
      <c r="R235" s="26" t="s">
        <v>895</v>
      </c>
      <c r="S235" s="21"/>
      <c r="T235" s="32" t="s">
        <v>309</v>
      </c>
      <c r="U235" s="21"/>
    </row>
    <row r="236" spans="1:21" ht="20.100000000000001" customHeight="1" x14ac:dyDescent="0.3">
      <c r="A236" s="44">
        <v>228</v>
      </c>
      <c r="B236" s="78">
        <v>45693</v>
      </c>
      <c r="C236" s="79"/>
      <c r="D236" s="80" t="s">
        <v>899</v>
      </c>
      <c r="E236" s="81"/>
      <c r="F236" s="82">
        <v>51</v>
      </c>
      <c r="G236" s="83" t="s">
        <v>51</v>
      </c>
      <c r="H236" s="82">
        <v>1000</v>
      </c>
      <c r="I236" s="27">
        <f t="shared" si="12"/>
        <v>51000</v>
      </c>
      <c r="J236" s="28"/>
      <c r="K236" s="29">
        <v>480</v>
      </c>
      <c r="L236" s="30">
        <v>0.05</v>
      </c>
      <c r="M236" s="31">
        <f t="shared" si="13"/>
        <v>24</v>
      </c>
      <c r="N236" s="31">
        <f t="shared" si="14"/>
        <v>504</v>
      </c>
      <c r="O236" s="25"/>
      <c r="P236" s="78">
        <v>45694</v>
      </c>
      <c r="Q236" s="81"/>
      <c r="R236" s="26" t="s">
        <v>896</v>
      </c>
      <c r="S236" s="21"/>
      <c r="T236" s="32" t="s">
        <v>265</v>
      </c>
      <c r="U236" s="21"/>
    </row>
    <row r="237" spans="1:21" ht="20.100000000000001" customHeight="1" x14ac:dyDescent="0.3">
      <c r="A237" s="44">
        <v>229</v>
      </c>
      <c r="B237" s="78">
        <v>45693</v>
      </c>
      <c r="C237" s="79"/>
      <c r="D237" s="80" t="s">
        <v>900</v>
      </c>
      <c r="E237" s="81"/>
      <c r="F237" s="82">
        <v>51</v>
      </c>
      <c r="G237" s="83" t="s">
        <v>51</v>
      </c>
      <c r="H237" s="82">
        <v>1000</v>
      </c>
      <c r="I237" s="27">
        <f t="shared" si="12"/>
        <v>51000</v>
      </c>
      <c r="J237" s="28"/>
      <c r="K237" s="29">
        <v>2600</v>
      </c>
      <c r="L237" s="30">
        <v>0.05</v>
      </c>
      <c r="M237" s="31">
        <f t="shared" si="13"/>
        <v>130</v>
      </c>
      <c r="N237" s="31">
        <f t="shared" si="14"/>
        <v>2730</v>
      </c>
      <c r="O237" s="25"/>
      <c r="P237" s="78">
        <v>45694</v>
      </c>
      <c r="Q237" s="81"/>
      <c r="R237" s="26" t="s">
        <v>896</v>
      </c>
      <c r="S237" s="21"/>
      <c r="T237" s="32" t="s">
        <v>265</v>
      </c>
      <c r="U237" s="21"/>
    </row>
    <row r="238" spans="1:21" ht="20.100000000000001" customHeight="1" x14ac:dyDescent="0.3">
      <c r="A238" s="44">
        <v>230</v>
      </c>
      <c r="B238" s="78">
        <v>45693</v>
      </c>
      <c r="C238" s="79"/>
      <c r="D238" s="80" t="s">
        <v>716</v>
      </c>
      <c r="E238" s="81"/>
      <c r="F238" s="82">
        <v>20</v>
      </c>
      <c r="G238" s="83" t="s">
        <v>56</v>
      </c>
      <c r="H238" s="82">
        <v>5</v>
      </c>
      <c r="I238" s="27">
        <f t="shared" si="12"/>
        <v>100</v>
      </c>
      <c r="J238" s="28"/>
      <c r="K238" s="29">
        <v>692</v>
      </c>
      <c r="L238" s="30"/>
      <c r="M238" s="31">
        <f t="shared" si="13"/>
        <v>0</v>
      </c>
      <c r="N238" s="31">
        <f t="shared" si="14"/>
        <v>692</v>
      </c>
      <c r="O238" s="25"/>
      <c r="P238" s="78">
        <v>45694</v>
      </c>
      <c r="Q238" s="81"/>
      <c r="R238" s="26" t="s">
        <v>897</v>
      </c>
      <c r="S238" s="21"/>
      <c r="T238" s="32" t="s">
        <v>671</v>
      </c>
      <c r="U238" s="21"/>
    </row>
    <row r="239" spans="1:21" ht="20.100000000000001" customHeight="1" x14ac:dyDescent="0.3">
      <c r="A239" s="44">
        <v>231</v>
      </c>
      <c r="B239" s="78" t="s">
        <v>189</v>
      </c>
      <c r="C239" s="79"/>
      <c r="D239" s="80" t="s">
        <v>675</v>
      </c>
      <c r="E239" s="79" t="s">
        <v>717</v>
      </c>
      <c r="F239" s="63">
        <v>60</v>
      </c>
      <c r="G239" s="83" t="s">
        <v>18</v>
      </c>
      <c r="H239" s="82">
        <v>5</v>
      </c>
      <c r="I239" s="27">
        <f t="shared" si="12"/>
        <v>300</v>
      </c>
      <c r="J239" s="28"/>
      <c r="K239" s="29">
        <v>2254.59</v>
      </c>
      <c r="L239" s="30"/>
      <c r="M239" s="31">
        <f t="shared" si="13"/>
        <v>0</v>
      </c>
      <c r="N239" s="31">
        <f t="shared" si="14"/>
        <v>2254.59</v>
      </c>
      <c r="O239" s="25"/>
      <c r="P239" s="78">
        <v>45696</v>
      </c>
      <c r="Q239" s="81"/>
      <c r="R239" s="26" t="s">
        <v>901</v>
      </c>
      <c r="S239" s="21"/>
      <c r="T239" s="32" t="s">
        <v>660</v>
      </c>
      <c r="U239" s="21"/>
    </row>
    <row r="240" spans="1:21" ht="20.100000000000001" customHeight="1" x14ac:dyDescent="0.3">
      <c r="A240" s="44">
        <v>232</v>
      </c>
      <c r="B240" s="78">
        <v>45706</v>
      </c>
      <c r="C240" s="79"/>
      <c r="D240" s="80" t="s">
        <v>741</v>
      </c>
      <c r="E240" s="81"/>
      <c r="F240" s="82">
        <v>100</v>
      </c>
      <c r="G240" s="83" t="s">
        <v>51</v>
      </c>
      <c r="H240" s="82">
        <v>2500</v>
      </c>
      <c r="I240" s="27">
        <f t="shared" si="12"/>
        <v>250000</v>
      </c>
      <c r="J240" s="28"/>
      <c r="K240" s="29">
        <v>875</v>
      </c>
      <c r="L240" s="30">
        <v>0.05</v>
      </c>
      <c r="M240" s="31">
        <f t="shared" si="13"/>
        <v>43.75</v>
      </c>
      <c r="N240" s="31">
        <f t="shared" si="14"/>
        <v>918.75</v>
      </c>
      <c r="O240" s="25"/>
      <c r="P240" s="78">
        <v>45708</v>
      </c>
      <c r="Q240" s="81"/>
      <c r="R240" s="26" t="s">
        <v>902</v>
      </c>
      <c r="S240" s="21"/>
      <c r="T240" s="32" t="s">
        <v>265</v>
      </c>
      <c r="U240" s="21"/>
    </row>
    <row r="241" spans="1:21" ht="20.100000000000001" customHeight="1" x14ac:dyDescent="0.3">
      <c r="A241" s="44">
        <v>233</v>
      </c>
      <c r="B241" s="78">
        <v>45713</v>
      </c>
      <c r="C241" s="79"/>
      <c r="D241" s="80" t="s">
        <v>500</v>
      </c>
      <c r="E241" s="81"/>
      <c r="F241" s="82">
        <v>8</v>
      </c>
      <c r="G241" s="83" t="s">
        <v>18</v>
      </c>
      <c r="H241" s="82">
        <v>25</v>
      </c>
      <c r="I241" s="27">
        <f t="shared" si="12"/>
        <v>200</v>
      </c>
      <c r="J241" s="28"/>
      <c r="K241" s="29">
        <v>6000</v>
      </c>
      <c r="L241" s="30"/>
      <c r="M241" s="31">
        <f t="shared" si="13"/>
        <v>0</v>
      </c>
      <c r="N241" s="31">
        <f t="shared" si="14"/>
        <v>6000</v>
      </c>
      <c r="O241" s="25"/>
      <c r="P241" s="78">
        <v>45714</v>
      </c>
      <c r="Q241" s="81"/>
      <c r="R241" s="26" t="s">
        <v>903</v>
      </c>
      <c r="S241" s="21"/>
      <c r="T241" s="32" t="s">
        <v>609</v>
      </c>
      <c r="U241" s="21"/>
    </row>
    <row r="242" spans="1:21" ht="20.100000000000001" customHeight="1" x14ac:dyDescent="0.3">
      <c r="A242" s="44">
        <v>234</v>
      </c>
      <c r="B242" s="78">
        <v>45713</v>
      </c>
      <c r="C242" s="79"/>
      <c r="D242" s="80" t="s">
        <v>296</v>
      </c>
      <c r="E242" s="81"/>
      <c r="F242" s="82">
        <v>20</v>
      </c>
      <c r="G242" s="83" t="s">
        <v>18</v>
      </c>
      <c r="H242" s="82">
        <v>25</v>
      </c>
      <c r="I242" s="27">
        <f t="shared" si="12"/>
        <v>500</v>
      </c>
      <c r="J242" s="28"/>
      <c r="K242" s="29">
        <v>1750</v>
      </c>
      <c r="L242" s="30"/>
      <c r="M242" s="31">
        <f t="shared" si="13"/>
        <v>0</v>
      </c>
      <c r="N242" s="31">
        <f t="shared" si="14"/>
        <v>1750</v>
      </c>
      <c r="O242" s="25"/>
      <c r="P242" s="78">
        <v>45714</v>
      </c>
      <c r="Q242" s="81"/>
      <c r="R242" s="26" t="s">
        <v>903</v>
      </c>
      <c r="S242" s="21"/>
      <c r="T242" s="32" t="s">
        <v>609</v>
      </c>
      <c r="U242" s="21"/>
    </row>
    <row r="243" spans="1:21" ht="20.100000000000001" customHeight="1" x14ac:dyDescent="0.3">
      <c r="A243" s="44">
        <v>235</v>
      </c>
      <c r="B243" s="78">
        <v>45713</v>
      </c>
      <c r="C243" s="79"/>
      <c r="D243" s="80" t="s">
        <v>863</v>
      </c>
      <c r="E243" s="81"/>
      <c r="F243" s="82">
        <v>1</v>
      </c>
      <c r="G243" s="83" t="s">
        <v>18</v>
      </c>
      <c r="H243" s="82">
        <v>14</v>
      </c>
      <c r="I243" s="27">
        <f t="shared" si="12"/>
        <v>14</v>
      </c>
      <c r="J243" s="28"/>
      <c r="K243" s="29">
        <v>319000</v>
      </c>
      <c r="L243" s="30">
        <v>0.12</v>
      </c>
      <c r="M243" s="31">
        <f t="shared" si="13"/>
        <v>38280</v>
      </c>
      <c r="N243" s="31">
        <f t="shared" si="14"/>
        <v>357280</v>
      </c>
      <c r="O243" s="25"/>
      <c r="P243" s="78">
        <v>45714</v>
      </c>
      <c r="Q243" s="81"/>
      <c r="R243" s="26" t="s">
        <v>903</v>
      </c>
      <c r="S243" s="21"/>
      <c r="T243" s="32" t="s">
        <v>609</v>
      </c>
      <c r="U243" s="21"/>
    </row>
    <row r="244" spans="1:21" ht="20.100000000000001" customHeight="1" x14ac:dyDescent="0.3">
      <c r="A244" s="44">
        <v>236</v>
      </c>
      <c r="B244" s="112" t="s">
        <v>719</v>
      </c>
      <c r="C244" s="79"/>
      <c r="D244" s="80" t="s">
        <v>732</v>
      </c>
      <c r="E244" s="81"/>
      <c r="F244" s="82">
        <v>20</v>
      </c>
      <c r="G244" s="83" t="s">
        <v>18</v>
      </c>
      <c r="H244" s="82">
        <v>25</v>
      </c>
      <c r="I244" s="27">
        <f t="shared" si="12"/>
        <v>500</v>
      </c>
      <c r="J244" s="28"/>
      <c r="K244" s="29">
        <v>4625</v>
      </c>
      <c r="L244" s="30"/>
      <c r="M244" s="31">
        <f t="shared" si="13"/>
        <v>0</v>
      </c>
      <c r="N244" s="31">
        <f t="shared" si="14"/>
        <v>4625</v>
      </c>
      <c r="O244" s="25"/>
      <c r="P244" s="78">
        <v>45714</v>
      </c>
      <c r="Q244" s="81"/>
      <c r="R244" s="26" t="s">
        <v>904</v>
      </c>
      <c r="S244" s="21"/>
      <c r="T244" s="32" t="s">
        <v>98</v>
      </c>
      <c r="U244" s="21"/>
    </row>
    <row r="245" spans="1:21" ht="20.100000000000001" customHeight="1" x14ac:dyDescent="0.3">
      <c r="A245" s="44">
        <v>237</v>
      </c>
      <c r="B245" s="78">
        <v>45722</v>
      </c>
      <c r="C245" s="79"/>
      <c r="D245" s="80" t="s">
        <v>905</v>
      </c>
      <c r="E245" s="81"/>
      <c r="F245" s="82">
        <v>20</v>
      </c>
      <c r="G245" s="83" t="s">
        <v>18</v>
      </c>
      <c r="H245" s="82">
        <v>10</v>
      </c>
      <c r="I245" s="27">
        <f t="shared" si="12"/>
        <v>200</v>
      </c>
      <c r="J245" s="28"/>
      <c r="K245" s="29">
        <v>18000</v>
      </c>
      <c r="L245" s="30"/>
      <c r="M245" s="31">
        <f t="shared" si="13"/>
        <v>0</v>
      </c>
      <c r="N245" s="31">
        <f t="shared" si="14"/>
        <v>18000</v>
      </c>
      <c r="O245" s="25"/>
      <c r="P245" s="78">
        <v>45722</v>
      </c>
      <c r="Q245" s="81"/>
      <c r="R245" s="26" t="s">
        <v>906</v>
      </c>
      <c r="S245" s="21"/>
      <c r="T245" s="32" t="s">
        <v>26</v>
      </c>
      <c r="U245" s="21"/>
    </row>
    <row r="246" spans="1:21" ht="20.100000000000001" customHeight="1" x14ac:dyDescent="0.3">
      <c r="A246" s="44">
        <v>238</v>
      </c>
      <c r="B246" s="78">
        <v>45722</v>
      </c>
      <c r="C246" s="79"/>
      <c r="D246" s="80" t="s">
        <v>907</v>
      </c>
      <c r="E246" s="81"/>
      <c r="F246" s="82">
        <v>40</v>
      </c>
      <c r="G246" s="83" t="s">
        <v>18</v>
      </c>
      <c r="H246" s="82">
        <v>25</v>
      </c>
      <c r="I246" s="27">
        <f t="shared" si="12"/>
        <v>1000</v>
      </c>
      <c r="J246" s="28"/>
      <c r="K246" s="29">
        <v>1300</v>
      </c>
      <c r="L246" s="30"/>
      <c r="M246" s="31">
        <f t="shared" si="13"/>
        <v>0</v>
      </c>
      <c r="N246" s="31">
        <f t="shared" si="14"/>
        <v>1300</v>
      </c>
      <c r="O246" s="25"/>
      <c r="P246" s="78">
        <v>45722</v>
      </c>
      <c r="Q246" s="81"/>
      <c r="R246" s="26" t="s">
        <v>908</v>
      </c>
      <c r="S246" s="21"/>
      <c r="T246" s="32" t="s">
        <v>909</v>
      </c>
      <c r="U246" s="21"/>
    </row>
    <row r="247" spans="1:21" ht="20.100000000000001" customHeight="1" x14ac:dyDescent="0.3">
      <c r="A247" s="44">
        <v>239</v>
      </c>
      <c r="B247" s="78">
        <v>45722</v>
      </c>
      <c r="C247" s="79"/>
      <c r="D247" s="80" t="s">
        <v>402</v>
      </c>
      <c r="E247" s="81"/>
      <c r="F247" s="82">
        <v>100</v>
      </c>
      <c r="G247" s="83" t="s">
        <v>18</v>
      </c>
      <c r="H247" s="82">
        <v>1</v>
      </c>
      <c r="I247" s="27">
        <f t="shared" si="12"/>
        <v>100</v>
      </c>
      <c r="J247" s="28"/>
      <c r="K247" s="29">
        <v>720</v>
      </c>
      <c r="L247" s="30"/>
      <c r="M247" s="31">
        <f t="shared" si="13"/>
        <v>0</v>
      </c>
      <c r="N247" s="31">
        <f t="shared" si="14"/>
        <v>720</v>
      </c>
      <c r="O247" s="25"/>
      <c r="P247" s="78">
        <v>45722</v>
      </c>
      <c r="Q247" s="81"/>
      <c r="R247" s="26" t="s">
        <v>910</v>
      </c>
      <c r="S247" s="21"/>
      <c r="T247" s="32" t="s">
        <v>404</v>
      </c>
      <c r="U247" s="21"/>
    </row>
    <row r="248" spans="1:21" ht="20.100000000000001" customHeight="1" x14ac:dyDescent="0.3">
      <c r="A248" s="44">
        <v>240</v>
      </c>
      <c r="B248" s="112" t="s">
        <v>911</v>
      </c>
      <c r="C248" s="79"/>
      <c r="D248" s="80" t="s">
        <v>912</v>
      </c>
      <c r="E248" s="81"/>
      <c r="F248" s="82">
        <v>51</v>
      </c>
      <c r="G248" s="83" t="s">
        <v>51</v>
      </c>
      <c r="H248" s="82">
        <v>1000</v>
      </c>
      <c r="I248" s="27">
        <f t="shared" si="12"/>
        <v>51000</v>
      </c>
      <c r="J248" s="28"/>
      <c r="K248" s="29">
        <v>450</v>
      </c>
      <c r="L248" s="30">
        <v>0.05</v>
      </c>
      <c r="M248" s="31">
        <f t="shared" si="13"/>
        <v>22.5</v>
      </c>
      <c r="N248" s="31">
        <f t="shared" si="14"/>
        <v>472.5</v>
      </c>
      <c r="O248" s="25"/>
      <c r="P248" s="78">
        <v>45726</v>
      </c>
      <c r="Q248" s="81"/>
      <c r="R248" s="26" t="s">
        <v>913</v>
      </c>
      <c r="S248" s="21"/>
      <c r="T248" s="32" t="s">
        <v>124</v>
      </c>
      <c r="U248" s="21"/>
    </row>
    <row r="249" spans="1:21" ht="20.100000000000001" customHeight="1" x14ac:dyDescent="0.3">
      <c r="A249" s="44">
        <v>241</v>
      </c>
      <c r="B249" s="112" t="s">
        <v>911</v>
      </c>
      <c r="C249" s="79"/>
      <c r="D249" s="80" t="s">
        <v>914</v>
      </c>
      <c r="E249" s="81"/>
      <c r="F249" s="82">
        <v>48</v>
      </c>
      <c r="G249" s="83" t="s">
        <v>56</v>
      </c>
      <c r="H249" s="82">
        <v>1</v>
      </c>
      <c r="I249" s="27">
        <f t="shared" si="12"/>
        <v>48</v>
      </c>
      <c r="J249" s="28"/>
      <c r="K249" s="29">
        <v>650</v>
      </c>
      <c r="L249" s="30"/>
      <c r="M249" s="31">
        <f t="shared" si="13"/>
        <v>0</v>
      </c>
      <c r="N249" s="31">
        <f t="shared" si="14"/>
        <v>650</v>
      </c>
      <c r="O249" s="25"/>
      <c r="P249" s="78">
        <v>45726</v>
      </c>
      <c r="Q249" s="81"/>
      <c r="R249" s="26" t="s">
        <v>915</v>
      </c>
      <c r="S249" s="21"/>
      <c r="T249" s="32" t="s">
        <v>909</v>
      </c>
      <c r="U249" s="21"/>
    </row>
    <row r="250" spans="1:21" ht="20.100000000000001" customHeight="1" x14ac:dyDescent="0.3">
      <c r="A250" s="44">
        <v>242</v>
      </c>
      <c r="B250" s="112" t="s">
        <v>911</v>
      </c>
      <c r="C250" s="79"/>
      <c r="D250" s="80" t="s">
        <v>916</v>
      </c>
      <c r="E250" s="81"/>
      <c r="F250" s="82">
        <v>12</v>
      </c>
      <c r="G250" s="83" t="s">
        <v>56</v>
      </c>
      <c r="H250" s="82">
        <v>5</v>
      </c>
      <c r="I250" s="27">
        <f t="shared" si="12"/>
        <v>60</v>
      </c>
      <c r="J250" s="28"/>
      <c r="K250" s="29">
        <v>1228</v>
      </c>
      <c r="L250" s="30"/>
      <c r="M250" s="31">
        <f t="shared" si="13"/>
        <v>0</v>
      </c>
      <c r="N250" s="31">
        <f t="shared" si="14"/>
        <v>1228</v>
      </c>
      <c r="O250" s="25"/>
      <c r="P250" s="78">
        <v>45726</v>
      </c>
      <c r="Q250" s="81"/>
      <c r="R250" s="26" t="s">
        <v>917</v>
      </c>
      <c r="S250" s="21"/>
      <c r="T250" s="32" t="s">
        <v>671</v>
      </c>
      <c r="U250" s="21"/>
    </row>
    <row r="251" spans="1:21" ht="20.100000000000001" customHeight="1" x14ac:dyDescent="0.3">
      <c r="A251" s="44">
        <v>243</v>
      </c>
      <c r="B251" s="78">
        <v>45729</v>
      </c>
      <c r="C251" s="79"/>
      <c r="D251" s="80" t="s">
        <v>561</v>
      </c>
      <c r="E251" s="81"/>
      <c r="F251" s="82">
        <v>20</v>
      </c>
      <c r="G251" s="83" t="s">
        <v>18</v>
      </c>
      <c r="H251" s="82">
        <v>25</v>
      </c>
      <c r="I251" s="27">
        <f t="shared" si="12"/>
        <v>500</v>
      </c>
      <c r="J251" s="28"/>
      <c r="K251" s="29">
        <v>6000</v>
      </c>
      <c r="L251" s="30"/>
      <c r="M251" s="31">
        <f t="shared" si="13"/>
        <v>0</v>
      </c>
      <c r="N251" s="31">
        <f t="shared" si="14"/>
        <v>6000</v>
      </c>
      <c r="O251" s="25"/>
      <c r="P251" s="78">
        <v>45730</v>
      </c>
      <c r="Q251" s="81"/>
      <c r="R251" s="26" t="s">
        <v>918</v>
      </c>
      <c r="S251" s="21"/>
      <c r="T251" s="32" t="s">
        <v>74</v>
      </c>
      <c r="U251" s="21"/>
    </row>
    <row r="252" spans="1:21" ht="20.100000000000001" customHeight="1" x14ac:dyDescent="0.3">
      <c r="A252" s="44">
        <v>244</v>
      </c>
      <c r="B252" s="78">
        <v>45734</v>
      </c>
      <c r="C252" s="79"/>
      <c r="D252" s="80" t="s">
        <v>715</v>
      </c>
      <c r="E252" s="81"/>
      <c r="F252" s="82">
        <v>100</v>
      </c>
      <c r="G252" s="83" t="s">
        <v>109</v>
      </c>
      <c r="H252" s="82">
        <v>10</v>
      </c>
      <c r="I252" s="27">
        <f t="shared" si="12"/>
        <v>1000</v>
      </c>
      <c r="J252" s="28"/>
      <c r="K252" s="29">
        <v>200</v>
      </c>
      <c r="L252" s="30">
        <v>0.18</v>
      </c>
      <c r="M252" s="31">
        <f t="shared" si="13"/>
        <v>36</v>
      </c>
      <c r="N252" s="31">
        <f t="shared" si="14"/>
        <v>236</v>
      </c>
      <c r="O252" s="25"/>
      <c r="P252" s="78">
        <v>45734</v>
      </c>
      <c r="Q252" s="81"/>
      <c r="R252" s="26" t="s">
        <v>919</v>
      </c>
      <c r="S252" s="21"/>
      <c r="T252" s="32" t="s">
        <v>315</v>
      </c>
      <c r="U252" s="21"/>
    </row>
    <row r="253" spans="1:21" ht="20.100000000000001" customHeight="1" x14ac:dyDescent="0.3">
      <c r="A253" s="44">
        <v>245</v>
      </c>
      <c r="B253" s="78">
        <v>45734</v>
      </c>
      <c r="C253" s="79"/>
      <c r="D253" s="80" t="s">
        <v>509</v>
      </c>
      <c r="E253" s="81"/>
      <c r="F253" s="82">
        <v>96</v>
      </c>
      <c r="G253" s="83" t="s">
        <v>56</v>
      </c>
      <c r="H253" s="82">
        <v>1</v>
      </c>
      <c r="I253" s="27">
        <f t="shared" si="12"/>
        <v>96</v>
      </c>
      <c r="J253" s="28"/>
      <c r="K253" s="29">
        <v>580</v>
      </c>
      <c r="L253" s="30"/>
      <c r="M253" s="31">
        <f t="shared" si="13"/>
        <v>0</v>
      </c>
      <c r="N253" s="31">
        <f t="shared" si="14"/>
        <v>580</v>
      </c>
      <c r="O253" s="25"/>
      <c r="P253" s="78">
        <v>45734</v>
      </c>
      <c r="Q253" s="81"/>
      <c r="R253" s="26" t="s">
        <v>920</v>
      </c>
      <c r="S253" s="21"/>
      <c r="T253" s="32" t="s">
        <v>609</v>
      </c>
      <c r="U253" s="21"/>
    </row>
    <row r="254" spans="1:21" ht="20.100000000000001" customHeight="1" x14ac:dyDescent="0.3">
      <c r="A254" s="44">
        <v>246</v>
      </c>
      <c r="B254" s="78">
        <v>45734</v>
      </c>
      <c r="C254" s="79"/>
      <c r="D254" s="80" t="s">
        <v>694</v>
      </c>
      <c r="E254" s="81"/>
      <c r="F254" s="82">
        <v>20</v>
      </c>
      <c r="G254" s="83" t="s">
        <v>56</v>
      </c>
      <c r="H254" s="82">
        <v>5</v>
      </c>
      <c r="I254" s="27">
        <f t="shared" si="12"/>
        <v>100</v>
      </c>
      <c r="J254" s="28"/>
      <c r="K254" s="29">
        <v>4930</v>
      </c>
      <c r="L254" s="30">
        <v>0.18</v>
      </c>
      <c r="M254" s="31">
        <f t="shared" si="13"/>
        <v>887.4</v>
      </c>
      <c r="N254" s="31">
        <f t="shared" si="14"/>
        <v>5817.4</v>
      </c>
      <c r="O254" s="25"/>
      <c r="P254" s="78">
        <v>45734</v>
      </c>
      <c r="Q254" s="81"/>
      <c r="R254" s="26" t="s">
        <v>920</v>
      </c>
      <c r="S254" s="21"/>
      <c r="T254" s="32" t="s">
        <v>609</v>
      </c>
      <c r="U254" s="21"/>
    </row>
    <row r="255" spans="1:21" ht="20.100000000000001" customHeight="1" x14ac:dyDescent="0.3">
      <c r="A255" s="44">
        <v>247</v>
      </c>
      <c r="B255" s="78">
        <v>45734</v>
      </c>
      <c r="C255" s="79"/>
      <c r="D255" s="80" t="s">
        <v>921</v>
      </c>
      <c r="E255" s="81"/>
      <c r="F255" s="82">
        <v>40</v>
      </c>
      <c r="G255" s="83" t="s">
        <v>56</v>
      </c>
      <c r="H255" s="82">
        <v>5</v>
      </c>
      <c r="I255" s="27">
        <f t="shared" si="12"/>
        <v>200</v>
      </c>
      <c r="J255" s="28"/>
      <c r="K255" s="29">
        <v>950</v>
      </c>
      <c r="L255" s="30"/>
      <c r="M255" s="31">
        <f t="shared" si="13"/>
        <v>0</v>
      </c>
      <c r="N255" s="31">
        <f t="shared" si="14"/>
        <v>950</v>
      </c>
      <c r="O255" s="25"/>
      <c r="P255" s="78">
        <v>45734</v>
      </c>
      <c r="Q255" s="81"/>
      <c r="R255" s="26" t="s">
        <v>922</v>
      </c>
      <c r="S255" s="21"/>
      <c r="T255" s="32" t="s">
        <v>923</v>
      </c>
      <c r="U255" s="21"/>
    </row>
    <row r="256" spans="1:21" ht="20.100000000000001" customHeight="1" x14ac:dyDescent="0.3">
      <c r="A256" s="44">
        <v>248</v>
      </c>
      <c r="B256" s="78">
        <v>45734</v>
      </c>
      <c r="C256" s="79"/>
      <c r="D256" s="80" t="s">
        <v>926</v>
      </c>
      <c r="E256" s="81"/>
      <c r="F256" s="82">
        <v>34</v>
      </c>
      <c r="G256" s="83" t="s">
        <v>51</v>
      </c>
      <c r="H256" s="82">
        <v>1000</v>
      </c>
      <c r="I256" s="27">
        <f t="shared" si="12"/>
        <v>34000</v>
      </c>
      <c r="J256" s="28"/>
      <c r="K256" s="29">
        <v>1575</v>
      </c>
      <c r="L256" s="30">
        <v>0.05</v>
      </c>
      <c r="M256" s="31">
        <f t="shared" si="13"/>
        <v>78.75</v>
      </c>
      <c r="N256" s="31">
        <f t="shared" si="14"/>
        <v>1653.75</v>
      </c>
      <c r="O256" s="25"/>
      <c r="P256" s="78">
        <v>45734</v>
      </c>
      <c r="Q256" s="81"/>
      <c r="R256" s="26" t="s">
        <v>927</v>
      </c>
      <c r="S256" s="21"/>
      <c r="T256" s="32" t="s">
        <v>309</v>
      </c>
      <c r="U256" s="21"/>
    </row>
    <row r="257" spans="1:21" ht="20.100000000000001" customHeight="1" x14ac:dyDescent="0.3">
      <c r="A257" s="44">
        <v>249</v>
      </c>
      <c r="B257" s="78">
        <v>45734</v>
      </c>
      <c r="C257" s="79"/>
      <c r="D257" s="80" t="s">
        <v>925</v>
      </c>
      <c r="E257" s="81"/>
      <c r="F257" s="82">
        <v>34</v>
      </c>
      <c r="G257" s="83" t="s">
        <v>51</v>
      </c>
      <c r="H257" s="82">
        <v>1000</v>
      </c>
      <c r="I257" s="27">
        <f t="shared" si="12"/>
        <v>34000</v>
      </c>
      <c r="J257" s="28"/>
      <c r="K257" s="29">
        <v>2730</v>
      </c>
      <c r="L257" s="30">
        <v>0.05</v>
      </c>
      <c r="M257" s="31">
        <f t="shared" si="13"/>
        <v>136.5</v>
      </c>
      <c r="N257" s="31">
        <f t="shared" si="14"/>
        <v>2866.5</v>
      </c>
      <c r="O257" s="25"/>
      <c r="P257" s="78">
        <v>45734</v>
      </c>
      <c r="Q257" s="81"/>
      <c r="R257" s="26" t="s">
        <v>927</v>
      </c>
      <c r="S257" s="21"/>
      <c r="T257" s="32" t="s">
        <v>309</v>
      </c>
      <c r="U257" s="21"/>
    </row>
    <row r="258" spans="1:21" ht="20.100000000000001" customHeight="1" x14ac:dyDescent="0.3">
      <c r="A258" s="44">
        <v>250</v>
      </c>
      <c r="B258" s="78">
        <v>45734</v>
      </c>
      <c r="C258" s="79"/>
      <c r="D258" s="80" t="s">
        <v>924</v>
      </c>
      <c r="E258" s="81"/>
      <c r="F258" s="82">
        <v>34</v>
      </c>
      <c r="G258" s="83" t="s">
        <v>51</v>
      </c>
      <c r="H258" s="82">
        <v>1000</v>
      </c>
      <c r="I258" s="27">
        <f t="shared" si="12"/>
        <v>34000</v>
      </c>
      <c r="J258" s="28"/>
      <c r="K258" s="29">
        <v>5250</v>
      </c>
      <c r="L258" s="30">
        <v>0.05</v>
      </c>
      <c r="M258" s="31">
        <f t="shared" si="13"/>
        <v>262.5</v>
      </c>
      <c r="N258" s="31">
        <f t="shared" si="14"/>
        <v>5512.5</v>
      </c>
      <c r="O258" s="25"/>
      <c r="P258" s="78">
        <v>45734</v>
      </c>
      <c r="Q258" s="81"/>
      <c r="R258" s="26" t="s">
        <v>927</v>
      </c>
      <c r="S258" s="21"/>
      <c r="T258" s="32" t="s">
        <v>309</v>
      </c>
      <c r="U258" s="21"/>
    </row>
    <row r="259" spans="1:21" ht="20.100000000000001" customHeight="1" x14ac:dyDescent="0.3">
      <c r="A259" s="44">
        <v>251</v>
      </c>
      <c r="B259" s="78">
        <v>45734</v>
      </c>
      <c r="C259" s="79"/>
      <c r="D259" s="80" t="s">
        <v>716</v>
      </c>
      <c r="E259" s="81"/>
      <c r="F259" s="82">
        <v>40</v>
      </c>
      <c r="G259" s="83" t="s">
        <v>56</v>
      </c>
      <c r="H259" s="82">
        <v>5</v>
      </c>
      <c r="I259" s="27">
        <f t="shared" si="12"/>
        <v>200</v>
      </c>
      <c r="J259" s="28"/>
      <c r="K259" s="29">
        <v>692</v>
      </c>
      <c r="L259" s="30"/>
      <c r="M259" s="31">
        <f t="shared" si="13"/>
        <v>0</v>
      </c>
      <c r="N259" s="31">
        <f t="shared" si="14"/>
        <v>692</v>
      </c>
      <c r="O259" s="25"/>
      <c r="P259" s="78">
        <v>45734</v>
      </c>
      <c r="Q259" s="81"/>
      <c r="R259" s="26" t="s">
        <v>928</v>
      </c>
      <c r="S259" s="21"/>
      <c r="T259" s="32" t="s">
        <v>671</v>
      </c>
      <c r="U259" s="21"/>
    </row>
    <row r="260" spans="1:21" ht="20.100000000000001" customHeight="1" x14ac:dyDescent="0.3">
      <c r="A260" s="44">
        <v>252</v>
      </c>
      <c r="B260" s="78">
        <v>45737</v>
      </c>
      <c r="C260" s="79"/>
      <c r="D260" s="80" t="s">
        <v>703</v>
      </c>
      <c r="E260" s="81"/>
      <c r="F260" s="82">
        <v>20</v>
      </c>
      <c r="G260" s="83" t="s">
        <v>18</v>
      </c>
      <c r="H260" s="82">
        <v>25</v>
      </c>
      <c r="I260" s="27">
        <f t="shared" si="12"/>
        <v>500</v>
      </c>
      <c r="J260" s="28"/>
      <c r="K260" s="29">
        <v>6250</v>
      </c>
      <c r="L260" s="30"/>
      <c r="M260" s="31">
        <f t="shared" si="13"/>
        <v>0</v>
      </c>
      <c r="N260" s="31">
        <f t="shared" si="14"/>
        <v>6250</v>
      </c>
      <c r="O260" s="25"/>
      <c r="P260" s="78">
        <v>45737</v>
      </c>
      <c r="Q260" s="81"/>
      <c r="R260" s="26" t="s">
        <v>929</v>
      </c>
      <c r="S260" s="21"/>
      <c r="T260" s="32" t="s">
        <v>691</v>
      </c>
      <c r="U260" s="21"/>
    </row>
    <row r="261" spans="1:21" ht="20.100000000000001" customHeight="1" x14ac:dyDescent="0.3">
      <c r="A261" s="44">
        <v>253</v>
      </c>
      <c r="B261" s="78">
        <v>45737</v>
      </c>
      <c r="C261" s="79"/>
      <c r="D261" s="80" t="s">
        <v>481</v>
      </c>
      <c r="E261" s="81"/>
      <c r="F261" s="82">
        <v>50</v>
      </c>
      <c r="G261" s="83" t="s">
        <v>18</v>
      </c>
      <c r="H261" s="82">
        <v>20</v>
      </c>
      <c r="I261" s="27">
        <f t="shared" si="12"/>
        <v>1000</v>
      </c>
      <c r="J261" s="28"/>
      <c r="K261" s="29">
        <v>1800</v>
      </c>
      <c r="L261" s="30"/>
      <c r="M261" s="31">
        <f t="shared" si="13"/>
        <v>0</v>
      </c>
      <c r="N261" s="31">
        <f t="shared" si="14"/>
        <v>1800</v>
      </c>
      <c r="O261" s="25"/>
      <c r="P261" s="78">
        <v>45737</v>
      </c>
      <c r="Q261" s="81"/>
      <c r="R261" s="26" t="s">
        <v>930</v>
      </c>
      <c r="S261" s="21"/>
      <c r="T261" s="32" t="s">
        <v>421</v>
      </c>
      <c r="U261" s="21"/>
    </row>
    <row r="262" spans="1:21" ht="20.100000000000001" customHeight="1" x14ac:dyDescent="0.3">
      <c r="A262" s="44">
        <v>254</v>
      </c>
      <c r="B262" s="78">
        <v>45738</v>
      </c>
      <c r="C262" s="79"/>
      <c r="D262" s="80" t="s">
        <v>699</v>
      </c>
      <c r="E262" s="81"/>
      <c r="F262" s="82">
        <v>5</v>
      </c>
      <c r="G262" s="83" t="s">
        <v>18</v>
      </c>
      <c r="H262" s="82">
        <v>20</v>
      </c>
      <c r="I262" s="27">
        <f>F262*H262</f>
        <v>100</v>
      </c>
      <c r="J262" s="28"/>
      <c r="K262" s="29">
        <v>4500</v>
      </c>
      <c r="L262" s="30"/>
      <c r="M262" s="31">
        <f t="shared" si="13"/>
        <v>0</v>
      </c>
      <c r="N262" s="31">
        <f t="shared" si="14"/>
        <v>4500</v>
      </c>
      <c r="O262" s="25"/>
      <c r="P262" s="78">
        <v>45738</v>
      </c>
      <c r="Q262" s="81"/>
      <c r="R262" s="26" t="s">
        <v>931</v>
      </c>
      <c r="S262" s="21"/>
      <c r="T262" s="32" t="s">
        <v>700</v>
      </c>
      <c r="U262" s="21"/>
    </row>
    <row r="263" spans="1:21" ht="20.100000000000001" customHeight="1" x14ac:dyDescent="0.3">
      <c r="A263" s="44">
        <v>255</v>
      </c>
      <c r="B263" s="78">
        <v>45743</v>
      </c>
      <c r="C263" s="79"/>
      <c r="D263" s="80" t="s">
        <v>675</v>
      </c>
      <c r="E263" s="81"/>
      <c r="F263" s="82">
        <v>60</v>
      </c>
      <c r="G263" s="83" t="s">
        <v>18</v>
      </c>
      <c r="H263" s="82">
        <v>5</v>
      </c>
      <c r="I263" s="27">
        <f t="shared" si="12"/>
        <v>300</v>
      </c>
      <c r="J263" s="28"/>
      <c r="K263" s="29">
        <v>2150</v>
      </c>
      <c r="L263" s="30"/>
      <c r="M263" s="31">
        <f t="shared" si="13"/>
        <v>0</v>
      </c>
      <c r="N263" s="31">
        <f t="shared" si="14"/>
        <v>2150</v>
      </c>
      <c r="O263" s="25"/>
      <c r="P263" s="78">
        <v>45743</v>
      </c>
      <c r="Q263" s="81"/>
      <c r="R263" s="26" t="s">
        <v>932</v>
      </c>
      <c r="S263" s="21"/>
      <c r="T263" s="32" t="s">
        <v>660</v>
      </c>
      <c r="U263" s="21"/>
    </row>
    <row r="264" spans="1:21" ht="20.100000000000001" customHeight="1" x14ac:dyDescent="0.3">
      <c r="A264" s="44">
        <v>256</v>
      </c>
      <c r="B264" s="78">
        <v>45743</v>
      </c>
      <c r="C264" s="79"/>
      <c r="D264" s="80" t="s">
        <v>668</v>
      </c>
      <c r="E264" s="81"/>
      <c r="F264" s="82">
        <v>40</v>
      </c>
      <c r="G264" s="83" t="s">
        <v>18</v>
      </c>
      <c r="H264" s="82">
        <v>25</v>
      </c>
      <c r="I264" s="27">
        <f t="shared" si="12"/>
        <v>1000</v>
      </c>
      <c r="J264" s="28"/>
      <c r="K264" s="29">
        <v>20000</v>
      </c>
      <c r="L264" s="30"/>
      <c r="M264" s="31">
        <f t="shared" si="13"/>
        <v>0</v>
      </c>
      <c r="N264" s="31">
        <f t="shared" si="14"/>
        <v>20000</v>
      </c>
      <c r="O264" s="25"/>
      <c r="P264" s="78">
        <v>45743</v>
      </c>
      <c r="Q264" s="81"/>
      <c r="R264" s="26" t="s">
        <v>933</v>
      </c>
      <c r="S264" s="21"/>
      <c r="T264" s="32" t="s">
        <v>934</v>
      </c>
      <c r="U264" s="21"/>
    </row>
    <row r="265" spans="1:21" ht="20.100000000000001" customHeight="1" x14ac:dyDescent="0.3">
      <c r="A265" s="44">
        <v>257</v>
      </c>
      <c r="B265" s="78">
        <v>45745</v>
      </c>
      <c r="C265" s="79"/>
      <c r="D265" s="80" t="s">
        <v>720</v>
      </c>
      <c r="E265" s="81"/>
      <c r="F265" s="82">
        <v>40</v>
      </c>
      <c r="G265" s="83" t="s">
        <v>18</v>
      </c>
      <c r="H265" s="82">
        <v>25</v>
      </c>
      <c r="I265" s="27">
        <f t="shared" ref="I265:I328" si="15">F265*H265</f>
        <v>1000</v>
      </c>
      <c r="J265" s="28"/>
      <c r="K265" s="29">
        <v>6250</v>
      </c>
      <c r="L265" s="30"/>
      <c r="M265" s="31">
        <f t="shared" ref="M265:M328" si="16">K265*L265</f>
        <v>0</v>
      </c>
      <c r="N265" s="31">
        <f t="shared" ref="N265:N328" si="17">K265+M265</f>
        <v>6250</v>
      </c>
      <c r="O265" s="25"/>
      <c r="P265" s="78">
        <v>45746</v>
      </c>
      <c r="Q265" s="81"/>
      <c r="R265" s="26" t="s">
        <v>942</v>
      </c>
      <c r="S265" s="21"/>
      <c r="T265" s="32" t="s">
        <v>74</v>
      </c>
      <c r="U265" s="21"/>
    </row>
    <row r="266" spans="1:21" ht="20.100000000000001" customHeight="1" x14ac:dyDescent="0.3">
      <c r="A266" s="44">
        <v>258</v>
      </c>
      <c r="B266" s="78"/>
      <c r="C266" s="79"/>
      <c r="D266" s="80"/>
      <c r="E266" s="81"/>
      <c r="F266" s="82"/>
      <c r="G266" s="83"/>
      <c r="H266" s="82"/>
      <c r="I266" s="27">
        <f t="shared" si="15"/>
        <v>0</v>
      </c>
      <c r="J266" s="28"/>
      <c r="K266" s="29"/>
      <c r="L266" s="30"/>
      <c r="M266" s="31">
        <f t="shared" si="16"/>
        <v>0</v>
      </c>
      <c r="N266" s="31">
        <f t="shared" si="17"/>
        <v>0</v>
      </c>
      <c r="O266" s="25"/>
      <c r="P266" s="78"/>
      <c r="Q266" s="81"/>
      <c r="R266" s="82"/>
      <c r="S266" s="21"/>
      <c r="T266" s="32"/>
      <c r="U266" s="21"/>
    </row>
    <row r="267" spans="1:21" ht="20.100000000000001" customHeight="1" x14ac:dyDescent="0.3">
      <c r="A267" s="44">
        <v>259</v>
      </c>
      <c r="B267" s="78"/>
      <c r="C267" s="79"/>
      <c r="D267" s="80"/>
      <c r="E267" s="81"/>
      <c r="F267" s="82"/>
      <c r="G267" s="83"/>
      <c r="H267" s="82"/>
      <c r="I267" s="27">
        <f t="shared" si="15"/>
        <v>0</v>
      </c>
      <c r="J267" s="28"/>
      <c r="K267" s="29"/>
      <c r="L267" s="30"/>
      <c r="M267" s="31">
        <f t="shared" si="16"/>
        <v>0</v>
      </c>
      <c r="N267" s="31">
        <f t="shared" si="17"/>
        <v>0</v>
      </c>
      <c r="O267" s="25"/>
      <c r="P267" s="78"/>
      <c r="Q267" s="81"/>
      <c r="R267" s="82"/>
      <c r="S267" s="21"/>
      <c r="T267" s="32"/>
      <c r="U267" s="21"/>
    </row>
    <row r="268" spans="1:21" ht="20.100000000000001" customHeight="1" x14ac:dyDescent="0.3">
      <c r="A268" s="44">
        <v>260</v>
      </c>
      <c r="B268" s="78"/>
      <c r="C268" s="79"/>
      <c r="D268" s="80"/>
      <c r="E268" s="81"/>
      <c r="F268" s="82"/>
      <c r="G268" s="83"/>
      <c r="H268" s="82"/>
      <c r="I268" s="27">
        <f t="shared" si="15"/>
        <v>0</v>
      </c>
      <c r="J268" s="28"/>
      <c r="K268" s="29"/>
      <c r="L268" s="30"/>
      <c r="M268" s="31">
        <f t="shared" si="16"/>
        <v>0</v>
      </c>
      <c r="N268" s="31">
        <f t="shared" si="17"/>
        <v>0</v>
      </c>
      <c r="O268" s="25"/>
      <c r="P268" s="78"/>
      <c r="Q268" s="81"/>
      <c r="R268" s="82"/>
      <c r="S268" s="21"/>
      <c r="T268" s="32"/>
      <c r="U268" s="21"/>
    </row>
    <row r="269" spans="1:21" ht="20.100000000000001" customHeight="1" x14ac:dyDescent="0.3">
      <c r="A269" s="44">
        <v>261</v>
      </c>
      <c r="B269" s="78"/>
      <c r="C269" s="79"/>
      <c r="D269" s="80"/>
      <c r="E269" s="81"/>
      <c r="F269" s="82"/>
      <c r="G269" s="83"/>
      <c r="H269" s="82"/>
      <c r="I269" s="27">
        <f t="shared" si="15"/>
        <v>0</v>
      </c>
      <c r="J269" s="28"/>
      <c r="K269" s="29"/>
      <c r="L269" s="30"/>
      <c r="M269" s="31">
        <f t="shared" si="16"/>
        <v>0</v>
      </c>
      <c r="N269" s="31">
        <f t="shared" si="17"/>
        <v>0</v>
      </c>
      <c r="O269" s="25"/>
      <c r="P269" s="78"/>
      <c r="Q269" s="81"/>
      <c r="R269" s="82"/>
      <c r="S269" s="21"/>
      <c r="T269" s="32"/>
      <c r="U269" s="21"/>
    </row>
    <row r="270" spans="1:21" ht="20.100000000000001" customHeight="1" x14ac:dyDescent="0.3">
      <c r="A270" s="44">
        <v>262</v>
      </c>
      <c r="B270" s="78"/>
      <c r="C270" s="79"/>
      <c r="D270" s="80"/>
      <c r="E270" s="81"/>
      <c r="F270" s="82"/>
      <c r="G270" s="83"/>
      <c r="H270" s="82"/>
      <c r="I270" s="27">
        <f t="shared" si="15"/>
        <v>0</v>
      </c>
      <c r="J270" s="28"/>
      <c r="K270" s="29"/>
      <c r="L270" s="30"/>
      <c r="M270" s="31">
        <f t="shared" si="16"/>
        <v>0</v>
      </c>
      <c r="N270" s="31">
        <f t="shared" si="17"/>
        <v>0</v>
      </c>
      <c r="O270" s="25"/>
      <c r="P270" s="78"/>
      <c r="Q270" s="81"/>
      <c r="R270" s="82"/>
      <c r="S270" s="21"/>
      <c r="T270" s="32"/>
      <c r="U270" s="21"/>
    </row>
    <row r="271" spans="1:21" ht="20.100000000000001" customHeight="1" x14ac:dyDescent="0.3">
      <c r="A271" s="44">
        <v>263</v>
      </c>
      <c r="B271" s="78"/>
      <c r="C271" s="79"/>
      <c r="D271" s="80"/>
      <c r="E271" s="81"/>
      <c r="F271" s="82"/>
      <c r="G271" s="83"/>
      <c r="H271" s="82"/>
      <c r="I271" s="27">
        <f t="shared" si="15"/>
        <v>0</v>
      </c>
      <c r="J271" s="28"/>
      <c r="K271" s="29"/>
      <c r="L271" s="30"/>
      <c r="M271" s="31">
        <f t="shared" si="16"/>
        <v>0</v>
      </c>
      <c r="N271" s="31">
        <f t="shared" si="17"/>
        <v>0</v>
      </c>
      <c r="O271" s="25"/>
      <c r="P271" s="78"/>
      <c r="Q271" s="81"/>
      <c r="R271" s="82"/>
      <c r="S271" s="21"/>
      <c r="T271" s="32"/>
      <c r="U271" s="21"/>
    </row>
    <row r="272" spans="1:21" ht="20.100000000000001" customHeight="1" x14ac:dyDescent="0.3">
      <c r="A272" s="44">
        <v>264</v>
      </c>
      <c r="B272" s="78"/>
      <c r="C272" s="79"/>
      <c r="D272" s="80"/>
      <c r="E272" s="81"/>
      <c r="F272" s="82"/>
      <c r="G272" s="83"/>
      <c r="H272" s="82"/>
      <c r="I272" s="27">
        <f t="shared" si="15"/>
        <v>0</v>
      </c>
      <c r="J272" s="28"/>
      <c r="K272" s="29"/>
      <c r="L272" s="30"/>
      <c r="M272" s="31">
        <f t="shared" si="16"/>
        <v>0</v>
      </c>
      <c r="N272" s="31">
        <f t="shared" si="17"/>
        <v>0</v>
      </c>
      <c r="O272" s="25"/>
      <c r="P272" s="78"/>
      <c r="Q272" s="81"/>
      <c r="R272" s="82"/>
      <c r="S272" s="21"/>
      <c r="T272" s="32"/>
      <c r="U272" s="21"/>
    </row>
    <row r="273" spans="1:21" ht="20.100000000000001" customHeight="1" x14ac:dyDescent="0.3">
      <c r="A273" s="44">
        <v>265</v>
      </c>
      <c r="B273" s="78"/>
      <c r="C273" s="79"/>
      <c r="D273" s="80"/>
      <c r="E273" s="81"/>
      <c r="F273" s="82"/>
      <c r="G273" s="83"/>
      <c r="H273" s="82"/>
      <c r="I273" s="27">
        <f t="shared" si="15"/>
        <v>0</v>
      </c>
      <c r="J273" s="28"/>
      <c r="K273" s="29"/>
      <c r="L273" s="30"/>
      <c r="M273" s="31">
        <f t="shared" si="16"/>
        <v>0</v>
      </c>
      <c r="N273" s="31">
        <f t="shared" si="17"/>
        <v>0</v>
      </c>
      <c r="O273" s="25"/>
      <c r="P273" s="78"/>
      <c r="Q273" s="81"/>
      <c r="R273" s="82"/>
      <c r="S273" s="21"/>
      <c r="T273" s="32"/>
      <c r="U273" s="21"/>
    </row>
    <row r="274" spans="1:21" ht="20.100000000000001" customHeight="1" x14ac:dyDescent="0.3">
      <c r="A274" s="44">
        <v>266</v>
      </c>
      <c r="B274" s="78"/>
      <c r="C274" s="79"/>
      <c r="D274" s="80"/>
      <c r="E274" s="81"/>
      <c r="F274" s="82"/>
      <c r="G274" s="83"/>
      <c r="H274" s="82"/>
      <c r="I274" s="27">
        <f t="shared" si="15"/>
        <v>0</v>
      </c>
      <c r="J274" s="28"/>
      <c r="K274" s="29"/>
      <c r="L274" s="30"/>
      <c r="M274" s="31">
        <f t="shared" si="16"/>
        <v>0</v>
      </c>
      <c r="N274" s="31">
        <f t="shared" si="17"/>
        <v>0</v>
      </c>
      <c r="O274" s="25"/>
      <c r="P274" s="78"/>
      <c r="Q274" s="81"/>
      <c r="R274" s="82"/>
      <c r="S274" s="21"/>
      <c r="T274" s="32"/>
      <c r="U274" s="21"/>
    </row>
    <row r="275" spans="1:21" ht="20.100000000000001" customHeight="1" x14ac:dyDescent="0.3">
      <c r="A275" s="44">
        <v>267</v>
      </c>
      <c r="B275" s="78"/>
      <c r="C275" s="79"/>
      <c r="D275" s="80"/>
      <c r="E275" s="81"/>
      <c r="F275" s="82"/>
      <c r="G275" s="83"/>
      <c r="H275" s="82"/>
      <c r="I275" s="27">
        <f t="shared" si="15"/>
        <v>0</v>
      </c>
      <c r="J275" s="28"/>
      <c r="K275" s="29"/>
      <c r="L275" s="30"/>
      <c r="M275" s="31">
        <f t="shared" si="16"/>
        <v>0</v>
      </c>
      <c r="N275" s="31">
        <f t="shared" si="17"/>
        <v>0</v>
      </c>
      <c r="O275" s="25"/>
      <c r="P275" s="78"/>
      <c r="Q275" s="81"/>
      <c r="R275" s="82"/>
      <c r="S275" s="21"/>
      <c r="T275" s="32"/>
      <c r="U275" s="21"/>
    </row>
    <row r="276" spans="1:21" ht="20.100000000000001" customHeight="1" x14ac:dyDescent="0.3">
      <c r="A276" s="44">
        <v>268</v>
      </c>
      <c r="B276" s="78"/>
      <c r="C276" s="79"/>
      <c r="D276" s="80"/>
      <c r="E276" s="81"/>
      <c r="F276" s="82"/>
      <c r="G276" s="83"/>
      <c r="H276" s="82"/>
      <c r="I276" s="27">
        <f t="shared" si="15"/>
        <v>0</v>
      </c>
      <c r="J276" s="28"/>
      <c r="K276" s="29"/>
      <c r="L276" s="30"/>
      <c r="M276" s="31">
        <f t="shared" si="16"/>
        <v>0</v>
      </c>
      <c r="N276" s="31">
        <f t="shared" si="17"/>
        <v>0</v>
      </c>
      <c r="O276" s="25"/>
      <c r="P276" s="78"/>
      <c r="Q276" s="81"/>
      <c r="R276" s="82"/>
      <c r="S276" s="21"/>
      <c r="T276" s="32"/>
      <c r="U276" s="21"/>
    </row>
    <row r="277" spans="1:21" ht="20.100000000000001" customHeight="1" x14ac:dyDescent="0.3">
      <c r="A277" s="44">
        <v>269</v>
      </c>
      <c r="B277" s="78"/>
      <c r="C277" s="79"/>
      <c r="D277" s="80"/>
      <c r="E277" s="81"/>
      <c r="F277" s="82"/>
      <c r="G277" s="83"/>
      <c r="H277" s="82"/>
      <c r="I277" s="27">
        <f t="shared" si="15"/>
        <v>0</v>
      </c>
      <c r="J277" s="28"/>
      <c r="K277" s="29"/>
      <c r="L277" s="30"/>
      <c r="M277" s="31">
        <f t="shared" si="16"/>
        <v>0</v>
      </c>
      <c r="N277" s="31">
        <f t="shared" si="17"/>
        <v>0</v>
      </c>
      <c r="O277" s="25"/>
      <c r="P277" s="78"/>
      <c r="Q277" s="81"/>
      <c r="R277" s="82"/>
      <c r="S277" s="21"/>
      <c r="T277" s="32"/>
      <c r="U277" s="21"/>
    </row>
    <row r="278" spans="1:21" ht="20.100000000000001" customHeight="1" x14ac:dyDescent="0.3">
      <c r="A278" s="44">
        <v>270</v>
      </c>
      <c r="B278" s="78"/>
      <c r="C278" s="79"/>
      <c r="D278" s="80"/>
      <c r="E278" s="81"/>
      <c r="F278" s="82"/>
      <c r="G278" s="83"/>
      <c r="H278" s="82"/>
      <c r="I278" s="27">
        <f t="shared" si="15"/>
        <v>0</v>
      </c>
      <c r="J278" s="28"/>
      <c r="K278" s="29"/>
      <c r="L278" s="30"/>
      <c r="M278" s="31">
        <f t="shared" si="16"/>
        <v>0</v>
      </c>
      <c r="N278" s="31">
        <f t="shared" si="17"/>
        <v>0</v>
      </c>
      <c r="O278" s="25"/>
      <c r="P278" s="78"/>
      <c r="Q278" s="81"/>
      <c r="R278" s="82"/>
      <c r="S278" s="21"/>
      <c r="T278" s="32"/>
      <c r="U278" s="21"/>
    </row>
    <row r="279" spans="1:21" ht="20.100000000000001" customHeight="1" x14ac:dyDescent="0.3">
      <c r="A279" s="44">
        <v>271</v>
      </c>
      <c r="B279" s="78"/>
      <c r="C279" s="79"/>
      <c r="D279" s="80"/>
      <c r="E279" s="81"/>
      <c r="F279" s="82"/>
      <c r="G279" s="83"/>
      <c r="H279" s="82"/>
      <c r="I279" s="27">
        <f t="shared" si="15"/>
        <v>0</v>
      </c>
      <c r="J279" s="28"/>
      <c r="K279" s="29"/>
      <c r="L279" s="30"/>
      <c r="M279" s="31">
        <f t="shared" si="16"/>
        <v>0</v>
      </c>
      <c r="N279" s="31">
        <f t="shared" si="17"/>
        <v>0</v>
      </c>
      <c r="O279" s="25"/>
      <c r="P279" s="78"/>
      <c r="Q279" s="81"/>
      <c r="R279" s="82"/>
      <c r="S279" s="21"/>
      <c r="T279" s="32"/>
      <c r="U279" s="21"/>
    </row>
    <row r="280" spans="1:21" ht="20.100000000000001" customHeight="1" x14ac:dyDescent="0.3">
      <c r="A280" s="44">
        <v>272</v>
      </c>
      <c r="B280" s="78"/>
      <c r="C280" s="79"/>
      <c r="D280" s="80"/>
      <c r="E280" s="81"/>
      <c r="F280" s="82"/>
      <c r="G280" s="83"/>
      <c r="H280" s="82"/>
      <c r="I280" s="27">
        <f t="shared" si="15"/>
        <v>0</v>
      </c>
      <c r="J280" s="28"/>
      <c r="K280" s="29"/>
      <c r="L280" s="30"/>
      <c r="M280" s="31">
        <f t="shared" si="16"/>
        <v>0</v>
      </c>
      <c r="N280" s="31">
        <f t="shared" si="17"/>
        <v>0</v>
      </c>
      <c r="O280" s="25"/>
      <c r="P280" s="78"/>
      <c r="Q280" s="81"/>
      <c r="R280" s="82"/>
      <c r="S280" s="21"/>
      <c r="T280" s="32"/>
      <c r="U280" s="21"/>
    </row>
    <row r="281" spans="1:21" ht="20.100000000000001" customHeight="1" x14ac:dyDescent="0.3">
      <c r="A281" s="44">
        <v>273</v>
      </c>
      <c r="B281" s="78"/>
      <c r="C281" s="79"/>
      <c r="D281" s="80"/>
      <c r="E281" s="81"/>
      <c r="F281" s="82"/>
      <c r="G281" s="83"/>
      <c r="H281" s="82"/>
      <c r="I281" s="27">
        <f t="shared" si="15"/>
        <v>0</v>
      </c>
      <c r="J281" s="28"/>
      <c r="K281" s="29"/>
      <c r="L281" s="30"/>
      <c r="M281" s="31">
        <f t="shared" si="16"/>
        <v>0</v>
      </c>
      <c r="N281" s="31">
        <f t="shared" si="17"/>
        <v>0</v>
      </c>
      <c r="O281" s="25"/>
      <c r="P281" s="78"/>
      <c r="Q281" s="81"/>
      <c r="R281" s="82"/>
      <c r="S281" s="21"/>
      <c r="T281" s="32"/>
      <c r="U281" s="21"/>
    </row>
    <row r="282" spans="1:21" ht="20.100000000000001" customHeight="1" x14ac:dyDescent="0.3">
      <c r="A282" s="44">
        <v>274</v>
      </c>
      <c r="B282" s="78"/>
      <c r="C282" s="79"/>
      <c r="D282" s="80"/>
      <c r="E282" s="81"/>
      <c r="F282" s="82"/>
      <c r="G282" s="83"/>
      <c r="H282" s="82"/>
      <c r="I282" s="27">
        <f t="shared" si="15"/>
        <v>0</v>
      </c>
      <c r="J282" s="28"/>
      <c r="K282" s="29"/>
      <c r="L282" s="30"/>
      <c r="M282" s="31">
        <f t="shared" si="16"/>
        <v>0</v>
      </c>
      <c r="N282" s="31">
        <f t="shared" si="17"/>
        <v>0</v>
      </c>
      <c r="O282" s="25"/>
      <c r="P282" s="78"/>
      <c r="Q282" s="81"/>
      <c r="R282" s="82"/>
      <c r="S282" s="21"/>
      <c r="T282" s="32"/>
      <c r="U282" s="21"/>
    </row>
    <row r="283" spans="1:21" ht="20.100000000000001" customHeight="1" x14ac:dyDescent="0.3">
      <c r="A283" s="44">
        <v>275</v>
      </c>
      <c r="B283" s="78"/>
      <c r="C283" s="79"/>
      <c r="D283" s="80"/>
      <c r="E283" s="81"/>
      <c r="F283" s="82"/>
      <c r="G283" s="83"/>
      <c r="H283" s="82"/>
      <c r="I283" s="27">
        <f t="shared" si="15"/>
        <v>0</v>
      </c>
      <c r="J283" s="28"/>
      <c r="K283" s="29"/>
      <c r="L283" s="30"/>
      <c r="M283" s="31">
        <f t="shared" si="16"/>
        <v>0</v>
      </c>
      <c r="N283" s="31">
        <f t="shared" si="17"/>
        <v>0</v>
      </c>
      <c r="O283" s="25"/>
      <c r="P283" s="78"/>
      <c r="Q283" s="81"/>
      <c r="R283" s="82"/>
      <c r="S283" s="21"/>
      <c r="T283" s="32"/>
      <c r="U283" s="21"/>
    </row>
    <row r="284" spans="1:21" ht="20.100000000000001" customHeight="1" x14ac:dyDescent="0.3">
      <c r="A284" s="44">
        <v>276</v>
      </c>
      <c r="B284" s="78"/>
      <c r="C284" s="79"/>
      <c r="D284" s="80"/>
      <c r="E284" s="81"/>
      <c r="F284" s="82"/>
      <c r="G284" s="83"/>
      <c r="H284" s="82"/>
      <c r="I284" s="27">
        <f t="shared" si="15"/>
        <v>0</v>
      </c>
      <c r="J284" s="28"/>
      <c r="K284" s="29"/>
      <c r="L284" s="30"/>
      <c r="M284" s="31">
        <f t="shared" si="16"/>
        <v>0</v>
      </c>
      <c r="N284" s="31">
        <f t="shared" si="17"/>
        <v>0</v>
      </c>
      <c r="O284" s="25"/>
      <c r="P284" s="78"/>
      <c r="Q284" s="81"/>
      <c r="R284" s="82"/>
      <c r="S284" s="21"/>
      <c r="T284" s="32"/>
      <c r="U284" s="21"/>
    </row>
    <row r="285" spans="1:21" ht="20.100000000000001" customHeight="1" x14ac:dyDescent="0.3">
      <c r="A285" s="44">
        <v>277</v>
      </c>
      <c r="B285" s="78"/>
      <c r="C285" s="79"/>
      <c r="D285" s="80"/>
      <c r="E285" s="81"/>
      <c r="F285" s="82"/>
      <c r="G285" s="83"/>
      <c r="H285" s="82"/>
      <c r="I285" s="27">
        <f t="shared" si="15"/>
        <v>0</v>
      </c>
      <c r="J285" s="28"/>
      <c r="K285" s="29"/>
      <c r="L285" s="30"/>
      <c r="M285" s="31">
        <f t="shared" si="16"/>
        <v>0</v>
      </c>
      <c r="N285" s="31">
        <f t="shared" si="17"/>
        <v>0</v>
      </c>
      <c r="O285" s="25"/>
      <c r="P285" s="78"/>
      <c r="Q285" s="81"/>
      <c r="R285" s="82"/>
      <c r="S285" s="21"/>
      <c r="T285" s="32"/>
      <c r="U285" s="21"/>
    </row>
    <row r="286" spans="1:21" ht="20.100000000000001" customHeight="1" x14ac:dyDescent="0.3">
      <c r="A286" s="44">
        <v>278</v>
      </c>
      <c r="B286" s="78"/>
      <c r="C286" s="79"/>
      <c r="D286" s="80"/>
      <c r="E286" s="81"/>
      <c r="F286" s="82"/>
      <c r="G286" s="83"/>
      <c r="H286" s="82"/>
      <c r="I286" s="27">
        <f t="shared" si="15"/>
        <v>0</v>
      </c>
      <c r="J286" s="28"/>
      <c r="K286" s="29"/>
      <c r="L286" s="30"/>
      <c r="M286" s="31">
        <f t="shared" si="16"/>
        <v>0</v>
      </c>
      <c r="N286" s="31">
        <f t="shared" si="17"/>
        <v>0</v>
      </c>
      <c r="O286" s="25"/>
      <c r="P286" s="78"/>
      <c r="Q286" s="81"/>
      <c r="R286" s="82"/>
      <c r="S286" s="21"/>
      <c r="T286" s="32"/>
      <c r="U286" s="21"/>
    </row>
    <row r="287" spans="1:21" ht="20.100000000000001" customHeight="1" x14ac:dyDescent="0.3">
      <c r="A287" s="44">
        <v>279</v>
      </c>
      <c r="B287" s="78"/>
      <c r="C287" s="79"/>
      <c r="D287" s="80"/>
      <c r="E287" s="81"/>
      <c r="F287" s="82"/>
      <c r="G287" s="83"/>
      <c r="H287" s="82"/>
      <c r="I287" s="27">
        <f t="shared" si="15"/>
        <v>0</v>
      </c>
      <c r="J287" s="28"/>
      <c r="K287" s="29"/>
      <c r="L287" s="30"/>
      <c r="M287" s="31">
        <f t="shared" si="16"/>
        <v>0</v>
      </c>
      <c r="N287" s="31">
        <f t="shared" si="17"/>
        <v>0</v>
      </c>
      <c r="O287" s="25"/>
      <c r="P287" s="78"/>
      <c r="Q287" s="81"/>
      <c r="R287" s="82"/>
      <c r="S287" s="21"/>
      <c r="T287" s="32"/>
      <c r="U287" s="21"/>
    </row>
    <row r="288" spans="1:21" ht="20.100000000000001" customHeight="1" x14ac:dyDescent="0.3">
      <c r="A288" s="44">
        <v>280</v>
      </c>
      <c r="B288" s="78"/>
      <c r="C288" s="79"/>
      <c r="D288" s="80"/>
      <c r="E288" s="81"/>
      <c r="F288" s="82"/>
      <c r="G288" s="83"/>
      <c r="H288" s="82"/>
      <c r="I288" s="27">
        <f t="shared" si="15"/>
        <v>0</v>
      </c>
      <c r="J288" s="28"/>
      <c r="K288" s="29"/>
      <c r="L288" s="30"/>
      <c r="M288" s="31">
        <f t="shared" si="16"/>
        <v>0</v>
      </c>
      <c r="N288" s="31">
        <f t="shared" si="17"/>
        <v>0</v>
      </c>
      <c r="O288" s="25"/>
      <c r="P288" s="78"/>
      <c r="Q288" s="81"/>
      <c r="R288" s="82"/>
      <c r="S288" s="21"/>
      <c r="T288" s="32"/>
      <c r="U288" s="21"/>
    </row>
    <row r="289" spans="1:21" ht="20.100000000000001" customHeight="1" x14ac:dyDescent="0.3">
      <c r="A289" s="44">
        <v>281</v>
      </c>
      <c r="B289" s="78"/>
      <c r="C289" s="79"/>
      <c r="D289" s="80"/>
      <c r="E289" s="81"/>
      <c r="F289" s="82"/>
      <c r="G289" s="83"/>
      <c r="H289" s="82"/>
      <c r="I289" s="27">
        <f t="shared" si="15"/>
        <v>0</v>
      </c>
      <c r="J289" s="28"/>
      <c r="K289" s="29"/>
      <c r="L289" s="30"/>
      <c r="M289" s="31">
        <f t="shared" si="16"/>
        <v>0</v>
      </c>
      <c r="N289" s="31">
        <f t="shared" si="17"/>
        <v>0</v>
      </c>
      <c r="O289" s="25"/>
      <c r="P289" s="78"/>
      <c r="Q289" s="81"/>
      <c r="R289" s="82"/>
      <c r="S289" s="21"/>
      <c r="T289" s="32"/>
      <c r="U289" s="21"/>
    </row>
    <row r="290" spans="1:21" ht="20.100000000000001" customHeight="1" x14ac:dyDescent="0.3">
      <c r="A290" s="44">
        <v>282</v>
      </c>
      <c r="B290" s="78"/>
      <c r="C290" s="79"/>
      <c r="D290" s="80"/>
      <c r="E290" s="81"/>
      <c r="F290" s="82"/>
      <c r="G290" s="83"/>
      <c r="H290" s="82"/>
      <c r="I290" s="27">
        <f t="shared" si="15"/>
        <v>0</v>
      </c>
      <c r="J290" s="28"/>
      <c r="K290" s="29"/>
      <c r="L290" s="30"/>
      <c r="M290" s="31">
        <f t="shared" si="16"/>
        <v>0</v>
      </c>
      <c r="N290" s="31">
        <f t="shared" si="17"/>
        <v>0</v>
      </c>
      <c r="O290" s="25"/>
      <c r="P290" s="78"/>
      <c r="Q290" s="81"/>
      <c r="R290" s="82"/>
      <c r="S290" s="21"/>
      <c r="T290" s="32"/>
      <c r="U290" s="21"/>
    </row>
    <row r="291" spans="1:21" ht="20.100000000000001" customHeight="1" x14ac:dyDescent="0.3">
      <c r="A291" s="44">
        <v>283</v>
      </c>
      <c r="B291" s="78"/>
      <c r="C291" s="79"/>
      <c r="D291" s="80"/>
      <c r="E291" s="81"/>
      <c r="F291" s="82"/>
      <c r="G291" s="83"/>
      <c r="H291" s="82"/>
      <c r="I291" s="27">
        <f t="shared" si="15"/>
        <v>0</v>
      </c>
      <c r="J291" s="28"/>
      <c r="K291" s="29"/>
      <c r="L291" s="30"/>
      <c r="M291" s="31">
        <f t="shared" si="16"/>
        <v>0</v>
      </c>
      <c r="N291" s="31">
        <f t="shared" si="17"/>
        <v>0</v>
      </c>
      <c r="O291" s="25"/>
      <c r="P291" s="78"/>
      <c r="Q291" s="81"/>
      <c r="R291" s="82"/>
      <c r="S291" s="21"/>
      <c r="T291" s="32"/>
      <c r="U291" s="21"/>
    </row>
    <row r="292" spans="1:21" ht="20.100000000000001" customHeight="1" x14ac:dyDescent="0.3">
      <c r="A292" s="44">
        <v>284</v>
      </c>
      <c r="B292" s="78"/>
      <c r="C292" s="79"/>
      <c r="D292" s="80"/>
      <c r="E292" s="81"/>
      <c r="F292" s="82"/>
      <c r="G292" s="83"/>
      <c r="H292" s="82"/>
      <c r="I292" s="27">
        <f t="shared" si="15"/>
        <v>0</v>
      </c>
      <c r="J292" s="28"/>
      <c r="K292" s="29"/>
      <c r="L292" s="30"/>
      <c r="M292" s="31">
        <f t="shared" si="16"/>
        <v>0</v>
      </c>
      <c r="N292" s="31">
        <f t="shared" si="17"/>
        <v>0</v>
      </c>
      <c r="O292" s="25"/>
      <c r="P292" s="78"/>
      <c r="Q292" s="81"/>
      <c r="R292" s="82"/>
      <c r="S292" s="21"/>
      <c r="T292" s="32"/>
      <c r="U292" s="21"/>
    </row>
    <row r="293" spans="1:21" ht="20.100000000000001" customHeight="1" x14ac:dyDescent="0.3">
      <c r="A293" s="44">
        <v>285</v>
      </c>
      <c r="B293" s="78"/>
      <c r="C293" s="79"/>
      <c r="D293" s="80"/>
      <c r="E293" s="81"/>
      <c r="F293" s="82"/>
      <c r="G293" s="83"/>
      <c r="H293" s="82"/>
      <c r="I293" s="27">
        <f t="shared" si="15"/>
        <v>0</v>
      </c>
      <c r="J293" s="28"/>
      <c r="K293" s="29"/>
      <c r="L293" s="30"/>
      <c r="M293" s="31">
        <f t="shared" si="16"/>
        <v>0</v>
      </c>
      <c r="N293" s="31">
        <f t="shared" si="17"/>
        <v>0</v>
      </c>
      <c r="O293" s="25"/>
      <c r="P293" s="78"/>
      <c r="Q293" s="81"/>
      <c r="R293" s="82"/>
      <c r="S293" s="21"/>
      <c r="T293" s="32"/>
      <c r="U293" s="21"/>
    </row>
    <row r="294" spans="1:21" ht="20.100000000000001" customHeight="1" x14ac:dyDescent="0.3">
      <c r="A294" s="44">
        <v>286</v>
      </c>
      <c r="B294" s="78"/>
      <c r="C294" s="79"/>
      <c r="D294" s="80"/>
      <c r="E294" s="81"/>
      <c r="F294" s="82"/>
      <c r="G294" s="83"/>
      <c r="H294" s="82"/>
      <c r="I294" s="27">
        <f t="shared" si="15"/>
        <v>0</v>
      </c>
      <c r="J294" s="28"/>
      <c r="K294" s="29"/>
      <c r="L294" s="30"/>
      <c r="M294" s="31">
        <f t="shared" si="16"/>
        <v>0</v>
      </c>
      <c r="N294" s="31">
        <f t="shared" si="17"/>
        <v>0</v>
      </c>
      <c r="O294" s="25"/>
      <c r="P294" s="78"/>
      <c r="Q294" s="81"/>
      <c r="R294" s="82"/>
      <c r="S294" s="21"/>
      <c r="T294" s="32"/>
      <c r="U294" s="21"/>
    </row>
    <row r="295" spans="1:21" ht="20.100000000000001" customHeight="1" x14ac:dyDescent="0.3">
      <c r="A295" s="44">
        <v>287</v>
      </c>
      <c r="B295" s="78"/>
      <c r="C295" s="79"/>
      <c r="D295" s="80"/>
      <c r="E295" s="81"/>
      <c r="F295" s="82"/>
      <c r="G295" s="83"/>
      <c r="H295" s="82"/>
      <c r="I295" s="27">
        <f t="shared" si="15"/>
        <v>0</v>
      </c>
      <c r="J295" s="28"/>
      <c r="K295" s="29"/>
      <c r="L295" s="30"/>
      <c r="M295" s="31">
        <f t="shared" si="16"/>
        <v>0</v>
      </c>
      <c r="N295" s="31">
        <f t="shared" si="17"/>
        <v>0</v>
      </c>
      <c r="O295" s="25"/>
      <c r="P295" s="78"/>
      <c r="Q295" s="81"/>
      <c r="R295" s="82"/>
      <c r="S295" s="21"/>
      <c r="T295" s="32"/>
      <c r="U295" s="21"/>
    </row>
    <row r="296" spans="1:21" ht="20.100000000000001" customHeight="1" x14ac:dyDescent="0.3">
      <c r="A296" s="44">
        <v>288</v>
      </c>
      <c r="B296" s="78"/>
      <c r="C296" s="79"/>
      <c r="D296" s="80"/>
      <c r="E296" s="81"/>
      <c r="F296" s="82"/>
      <c r="G296" s="83"/>
      <c r="H296" s="82"/>
      <c r="I296" s="27">
        <f t="shared" si="15"/>
        <v>0</v>
      </c>
      <c r="J296" s="28"/>
      <c r="K296" s="29"/>
      <c r="L296" s="30"/>
      <c r="M296" s="31">
        <f t="shared" si="16"/>
        <v>0</v>
      </c>
      <c r="N296" s="31">
        <f t="shared" si="17"/>
        <v>0</v>
      </c>
      <c r="O296" s="25"/>
      <c r="P296" s="78"/>
      <c r="Q296" s="81"/>
      <c r="R296" s="82"/>
      <c r="S296" s="21"/>
      <c r="T296" s="32"/>
      <c r="U296" s="21"/>
    </row>
    <row r="297" spans="1:21" ht="20.100000000000001" customHeight="1" x14ac:dyDescent="0.3">
      <c r="A297" s="44">
        <v>289</v>
      </c>
      <c r="B297" s="78"/>
      <c r="C297" s="79"/>
      <c r="D297" s="80"/>
      <c r="E297" s="81"/>
      <c r="F297" s="82"/>
      <c r="G297" s="83"/>
      <c r="H297" s="82"/>
      <c r="I297" s="27">
        <f t="shared" si="15"/>
        <v>0</v>
      </c>
      <c r="J297" s="28"/>
      <c r="K297" s="29"/>
      <c r="L297" s="30"/>
      <c r="M297" s="31">
        <f t="shared" si="16"/>
        <v>0</v>
      </c>
      <c r="N297" s="31">
        <f t="shared" si="17"/>
        <v>0</v>
      </c>
      <c r="O297" s="25"/>
      <c r="P297" s="78"/>
      <c r="Q297" s="81"/>
      <c r="R297" s="82"/>
      <c r="S297" s="21"/>
      <c r="T297" s="32"/>
      <c r="U297" s="21"/>
    </row>
    <row r="298" spans="1:21" ht="20.100000000000001" customHeight="1" x14ac:dyDescent="0.3">
      <c r="A298" s="44">
        <v>290</v>
      </c>
      <c r="B298" s="78"/>
      <c r="C298" s="79"/>
      <c r="D298" s="80"/>
      <c r="E298" s="81"/>
      <c r="F298" s="82"/>
      <c r="G298" s="83"/>
      <c r="H298" s="82"/>
      <c r="I298" s="27">
        <f t="shared" si="15"/>
        <v>0</v>
      </c>
      <c r="J298" s="28"/>
      <c r="K298" s="29"/>
      <c r="L298" s="30"/>
      <c r="M298" s="31">
        <f t="shared" si="16"/>
        <v>0</v>
      </c>
      <c r="N298" s="31">
        <f t="shared" si="17"/>
        <v>0</v>
      </c>
      <c r="O298" s="25"/>
      <c r="P298" s="78"/>
      <c r="Q298" s="81"/>
      <c r="R298" s="82"/>
      <c r="S298" s="21"/>
      <c r="T298" s="32"/>
      <c r="U298" s="21"/>
    </row>
    <row r="299" spans="1:21" ht="20.100000000000001" customHeight="1" x14ac:dyDescent="0.3">
      <c r="A299" s="44">
        <v>291</v>
      </c>
      <c r="B299" s="78"/>
      <c r="C299" s="79"/>
      <c r="D299" s="80"/>
      <c r="E299" s="81"/>
      <c r="F299" s="82"/>
      <c r="G299" s="83"/>
      <c r="H299" s="82"/>
      <c r="I299" s="27">
        <f t="shared" si="15"/>
        <v>0</v>
      </c>
      <c r="J299" s="28"/>
      <c r="K299" s="29"/>
      <c r="L299" s="30"/>
      <c r="M299" s="31">
        <f t="shared" si="16"/>
        <v>0</v>
      </c>
      <c r="N299" s="31">
        <f t="shared" si="17"/>
        <v>0</v>
      </c>
      <c r="O299" s="25"/>
      <c r="P299" s="78"/>
      <c r="Q299" s="81"/>
      <c r="R299" s="82"/>
      <c r="S299" s="21"/>
      <c r="T299" s="32"/>
      <c r="U299" s="21"/>
    </row>
    <row r="300" spans="1:21" ht="20.100000000000001" customHeight="1" x14ac:dyDescent="0.3">
      <c r="A300" s="44">
        <v>292</v>
      </c>
      <c r="B300" s="78"/>
      <c r="C300" s="79"/>
      <c r="D300" s="80"/>
      <c r="E300" s="81"/>
      <c r="F300" s="82"/>
      <c r="G300" s="83"/>
      <c r="H300" s="82"/>
      <c r="I300" s="27">
        <f t="shared" si="15"/>
        <v>0</v>
      </c>
      <c r="J300" s="28"/>
      <c r="K300" s="29"/>
      <c r="L300" s="30"/>
      <c r="M300" s="31">
        <f t="shared" si="16"/>
        <v>0</v>
      </c>
      <c r="N300" s="31">
        <f t="shared" si="17"/>
        <v>0</v>
      </c>
      <c r="O300" s="25"/>
      <c r="P300" s="78"/>
      <c r="Q300" s="81"/>
      <c r="R300" s="82"/>
      <c r="S300" s="21"/>
      <c r="T300" s="32"/>
      <c r="U300" s="21"/>
    </row>
    <row r="301" spans="1:21" ht="20.100000000000001" customHeight="1" x14ac:dyDescent="0.3">
      <c r="A301" s="44">
        <v>293</v>
      </c>
      <c r="B301" s="78"/>
      <c r="C301" s="79"/>
      <c r="D301" s="80"/>
      <c r="E301" s="81"/>
      <c r="F301" s="82"/>
      <c r="G301" s="83"/>
      <c r="H301" s="82"/>
      <c r="I301" s="27">
        <f t="shared" si="15"/>
        <v>0</v>
      </c>
      <c r="J301" s="28"/>
      <c r="K301" s="29"/>
      <c r="L301" s="30"/>
      <c r="M301" s="31">
        <f t="shared" si="16"/>
        <v>0</v>
      </c>
      <c r="N301" s="31">
        <f t="shared" si="17"/>
        <v>0</v>
      </c>
      <c r="O301" s="25"/>
      <c r="P301" s="78"/>
      <c r="Q301" s="81"/>
      <c r="R301" s="82"/>
      <c r="S301" s="21"/>
      <c r="T301" s="32"/>
      <c r="U301" s="21"/>
    </row>
    <row r="302" spans="1:21" ht="20.100000000000001" customHeight="1" x14ac:dyDescent="0.3">
      <c r="A302" s="44">
        <v>294</v>
      </c>
      <c r="B302" s="78"/>
      <c r="C302" s="79"/>
      <c r="D302" s="80"/>
      <c r="E302" s="81"/>
      <c r="F302" s="82"/>
      <c r="G302" s="83"/>
      <c r="H302" s="82"/>
      <c r="I302" s="27">
        <f t="shared" si="15"/>
        <v>0</v>
      </c>
      <c r="J302" s="28"/>
      <c r="K302" s="29"/>
      <c r="L302" s="30"/>
      <c r="M302" s="31">
        <f t="shared" si="16"/>
        <v>0</v>
      </c>
      <c r="N302" s="31">
        <f t="shared" si="17"/>
        <v>0</v>
      </c>
      <c r="O302" s="25"/>
      <c r="P302" s="78"/>
      <c r="Q302" s="81"/>
      <c r="R302" s="82"/>
      <c r="S302" s="21"/>
      <c r="T302" s="32"/>
      <c r="U302" s="21"/>
    </row>
    <row r="303" spans="1:21" ht="20.100000000000001" customHeight="1" x14ac:dyDescent="0.3">
      <c r="A303" s="44">
        <v>295</v>
      </c>
      <c r="B303" s="78"/>
      <c r="C303" s="79"/>
      <c r="D303" s="80"/>
      <c r="E303" s="81"/>
      <c r="F303" s="82"/>
      <c r="G303" s="83"/>
      <c r="H303" s="82"/>
      <c r="I303" s="27">
        <f t="shared" si="15"/>
        <v>0</v>
      </c>
      <c r="J303" s="28"/>
      <c r="K303" s="29"/>
      <c r="L303" s="30"/>
      <c r="M303" s="31">
        <f t="shared" si="16"/>
        <v>0</v>
      </c>
      <c r="N303" s="31">
        <f t="shared" si="17"/>
        <v>0</v>
      </c>
      <c r="O303" s="25"/>
      <c r="P303" s="78"/>
      <c r="Q303" s="81"/>
      <c r="R303" s="82"/>
      <c r="S303" s="21"/>
      <c r="T303" s="32"/>
      <c r="U303" s="21"/>
    </row>
    <row r="304" spans="1:21" ht="20.100000000000001" customHeight="1" x14ac:dyDescent="0.3">
      <c r="A304" s="44">
        <v>296</v>
      </c>
      <c r="B304" s="78"/>
      <c r="C304" s="79"/>
      <c r="D304" s="80"/>
      <c r="E304" s="81"/>
      <c r="F304" s="82"/>
      <c r="G304" s="83"/>
      <c r="H304" s="82"/>
      <c r="I304" s="27">
        <f t="shared" si="15"/>
        <v>0</v>
      </c>
      <c r="J304" s="28"/>
      <c r="K304" s="29"/>
      <c r="L304" s="30"/>
      <c r="M304" s="31">
        <f t="shared" si="16"/>
        <v>0</v>
      </c>
      <c r="N304" s="31">
        <f t="shared" si="17"/>
        <v>0</v>
      </c>
      <c r="O304" s="25"/>
      <c r="P304" s="78"/>
      <c r="Q304" s="81"/>
      <c r="R304" s="82"/>
      <c r="S304" s="21"/>
      <c r="T304" s="32"/>
      <c r="U304" s="21"/>
    </row>
    <row r="305" spans="1:21" ht="20.100000000000001" customHeight="1" x14ac:dyDescent="0.3">
      <c r="A305" s="44">
        <v>297</v>
      </c>
      <c r="B305" s="78"/>
      <c r="C305" s="79"/>
      <c r="D305" s="80"/>
      <c r="E305" s="81"/>
      <c r="F305" s="82"/>
      <c r="G305" s="83"/>
      <c r="H305" s="82"/>
      <c r="I305" s="27">
        <f t="shared" si="15"/>
        <v>0</v>
      </c>
      <c r="J305" s="28"/>
      <c r="K305" s="29"/>
      <c r="L305" s="30"/>
      <c r="M305" s="31">
        <f t="shared" si="16"/>
        <v>0</v>
      </c>
      <c r="N305" s="31">
        <f t="shared" si="17"/>
        <v>0</v>
      </c>
      <c r="O305" s="25"/>
      <c r="P305" s="78"/>
      <c r="Q305" s="81"/>
      <c r="R305" s="82"/>
      <c r="S305" s="21"/>
      <c r="T305" s="32"/>
      <c r="U305" s="21"/>
    </row>
    <row r="306" spans="1:21" ht="20.100000000000001" customHeight="1" x14ac:dyDescent="0.3">
      <c r="A306" s="44">
        <v>298</v>
      </c>
      <c r="B306" s="78"/>
      <c r="C306" s="79"/>
      <c r="D306" s="80"/>
      <c r="E306" s="81"/>
      <c r="F306" s="82"/>
      <c r="G306" s="83"/>
      <c r="H306" s="82"/>
      <c r="I306" s="27">
        <f t="shared" si="15"/>
        <v>0</v>
      </c>
      <c r="J306" s="28"/>
      <c r="K306" s="29"/>
      <c r="L306" s="30"/>
      <c r="M306" s="31">
        <f t="shared" si="16"/>
        <v>0</v>
      </c>
      <c r="N306" s="31">
        <f t="shared" si="17"/>
        <v>0</v>
      </c>
      <c r="O306" s="25"/>
      <c r="P306" s="78"/>
      <c r="Q306" s="81"/>
      <c r="R306" s="82"/>
      <c r="S306" s="21"/>
      <c r="T306" s="32"/>
      <c r="U306" s="21"/>
    </row>
    <row r="307" spans="1:21" ht="20.100000000000001" customHeight="1" x14ac:dyDescent="0.3">
      <c r="A307" s="44">
        <v>299</v>
      </c>
      <c r="B307" s="78"/>
      <c r="C307" s="79"/>
      <c r="D307" s="80"/>
      <c r="E307" s="81"/>
      <c r="F307" s="82"/>
      <c r="G307" s="83"/>
      <c r="H307" s="82"/>
      <c r="I307" s="27">
        <f t="shared" si="15"/>
        <v>0</v>
      </c>
      <c r="J307" s="28"/>
      <c r="K307" s="29"/>
      <c r="L307" s="30"/>
      <c r="M307" s="31">
        <f t="shared" si="16"/>
        <v>0</v>
      </c>
      <c r="N307" s="31">
        <f t="shared" si="17"/>
        <v>0</v>
      </c>
      <c r="O307" s="25"/>
      <c r="P307" s="78"/>
      <c r="Q307" s="81"/>
      <c r="R307" s="82"/>
      <c r="S307" s="21"/>
      <c r="T307" s="32"/>
      <c r="U307" s="21"/>
    </row>
    <row r="308" spans="1:21" ht="20.100000000000001" customHeight="1" x14ac:dyDescent="0.3">
      <c r="A308" s="44">
        <v>300</v>
      </c>
      <c r="B308" s="78"/>
      <c r="C308" s="79"/>
      <c r="D308" s="80"/>
      <c r="E308" s="81"/>
      <c r="F308" s="82"/>
      <c r="G308" s="83"/>
      <c r="H308" s="82"/>
      <c r="I308" s="27">
        <f t="shared" si="15"/>
        <v>0</v>
      </c>
      <c r="J308" s="28"/>
      <c r="K308" s="29"/>
      <c r="L308" s="30"/>
      <c r="M308" s="31">
        <f t="shared" si="16"/>
        <v>0</v>
      </c>
      <c r="N308" s="31">
        <f t="shared" si="17"/>
        <v>0</v>
      </c>
      <c r="O308" s="25"/>
      <c r="P308" s="78"/>
      <c r="Q308" s="81"/>
      <c r="R308" s="82"/>
      <c r="S308" s="21"/>
      <c r="T308" s="32"/>
      <c r="U308" s="21"/>
    </row>
    <row r="309" spans="1:21" ht="20.100000000000001" customHeight="1" x14ac:dyDescent="0.3">
      <c r="A309" s="44">
        <v>301</v>
      </c>
      <c r="B309" s="78"/>
      <c r="C309" s="79"/>
      <c r="D309" s="80"/>
      <c r="E309" s="81"/>
      <c r="F309" s="82"/>
      <c r="G309" s="83"/>
      <c r="H309" s="82"/>
      <c r="I309" s="27">
        <f t="shared" si="15"/>
        <v>0</v>
      </c>
      <c r="J309" s="28"/>
      <c r="K309" s="29"/>
      <c r="L309" s="30"/>
      <c r="M309" s="31">
        <f t="shared" si="16"/>
        <v>0</v>
      </c>
      <c r="N309" s="31">
        <f t="shared" si="17"/>
        <v>0</v>
      </c>
      <c r="O309" s="25"/>
      <c r="P309" s="78"/>
      <c r="Q309" s="81"/>
      <c r="R309" s="82"/>
      <c r="S309" s="21"/>
      <c r="T309" s="32"/>
      <c r="U309" s="21"/>
    </row>
    <row r="310" spans="1:21" ht="20.100000000000001" customHeight="1" x14ac:dyDescent="0.3">
      <c r="A310" s="44">
        <v>302</v>
      </c>
      <c r="B310" s="78"/>
      <c r="C310" s="79"/>
      <c r="D310" s="80"/>
      <c r="E310" s="81"/>
      <c r="F310" s="82"/>
      <c r="G310" s="83"/>
      <c r="H310" s="82"/>
      <c r="I310" s="27">
        <f t="shared" si="15"/>
        <v>0</v>
      </c>
      <c r="J310" s="28"/>
      <c r="K310" s="29"/>
      <c r="L310" s="30"/>
      <c r="M310" s="31">
        <f t="shared" si="16"/>
        <v>0</v>
      </c>
      <c r="N310" s="31">
        <f t="shared" si="17"/>
        <v>0</v>
      </c>
      <c r="O310" s="25"/>
      <c r="P310" s="78"/>
      <c r="Q310" s="81"/>
      <c r="R310" s="82"/>
      <c r="S310" s="21"/>
      <c r="T310" s="32"/>
      <c r="U310" s="21"/>
    </row>
    <row r="311" spans="1:21" ht="20.100000000000001" customHeight="1" x14ac:dyDescent="0.3">
      <c r="A311" s="44">
        <v>303</v>
      </c>
      <c r="B311" s="78"/>
      <c r="C311" s="79"/>
      <c r="D311" s="80"/>
      <c r="E311" s="81"/>
      <c r="F311" s="82"/>
      <c r="G311" s="83"/>
      <c r="H311" s="82"/>
      <c r="I311" s="27">
        <f t="shared" si="15"/>
        <v>0</v>
      </c>
      <c r="J311" s="28"/>
      <c r="K311" s="29"/>
      <c r="L311" s="30"/>
      <c r="M311" s="31">
        <f t="shared" si="16"/>
        <v>0</v>
      </c>
      <c r="N311" s="31">
        <f t="shared" si="17"/>
        <v>0</v>
      </c>
      <c r="O311" s="25"/>
      <c r="P311" s="78"/>
      <c r="Q311" s="81"/>
      <c r="R311" s="82"/>
      <c r="S311" s="21"/>
      <c r="T311" s="32"/>
      <c r="U311" s="21"/>
    </row>
    <row r="312" spans="1:21" ht="20.100000000000001" customHeight="1" x14ac:dyDescent="0.3">
      <c r="A312" s="44">
        <v>304</v>
      </c>
      <c r="B312" s="78"/>
      <c r="C312" s="79"/>
      <c r="D312" s="80"/>
      <c r="E312" s="81"/>
      <c r="F312" s="82"/>
      <c r="G312" s="83"/>
      <c r="H312" s="82"/>
      <c r="I312" s="27">
        <f t="shared" si="15"/>
        <v>0</v>
      </c>
      <c r="J312" s="28"/>
      <c r="K312" s="29"/>
      <c r="L312" s="30"/>
      <c r="M312" s="31">
        <f t="shared" si="16"/>
        <v>0</v>
      </c>
      <c r="N312" s="31">
        <f t="shared" si="17"/>
        <v>0</v>
      </c>
      <c r="O312" s="25"/>
      <c r="P312" s="78"/>
      <c r="Q312" s="81"/>
      <c r="R312" s="82"/>
      <c r="S312" s="21"/>
      <c r="T312" s="32"/>
      <c r="U312" s="21"/>
    </row>
    <row r="313" spans="1:21" ht="20.100000000000001" customHeight="1" x14ac:dyDescent="0.3">
      <c r="A313" s="44">
        <v>305</v>
      </c>
      <c r="B313" s="78"/>
      <c r="C313" s="79"/>
      <c r="D313" s="80"/>
      <c r="E313" s="81"/>
      <c r="F313" s="82"/>
      <c r="G313" s="83"/>
      <c r="H313" s="82"/>
      <c r="I313" s="27">
        <f t="shared" si="15"/>
        <v>0</v>
      </c>
      <c r="J313" s="28"/>
      <c r="K313" s="29"/>
      <c r="L313" s="30"/>
      <c r="M313" s="31">
        <f t="shared" si="16"/>
        <v>0</v>
      </c>
      <c r="N313" s="31">
        <f t="shared" si="17"/>
        <v>0</v>
      </c>
      <c r="O313" s="25"/>
      <c r="P313" s="78"/>
      <c r="Q313" s="81"/>
      <c r="R313" s="82"/>
      <c r="S313" s="21"/>
      <c r="T313" s="32"/>
      <c r="U313" s="21"/>
    </row>
    <row r="314" spans="1:21" ht="20.100000000000001" customHeight="1" x14ac:dyDescent="0.3">
      <c r="A314" s="44">
        <v>306</v>
      </c>
      <c r="B314" s="22"/>
      <c r="C314" s="23"/>
      <c r="D314" s="24"/>
      <c r="E314" s="25"/>
      <c r="F314" s="26"/>
      <c r="G314" s="62"/>
      <c r="H314" s="26"/>
      <c r="I314" s="27">
        <f t="shared" si="15"/>
        <v>0</v>
      </c>
      <c r="J314" s="28"/>
      <c r="K314" s="29"/>
      <c r="L314" s="30"/>
      <c r="M314" s="31">
        <f t="shared" si="16"/>
        <v>0</v>
      </c>
      <c r="N314" s="31">
        <f t="shared" si="17"/>
        <v>0</v>
      </c>
      <c r="O314" s="25"/>
      <c r="P314" s="22"/>
      <c r="Q314" s="25"/>
      <c r="R314" s="26"/>
      <c r="S314" s="21"/>
      <c r="T314" s="32"/>
      <c r="U314" s="21"/>
    </row>
    <row r="315" spans="1:21" ht="20.100000000000001" customHeight="1" x14ac:dyDescent="0.3">
      <c r="A315" s="44">
        <v>307</v>
      </c>
      <c r="B315" s="22"/>
      <c r="C315" s="23"/>
      <c r="D315" s="24"/>
      <c r="E315" s="25"/>
      <c r="F315" s="26"/>
      <c r="G315" s="62"/>
      <c r="H315" s="26"/>
      <c r="I315" s="27">
        <f t="shared" si="15"/>
        <v>0</v>
      </c>
      <c r="J315" s="28"/>
      <c r="K315" s="29"/>
      <c r="L315" s="30"/>
      <c r="M315" s="31">
        <f t="shared" si="16"/>
        <v>0</v>
      </c>
      <c r="N315" s="31">
        <f t="shared" si="17"/>
        <v>0</v>
      </c>
      <c r="O315" s="25"/>
      <c r="P315" s="22"/>
      <c r="Q315" s="25"/>
      <c r="R315" s="26"/>
      <c r="S315" s="21"/>
      <c r="T315" s="32"/>
      <c r="U315" s="21"/>
    </row>
    <row r="316" spans="1:21" ht="20.100000000000001" customHeight="1" x14ac:dyDescent="0.3">
      <c r="A316" s="44">
        <v>308</v>
      </c>
      <c r="B316" s="22"/>
      <c r="C316" s="23"/>
      <c r="D316" s="24"/>
      <c r="E316" s="25"/>
      <c r="F316" s="26"/>
      <c r="G316" s="62"/>
      <c r="H316" s="26"/>
      <c r="I316" s="27">
        <f t="shared" si="15"/>
        <v>0</v>
      </c>
      <c r="J316" s="28"/>
      <c r="K316" s="29"/>
      <c r="L316" s="30"/>
      <c r="M316" s="31">
        <f t="shared" si="16"/>
        <v>0</v>
      </c>
      <c r="N316" s="31">
        <f t="shared" si="17"/>
        <v>0</v>
      </c>
      <c r="O316" s="25"/>
      <c r="P316" s="22"/>
      <c r="Q316" s="25"/>
      <c r="R316" s="26"/>
      <c r="S316" s="21"/>
      <c r="T316" s="32"/>
      <c r="U316" s="21"/>
    </row>
    <row r="317" spans="1:21" ht="20.100000000000001" customHeight="1" x14ac:dyDescent="0.3">
      <c r="A317" s="44">
        <v>309</v>
      </c>
      <c r="B317" s="22"/>
      <c r="C317" s="23"/>
      <c r="D317" s="24"/>
      <c r="E317" s="25"/>
      <c r="F317" s="26"/>
      <c r="G317" s="62"/>
      <c r="H317" s="26"/>
      <c r="I317" s="27">
        <f t="shared" si="15"/>
        <v>0</v>
      </c>
      <c r="J317" s="28"/>
      <c r="K317" s="29"/>
      <c r="L317" s="30"/>
      <c r="M317" s="31">
        <f t="shared" si="16"/>
        <v>0</v>
      </c>
      <c r="N317" s="31">
        <f t="shared" si="17"/>
        <v>0</v>
      </c>
      <c r="O317" s="25"/>
      <c r="P317" s="22"/>
      <c r="Q317" s="25"/>
      <c r="R317" s="26"/>
      <c r="S317" s="21"/>
      <c r="T317" s="32"/>
      <c r="U317" s="21"/>
    </row>
    <row r="318" spans="1:21" ht="20.100000000000001" customHeight="1" x14ac:dyDescent="0.3">
      <c r="A318" s="44">
        <v>310</v>
      </c>
      <c r="B318" s="22"/>
      <c r="C318" s="23"/>
      <c r="D318" s="24"/>
      <c r="E318" s="25"/>
      <c r="F318" s="26"/>
      <c r="G318" s="62"/>
      <c r="H318" s="26"/>
      <c r="I318" s="27">
        <f t="shared" si="15"/>
        <v>0</v>
      </c>
      <c r="J318" s="28"/>
      <c r="K318" s="29"/>
      <c r="L318" s="30"/>
      <c r="M318" s="31">
        <f t="shared" si="16"/>
        <v>0</v>
      </c>
      <c r="N318" s="31">
        <f t="shared" si="17"/>
        <v>0</v>
      </c>
      <c r="O318" s="25"/>
      <c r="P318" s="22"/>
      <c r="Q318" s="25"/>
      <c r="R318" s="26"/>
      <c r="S318" s="21"/>
      <c r="T318" s="32"/>
      <c r="U318" s="21"/>
    </row>
    <row r="319" spans="1:21" ht="20.100000000000001" customHeight="1" x14ac:dyDescent="0.3">
      <c r="A319" s="44">
        <v>311</v>
      </c>
      <c r="B319" s="22"/>
      <c r="C319" s="23"/>
      <c r="D319" s="24"/>
      <c r="E319" s="25"/>
      <c r="F319" s="26"/>
      <c r="G319" s="62"/>
      <c r="H319" s="26"/>
      <c r="I319" s="27">
        <f t="shared" si="15"/>
        <v>0</v>
      </c>
      <c r="J319" s="28"/>
      <c r="K319" s="29"/>
      <c r="L319" s="30"/>
      <c r="M319" s="31">
        <f t="shared" si="16"/>
        <v>0</v>
      </c>
      <c r="N319" s="31">
        <f t="shared" si="17"/>
        <v>0</v>
      </c>
      <c r="O319" s="25"/>
      <c r="P319" s="22"/>
      <c r="Q319" s="25"/>
      <c r="R319" s="26"/>
      <c r="S319" s="21"/>
      <c r="T319" s="32"/>
      <c r="U319" s="21"/>
    </row>
    <row r="320" spans="1:21" ht="20.100000000000001" customHeight="1" x14ac:dyDescent="0.3">
      <c r="A320" s="44">
        <v>312</v>
      </c>
      <c r="B320" s="22"/>
      <c r="C320" s="23"/>
      <c r="D320" s="24"/>
      <c r="E320" s="25"/>
      <c r="F320" s="26"/>
      <c r="G320" s="62"/>
      <c r="H320" s="26"/>
      <c r="I320" s="27">
        <f t="shared" si="15"/>
        <v>0</v>
      </c>
      <c r="J320" s="28"/>
      <c r="K320" s="29"/>
      <c r="L320" s="30"/>
      <c r="M320" s="31">
        <f t="shared" si="16"/>
        <v>0</v>
      </c>
      <c r="N320" s="31">
        <f t="shared" si="17"/>
        <v>0</v>
      </c>
      <c r="O320" s="25"/>
      <c r="P320" s="22"/>
      <c r="Q320" s="25"/>
      <c r="R320" s="26"/>
      <c r="S320" s="21"/>
      <c r="T320" s="32"/>
      <c r="U320" s="21"/>
    </row>
    <row r="321" spans="1:21" ht="20.100000000000001" customHeight="1" x14ac:dyDescent="0.3">
      <c r="A321" s="44">
        <v>313</v>
      </c>
      <c r="B321" s="22"/>
      <c r="C321" s="23"/>
      <c r="D321" s="24"/>
      <c r="E321" s="25"/>
      <c r="F321" s="26"/>
      <c r="G321" s="62"/>
      <c r="H321" s="26"/>
      <c r="I321" s="27">
        <f t="shared" si="15"/>
        <v>0</v>
      </c>
      <c r="J321" s="28"/>
      <c r="K321" s="29"/>
      <c r="L321" s="30"/>
      <c r="M321" s="31">
        <f t="shared" si="16"/>
        <v>0</v>
      </c>
      <c r="N321" s="31">
        <f t="shared" si="17"/>
        <v>0</v>
      </c>
      <c r="O321" s="25"/>
      <c r="P321" s="22"/>
      <c r="Q321" s="25"/>
      <c r="R321" s="26"/>
      <c r="S321" s="21"/>
      <c r="T321" s="32"/>
      <c r="U321" s="21"/>
    </row>
    <row r="322" spans="1:21" ht="20.100000000000001" customHeight="1" x14ac:dyDescent="0.3">
      <c r="A322" s="44">
        <v>314</v>
      </c>
      <c r="B322" s="22"/>
      <c r="C322" s="23"/>
      <c r="D322" s="24"/>
      <c r="E322" s="25"/>
      <c r="F322" s="26"/>
      <c r="G322" s="62"/>
      <c r="H322" s="26"/>
      <c r="I322" s="27">
        <f t="shared" si="15"/>
        <v>0</v>
      </c>
      <c r="J322" s="28"/>
      <c r="K322" s="29"/>
      <c r="L322" s="30"/>
      <c r="M322" s="31">
        <f t="shared" si="16"/>
        <v>0</v>
      </c>
      <c r="N322" s="31">
        <f t="shared" si="17"/>
        <v>0</v>
      </c>
      <c r="O322" s="25"/>
      <c r="P322" s="22"/>
      <c r="Q322" s="25"/>
      <c r="R322" s="26"/>
      <c r="S322" s="21"/>
      <c r="T322" s="32"/>
      <c r="U322" s="21"/>
    </row>
    <row r="323" spans="1:21" ht="20.100000000000001" customHeight="1" x14ac:dyDescent="0.3">
      <c r="A323" s="44">
        <v>315</v>
      </c>
      <c r="B323" s="22"/>
      <c r="C323" s="23"/>
      <c r="D323" s="24"/>
      <c r="E323" s="25"/>
      <c r="F323" s="26"/>
      <c r="G323" s="62"/>
      <c r="H323" s="26"/>
      <c r="I323" s="27">
        <f t="shared" si="15"/>
        <v>0</v>
      </c>
      <c r="J323" s="28"/>
      <c r="K323" s="29"/>
      <c r="L323" s="30"/>
      <c r="M323" s="31">
        <f t="shared" si="16"/>
        <v>0</v>
      </c>
      <c r="N323" s="31">
        <f t="shared" si="17"/>
        <v>0</v>
      </c>
      <c r="O323" s="25"/>
      <c r="P323" s="22"/>
      <c r="Q323" s="25"/>
      <c r="R323" s="26"/>
      <c r="S323" s="21"/>
      <c r="T323" s="32"/>
      <c r="U323" s="21"/>
    </row>
    <row r="324" spans="1:21" ht="20.100000000000001" customHeight="1" x14ac:dyDescent="0.3">
      <c r="A324" s="44">
        <v>316</v>
      </c>
      <c r="B324" s="22"/>
      <c r="C324" s="23"/>
      <c r="D324" s="24"/>
      <c r="E324" s="25"/>
      <c r="F324" s="26"/>
      <c r="G324" s="62"/>
      <c r="H324" s="26"/>
      <c r="I324" s="27">
        <f t="shared" si="15"/>
        <v>0</v>
      </c>
      <c r="J324" s="28"/>
      <c r="K324" s="29"/>
      <c r="L324" s="30"/>
      <c r="M324" s="31">
        <f t="shared" si="16"/>
        <v>0</v>
      </c>
      <c r="N324" s="31">
        <f t="shared" si="17"/>
        <v>0</v>
      </c>
      <c r="O324" s="25"/>
      <c r="P324" s="22"/>
      <c r="Q324" s="25"/>
      <c r="R324" s="26"/>
      <c r="S324" s="21"/>
      <c r="T324" s="32"/>
      <c r="U324" s="21"/>
    </row>
    <row r="325" spans="1:21" ht="20.100000000000001" customHeight="1" x14ac:dyDescent="0.3">
      <c r="A325" s="44">
        <v>317</v>
      </c>
      <c r="B325" s="22"/>
      <c r="C325" s="23"/>
      <c r="D325" s="24"/>
      <c r="E325" s="25"/>
      <c r="F325" s="26"/>
      <c r="G325" s="62"/>
      <c r="H325" s="26"/>
      <c r="I325" s="27">
        <f t="shared" si="15"/>
        <v>0</v>
      </c>
      <c r="J325" s="28"/>
      <c r="K325" s="29"/>
      <c r="L325" s="30"/>
      <c r="M325" s="31">
        <f t="shared" si="16"/>
        <v>0</v>
      </c>
      <c r="N325" s="31">
        <f t="shared" si="17"/>
        <v>0</v>
      </c>
      <c r="O325" s="25"/>
      <c r="P325" s="22"/>
      <c r="Q325" s="25"/>
      <c r="R325" s="26"/>
      <c r="S325" s="21"/>
      <c r="T325" s="32"/>
      <c r="U325" s="21"/>
    </row>
    <row r="326" spans="1:21" ht="20.100000000000001" customHeight="1" x14ac:dyDescent="0.3">
      <c r="A326" s="44">
        <v>318</v>
      </c>
      <c r="B326" s="22"/>
      <c r="C326" s="23"/>
      <c r="D326" s="24"/>
      <c r="E326" s="25"/>
      <c r="F326" s="26"/>
      <c r="G326" s="62"/>
      <c r="H326" s="26"/>
      <c r="I326" s="27">
        <f t="shared" si="15"/>
        <v>0</v>
      </c>
      <c r="J326" s="28"/>
      <c r="K326" s="29"/>
      <c r="L326" s="30"/>
      <c r="M326" s="31">
        <f t="shared" si="16"/>
        <v>0</v>
      </c>
      <c r="N326" s="31">
        <f t="shared" si="17"/>
        <v>0</v>
      </c>
      <c r="O326" s="25"/>
      <c r="P326" s="22"/>
      <c r="Q326" s="25"/>
      <c r="R326" s="26"/>
      <c r="S326" s="21"/>
      <c r="T326" s="32"/>
      <c r="U326" s="21"/>
    </row>
    <row r="327" spans="1:21" ht="20.100000000000001" customHeight="1" x14ac:dyDescent="0.3">
      <c r="A327" s="44">
        <v>319</v>
      </c>
      <c r="B327" s="22"/>
      <c r="C327" s="23"/>
      <c r="D327" s="24"/>
      <c r="E327" s="25"/>
      <c r="F327" s="26"/>
      <c r="G327" s="62"/>
      <c r="H327" s="26"/>
      <c r="I327" s="27">
        <f t="shared" si="15"/>
        <v>0</v>
      </c>
      <c r="J327" s="28"/>
      <c r="K327" s="29"/>
      <c r="L327" s="30"/>
      <c r="M327" s="31">
        <f t="shared" si="16"/>
        <v>0</v>
      </c>
      <c r="N327" s="31">
        <f t="shared" si="17"/>
        <v>0</v>
      </c>
      <c r="O327" s="25"/>
      <c r="P327" s="22"/>
      <c r="Q327" s="25"/>
      <c r="R327" s="26"/>
      <c r="S327" s="21"/>
      <c r="T327" s="32"/>
      <c r="U327" s="21"/>
    </row>
    <row r="328" spans="1:21" ht="20.100000000000001" customHeight="1" x14ac:dyDescent="0.3">
      <c r="A328" s="44">
        <v>320</v>
      </c>
      <c r="B328" s="22"/>
      <c r="C328" s="23"/>
      <c r="D328" s="24"/>
      <c r="E328" s="25"/>
      <c r="F328" s="26"/>
      <c r="G328" s="62"/>
      <c r="H328" s="26"/>
      <c r="I328" s="27">
        <f t="shared" si="15"/>
        <v>0</v>
      </c>
      <c r="J328" s="28"/>
      <c r="K328" s="29"/>
      <c r="L328" s="30"/>
      <c r="M328" s="31">
        <f t="shared" si="16"/>
        <v>0</v>
      </c>
      <c r="N328" s="31">
        <f t="shared" si="17"/>
        <v>0</v>
      </c>
      <c r="O328" s="25"/>
      <c r="P328" s="22"/>
      <c r="Q328" s="25"/>
      <c r="R328" s="26"/>
      <c r="S328" s="21"/>
      <c r="T328" s="32"/>
      <c r="U328" s="21"/>
    </row>
    <row r="329" spans="1:21" ht="20.100000000000001" customHeight="1" x14ac:dyDescent="0.3">
      <c r="A329" s="44">
        <v>321</v>
      </c>
      <c r="B329" s="22"/>
      <c r="C329" s="23"/>
      <c r="D329" s="24"/>
      <c r="E329" s="25"/>
      <c r="F329" s="26"/>
      <c r="G329" s="62"/>
      <c r="H329" s="26"/>
      <c r="I329" s="27">
        <f t="shared" ref="I329:I350" si="18">F329*H329</f>
        <v>0</v>
      </c>
      <c r="J329" s="28"/>
      <c r="K329" s="29"/>
      <c r="L329" s="30"/>
      <c r="M329" s="31">
        <f t="shared" ref="M329:M350" si="19">K329*L329</f>
        <v>0</v>
      </c>
      <c r="N329" s="31">
        <f t="shared" ref="N329:N350" si="20">K329+M329</f>
        <v>0</v>
      </c>
      <c r="O329" s="25"/>
      <c r="P329" s="22"/>
      <c r="Q329" s="25"/>
      <c r="R329" s="26"/>
      <c r="S329" s="21"/>
      <c r="T329" s="32"/>
      <c r="U329" s="21"/>
    </row>
    <row r="330" spans="1:21" ht="20.100000000000001" customHeight="1" x14ac:dyDescent="0.3">
      <c r="A330" s="44">
        <v>322</v>
      </c>
      <c r="B330" s="22"/>
      <c r="C330" s="23"/>
      <c r="D330" s="24"/>
      <c r="E330" s="25"/>
      <c r="F330" s="26"/>
      <c r="G330" s="62"/>
      <c r="H330" s="26"/>
      <c r="I330" s="27">
        <f t="shared" si="18"/>
        <v>0</v>
      </c>
      <c r="J330" s="28"/>
      <c r="K330" s="29"/>
      <c r="L330" s="30"/>
      <c r="M330" s="31">
        <f t="shared" si="19"/>
        <v>0</v>
      </c>
      <c r="N330" s="31">
        <f t="shared" si="20"/>
        <v>0</v>
      </c>
      <c r="O330" s="25"/>
      <c r="P330" s="22"/>
      <c r="Q330" s="25"/>
      <c r="R330" s="26"/>
      <c r="S330" s="21"/>
      <c r="T330" s="32"/>
      <c r="U330" s="21"/>
    </row>
    <row r="331" spans="1:21" ht="20.100000000000001" customHeight="1" x14ac:dyDescent="0.3">
      <c r="A331" s="44">
        <v>323</v>
      </c>
      <c r="B331" s="22"/>
      <c r="C331" s="23"/>
      <c r="D331" s="24"/>
      <c r="E331" s="25"/>
      <c r="F331" s="26"/>
      <c r="G331" s="62"/>
      <c r="H331" s="26"/>
      <c r="I331" s="27">
        <f t="shared" si="18"/>
        <v>0</v>
      </c>
      <c r="J331" s="28"/>
      <c r="K331" s="29"/>
      <c r="L331" s="30"/>
      <c r="M331" s="31">
        <f t="shared" si="19"/>
        <v>0</v>
      </c>
      <c r="N331" s="31">
        <f t="shared" si="20"/>
        <v>0</v>
      </c>
      <c r="O331" s="25"/>
      <c r="P331" s="22"/>
      <c r="Q331" s="25"/>
      <c r="R331" s="26"/>
      <c r="S331" s="21"/>
      <c r="T331" s="32"/>
      <c r="U331" s="21"/>
    </row>
    <row r="332" spans="1:21" ht="20.100000000000001" customHeight="1" x14ac:dyDescent="0.3">
      <c r="A332" s="44">
        <v>324</v>
      </c>
      <c r="B332" s="22"/>
      <c r="C332" s="23"/>
      <c r="D332" s="24"/>
      <c r="E332" s="25"/>
      <c r="F332" s="26"/>
      <c r="G332" s="62"/>
      <c r="H332" s="26"/>
      <c r="I332" s="27">
        <f t="shared" si="18"/>
        <v>0</v>
      </c>
      <c r="J332" s="28"/>
      <c r="K332" s="29"/>
      <c r="L332" s="30"/>
      <c r="M332" s="31">
        <f t="shared" si="19"/>
        <v>0</v>
      </c>
      <c r="N332" s="31">
        <f t="shared" si="20"/>
        <v>0</v>
      </c>
      <c r="O332" s="25"/>
      <c r="P332" s="22"/>
      <c r="Q332" s="25"/>
      <c r="R332" s="26"/>
      <c r="S332" s="21"/>
      <c r="T332" s="32"/>
      <c r="U332" s="21"/>
    </row>
    <row r="333" spans="1:21" ht="20.100000000000001" customHeight="1" x14ac:dyDescent="0.3">
      <c r="A333" s="44">
        <v>325</v>
      </c>
      <c r="B333" s="22"/>
      <c r="C333" s="23"/>
      <c r="D333" s="24"/>
      <c r="E333" s="25"/>
      <c r="F333" s="26"/>
      <c r="G333" s="62"/>
      <c r="H333" s="26"/>
      <c r="I333" s="27">
        <f t="shared" si="18"/>
        <v>0</v>
      </c>
      <c r="J333" s="28"/>
      <c r="K333" s="29"/>
      <c r="L333" s="30"/>
      <c r="M333" s="31">
        <f t="shared" si="19"/>
        <v>0</v>
      </c>
      <c r="N333" s="31">
        <f t="shared" si="20"/>
        <v>0</v>
      </c>
      <c r="O333" s="25"/>
      <c r="P333" s="22"/>
      <c r="Q333" s="25"/>
      <c r="R333" s="26"/>
      <c r="S333" s="21"/>
      <c r="T333" s="32"/>
      <c r="U333" s="21"/>
    </row>
    <row r="334" spans="1:21" ht="20.100000000000001" customHeight="1" x14ac:dyDescent="0.3">
      <c r="A334" s="44">
        <v>326</v>
      </c>
      <c r="B334" s="22"/>
      <c r="C334" s="23"/>
      <c r="D334" s="24"/>
      <c r="E334" s="25"/>
      <c r="F334" s="26"/>
      <c r="G334" s="62"/>
      <c r="H334" s="26"/>
      <c r="I334" s="27">
        <f t="shared" si="18"/>
        <v>0</v>
      </c>
      <c r="J334" s="28"/>
      <c r="K334" s="29"/>
      <c r="L334" s="30"/>
      <c r="M334" s="31">
        <f t="shared" si="19"/>
        <v>0</v>
      </c>
      <c r="N334" s="31">
        <f t="shared" si="20"/>
        <v>0</v>
      </c>
      <c r="O334" s="25"/>
      <c r="P334" s="22"/>
      <c r="Q334" s="25"/>
      <c r="R334" s="26"/>
      <c r="S334" s="21"/>
      <c r="T334" s="32"/>
      <c r="U334" s="21"/>
    </row>
    <row r="335" spans="1:21" ht="20.100000000000001" customHeight="1" x14ac:dyDescent="0.3">
      <c r="A335" s="44">
        <v>327</v>
      </c>
      <c r="B335" s="22"/>
      <c r="C335" s="23"/>
      <c r="D335" s="24"/>
      <c r="E335" s="25"/>
      <c r="F335" s="26"/>
      <c r="G335" s="62"/>
      <c r="H335" s="26"/>
      <c r="I335" s="27">
        <f t="shared" si="18"/>
        <v>0</v>
      </c>
      <c r="J335" s="28"/>
      <c r="K335" s="29"/>
      <c r="L335" s="30"/>
      <c r="M335" s="31">
        <f t="shared" si="19"/>
        <v>0</v>
      </c>
      <c r="N335" s="31">
        <f t="shared" si="20"/>
        <v>0</v>
      </c>
      <c r="O335" s="25"/>
      <c r="P335" s="22"/>
      <c r="Q335" s="25"/>
      <c r="R335" s="26"/>
      <c r="S335" s="21"/>
      <c r="T335" s="32"/>
      <c r="U335" s="21"/>
    </row>
    <row r="336" spans="1:21" ht="20.100000000000001" customHeight="1" x14ac:dyDescent="0.3">
      <c r="A336" s="44">
        <v>328</v>
      </c>
      <c r="B336" s="22"/>
      <c r="C336" s="23"/>
      <c r="D336" s="24"/>
      <c r="E336" s="25"/>
      <c r="F336" s="26"/>
      <c r="G336" s="62"/>
      <c r="H336" s="26"/>
      <c r="I336" s="27">
        <f t="shared" si="18"/>
        <v>0</v>
      </c>
      <c r="J336" s="28"/>
      <c r="K336" s="29"/>
      <c r="L336" s="30"/>
      <c r="M336" s="31">
        <f t="shared" si="19"/>
        <v>0</v>
      </c>
      <c r="N336" s="31">
        <f t="shared" si="20"/>
        <v>0</v>
      </c>
      <c r="O336" s="25"/>
      <c r="P336" s="22"/>
      <c r="Q336" s="25"/>
      <c r="R336" s="26"/>
      <c r="S336" s="21"/>
      <c r="T336" s="32"/>
      <c r="U336" s="21"/>
    </row>
    <row r="337" spans="1:21" ht="20.100000000000001" customHeight="1" x14ac:dyDescent="0.3">
      <c r="A337" s="44">
        <v>329</v>
      </c>
      <c r="B337" s="22"/>
      <c r="C337" s="23"/>
      <c r="D337" s="24"/>
      <c r="E337" s="25"/>
      <c r="F337" s="26"/>
      <c r="G337" s="62"/>
      <c r="H337" s="26"/>
      <c r="I337" s="27">
        <f t="shared" si="18"/>
        <v>0</v>
      </c>
      <c r="J337" s="28"/>
      <c r="K337" s="29"/>
      <c r="L337" s="30"/>
      <c r="M337" s="31">
        <f t="shared" si="19"/>
        <v>0</v>
      </c>
      <c r="N337" s="31">
        <f t="shared" si="20"/>
        <v>0</v>
      </c>
      <c r="O337" s="25"/>
      <c r="P337" s="22"/>
      <c r="Q337" s="25"/>
      <c r="R337" s="26"/>
      <c r="S337" s="21"/>
      <c r="T337" s="32"/>
      <c r="U337" s="21"/>
    </row>
    <row r="338" spans="1:21" ht="20.100000000000001" customHeight="1" x14ac:dyDescent="0.3">
      <c r="A338" s="44">
        <v>330</v>
      </c>
      <c r="B338" s="22"/>
      <c r="C338" s="23"/>
      <c r="D338" s="24"/>
      <c r="E338" s="25"/>
      <c r="F338" s="26"/>
      <c r="G338" s="62"/>
      <c r="H338" s="26"/>
      <c r="I338" s="27">
        <f t="shared" si="18"/>
        <v>0</v>
      </c>
      <c r="J338" s="28"/>
      <c r="K338" s="29"/>
      <c r="L338" s="30"/>
      <c r="M338" s="31">
        <f t="shared" si="19"/>
        <v>0</v>
      </c>
      <c r="N338" s="31">
        <f t="shared" si="20"/>
        <v>0</v>
      </c>
      <c r="O338" s="25"/>
      <c r="P338" s="22"/>
      <c r="Q338" s="25"/>
      <c r="R338" s="26"/>
      <c r="S338" s="21"/>
      <c r="T338" s="32"/>
      <c r="U338" s="21"/>
    </row>
    <row r="339" spans="1:21" ht="20.100000000000001" customHeight="1" x14ac:dyDescent="0.3">
      <c r="A339" s="44">
        <v>331</v>
      </c>
      <c r="B339" s="22"/>
      <c r="C339" s="23"/>
      <c r="D339" s="24"/>
      <c r="E339" s="25"/>
      <c r="F339" s="26"/>
      <c r="G339" s="62"/>
      <c r="H339" s="26"/>
      <c r="I339" s="27">
        <f t="shared" si="18"/>
        <v>0</v>
      </c>
      <c r="J339" s="28"/>
      <c r="K339" s="29"/>
      <c r="L339" s="30"/>
      <c r="M339" s="31">
        <f t="shared" si="19"/>
        <v>0</v>
      </c>
      <c r="N339" s="31">
        <f t="shared" si="20"/>
        <v>0</v>
      </c>
      <c r="O339" s="25"/>
      <c r="P339" s="22"/>
      <c r="Q339" s="25"/>
      <c r="R339" s="26"/>
      <c r="S339" s="21"/>
      <c r="T339" s="32"/>
      <c r="U339" s="21"/>
    </row>
    <row r="340" spans="1:21" ht="20.100000000000001" customHeight="1" x14ac:dyDescent="0.3">
      <c r="A340" s="44">
        <v>332</v>
      </c>
      <c r="B340" s="22"/>
      <c r="C340" s="23"/>
      <c r="D340" s="24"/>
      <c r="E340" s="25"/>
      <c r="F340" s="26"/>
      <c r="G340" s="62"/>
      <c r="H340" s="26"/>
      <c r="I340" s="27">
        <f t="shared" si="18"/>
        <v>0</v>
      </c>
      <c r="J340" s="28"/>
      <c r="K340" s="29"/>
      <c r="L340" s="30"/>
      <c r="M340" s="31">
        <f t="shared" si="19"/>
        <v>0</v>
      </c>
      <c r="N340" s="31">
        <f t="shared" si="20"/>
        <v>0</v>
      </c>
      <c r="O340" s="25"/>
      <c r="P340" s="22"/>
      <c r="Q340" s="25"/>
      <c r="R340" s="26"/>
      <c r="S340" s="21"/>
      <c r="T340" s="32"/>
      <c r="U340" s="21"/>
    </row>
    <row r="341" spans="1:21" ht="20.100000000000001" customHeight="1" x14ac:dyDescent="0.3">
      <c r="A341" s="44">
        <v>333</v>
      </c>
      <c r="B341" s="22"/>
      <c r="C341" s="23"/>
      <c r="D341" s="24"/>
      <c r="E341" s="25"/>
      <c r="F341" s="26"/>
      <c r="G341" s="62"/>
      <c r="H341" s="26"/>
      <c r="I341" s="27">
        <f t="shared" si="18"/>
        <v>0</v>
      </c>
      <c r="J341" s="28"/>
      <c r="K341" s="29"/>
      <c r="L341" s="30"/>
      <c r="M341" s="31">
        <f t="shared" si="19"/>
        <v>0</v>
      </c>
      <c r="N341" s="31">
        <f t="shared" si="20"/>
        <v>0</v>
      </c>
      <c r="O341" s="25"/>
      <c r="P341" s="22"/>
      <c r="Q341" s="25"/>
      <c r="R341" s="26"/>
      <c r="S341" s="21"/>
      <c r="T341" s="32"/>
      <c r="U341" s="21"/>
    </row>
    <row r="342" spans="1:21" ht="20.100000000000001" customHeight="1" x14ac:dyDescent="0.3">
      <c r="A342" s="44">
        <v>334</v>
      </c>
      <c r="B342" s="22"/>
      <c r="C342" s="23"/>
      <c r="D342" s="24"/>
      <c r="E342" s="25"/>
      <c r="F342" s="26"/>
      <c r="G342" s="62"/>
      <c r="H342" s="26"/>
      <c r="I342" s="27">
        <f t="shared" si="18"/>
        <v>0</v>
      </c>
      <c r="J342" s="28"/>
      <c r="K342" s="29"/>
      <c r="L342" s="30"/>
      <c r="M342" s="31">
        <f t="shared" si="19"/>
        <v>0</v>
      </c>
      <c r="N342" s="31">
        <f t="shared" si="20"/>
        <v>0</v>
      </c>
      <c r="O342" s="25"/>
      <c r="P342" s="22"/>
      <c r="Q342" s="25"/>
      <c r="R342" s="26"/>
      <c r="S342" s="21"/>
      <c r="T342" s="32"/>
      <c r="U342" s="21"/>
    </row>
    <row r="343" spans="1:21" ht="20.100000000000001" customHeight="1" x14ac:dyDescent="0.3">
      <c r="A343" s="44">
        <v>335</v>
      </c>
      <c r="B343" s="22"/>
      <c r="C343" s="23"/>
      <c r="D343" s="24"/>
      <c r="E343" s="25"/>
      <c r="F343" s="26"/>
      <c r="G343" s="62"/>
      <c r="H343" s="26"/>
      <c r="I343" s="27">
        <f t="shared" si="18"/>
        <v>0</v>
      </c>
      <c r="J343" s="28"/>
      <c r="K343" s="29"/>
      <c r="L343" s="30"/>
      <c r="M343" s="31">
        <f t="shared" si="19"/>
        <v>0</v>
      </c>
      <c r="N343" s="31">
        <f t="shared" si="20"/>
        <v>0</v>
      </c>
      <c r="O343" s="25"/>
      <c r="P343" s="22"/>
      <c r="Q343" s="25"/>
      <c r="R343" s="26"/>
      <c r="S343" s="21"/>
      <c r="T343" s="32"/>
      <c r="U343" s="21"/>
    </row>
    <row r="344" spans="1:21" ht="20.100000000000001" customHeight="1" x14ac:dyDescent="0.3">
      <c r="A344" s="44">
        <v>336</v>
      </c>
      <c r="B344" s="22"/>
      <c r="C344" s="23"/>
      <c r="D344" s="24"/>
      <c r="E344" s="25"/>
      <c r="F344" s="26"/>
      <c r="G344" s="62"/>
      <c r="H344" s="26"/>
      <c r="I344" s="27">
        <f t="shared" si="18"/>
        <v>0</v>
      </c>
      <c r="J344" s="28"/>
      <c r="K344" s="29"/>
      <c r="L344" s="30"/>
      <c r="M344" s="31">
        <f t="shared" si="19"/>
        <v>0</v>
      </c>
      <c r="N344" s="31">
        <f t="shared" si="20"/>
        <v>0</v>
      </c>
      <c r="O344" s="25"/>
      <c r="P344" s="22"/>
      <c r="Q344" s="25"/>
      <c r="R344" s="26"/>
      <c r="S344" s="21"/>
      <c r="T344" s="32"/>
      <c r="U344" s="21"/>
    </row>
    <row r="345" spans="1:21" ht="20.100000000000001" customHeight="1" x14ac:dyDescent="0.3">
      <c r="A345" s="44">
        <v>337</v>
      </c>
      <c r="B345" s="22"/>
      <c r="C345" s="23"/>
      <c r="D345" s="24"/>
      <c r="E345" s="25"/>
      <c r="F345" s="26"/>
      <c r="G345" s="62"/>
      <c r="H345" s="26"/>
      <c r="I345" s="27">
        <f t="shared" si="18"/>
        <v>0</v>
      </c>
      <c r="J345" s="28"/>
      <c r="K345" s="29"/>
      <c r="L345" s="30"/>
      <c r="M345" s="31">
        <f t="shared" si="19"/>
        <v>0</v>
      </c>
      <c r="N345" s="31">
        <f t="shared" si="20"/>
        <v>0</v>
      </c>
      <c r="O345" s="25"/>
      <c r="P345" s="22"/>
      <c r="Q345" s="25"/>
      <c r="R345" s="26"/>
      <c r="S345" s="21"/>
      <c r="T345" s="32"/>
      <c r="U345" s="21"/>
    </row>
    <row r="346" spans="1:21" ht="20.100000000000001" customHeight="1" x14ac:dyDescent="0.3">
      <c r="A346" s="44">
        <v>338</v>
      </c>
      <c r="B346" s="22"/>
      <c r="C346" s="23"/>
      <c r="D346" s="24"/>
      <c r="E346" s="25"/>
      <c r="F346" s="26"/>
      <c r="G346" s="62"/>
      <c r="H346" s="26"/>
      <c r="I346" s="27">
        <f t="shared" si="18"/>
        <v>0</v>
      </c>
      <c r="J346" s="28"/>
      <c r="K346" s="29"/>
      <c r="L346" s="30"/>
      <c r="M346" s="31">
        <f t="shared" si="19"/>
        <v>0</v>
      </c>
      <c r="N346" s="31">
        <f t="shared" si="20"/>
        <v>0</v>
      </c>
      <c r="O346" s="25"/>
      <c r="P346" s="22"/>
      <c r="Q346" s="25"/>
      <c r="R346" s="26"/>
      <c r="S346" s="21"/>
      <c r="T346" s="32"/>
      <c r="U346" s="21"/>
    </row>
    <row r="347" spans="1:21" ht="20.100000000000001" customHeight="1" x14ac:dyDescent="0.3">
      <c r="A347" s="44">
        <v>339</v>
      </c>
      <c r="B347" s="22"/>
      <c r="C347" s="23"/>
      <c r="D347" s="24"/>
      <c r="E347" s="25"/>
      <c r="F347" s="26"/>
      <c r="G347" s="62"/>
      <c r="H347" s="26"/>
      <c r="I347" s="27">
        <f t="shared" si="18"/>
        <v>0</v>
      </c>
      <c r="J347" s="28"/>
      <c r="K347" s="29"/>
      <c r="L347" s="30"/>
      <c r="M347" s="31">
        <f t="shared" si="19"/>
        <v>0</v>
      </c>
      <c r="N347" s="31">
        <f t="shared" si="20"/>
        <v>0</v>
      </c>
      <c r="O347" s="25"/>
      <c r="P347" s="22"/>
      <c r="Q347" s="25"/>
      <c r="R347" s="26"/>
      <c r="S347" s="21"/>
      <c r="T347" s="32"/>
      <c r="U347" s="21"/>
    </row>
    <row r="348" spans="1:21" ht="20.100000000000001" customHeight="1" x14ac:dyDescent="0.3">
      <c r="A348" s="44">
        <v>340</v>
      </c>
      <c r="B348" s="22"/>
      <c r="C348" s="23"/>
      <c r="D348" s="24"/>
      <c r="E348" s="25"/>
      <c r="F348" s="26"/>
      <c r="G348" s="62"/>
      <c r="H348" s="26"/>
      <c r="I348" s="27">
        <f t="shared" si="18"/>
        <v>0</v>
      </c>
      <c r="J348" s="28"/>
      <c r="K348" s="29"/>
      <c r="L348" s="30"/>
      <c r="M348" s="31">
        <f t="shared" si="19"/>
        <v>0</v>
      </c>
      <c r="N348" s="31">
        <f t="shared" si="20"/>
        <v>0</v>
      </c>
      <c r="O348" s="25"/>
      <c r="P348" s="22"/>
      <c r="Q348" s="25"/>
      <c r="R348" s="26"/>
      <c r="S348" s="21"/>
      <c r="T348" s="32"/>
      <c r="U348" s="21"/>
    </row>
    <row r="349" spans="1:21" ht="20.100000000000001" customHeight="1" x14ac:dyDescent="0.3">
      <c r="A349" s="44">
        <v>341</v>
      </c>
      <c r="B349" s="22"/>
      <c r="C349" s="23"/>
      <c r="D349" s="24"/>
      <c r="E349" s="25"/>
      <c r="F349" s="26"/>
      <c r="G349" s="62"/>
      <c r="H349" s="26"/>
      <c r="I349" s="27">
        <f t="shared" si="18"/>
        <v>0</v>
      </c>
      <c r="J349" s="28"/>
      <c r="K349" s="29"/>
      <c r="L349" s="30"/>
      <c r="M349" s="31">
        <f t="shared" si="19"/>
        <v>0</v>
      </c>
      <c r="N349" s="31">
        <f t="shared" si="20"/>
        <v>0</v>
      </c>
      <c r="O349" s="25"/>
      <c r="P349" s="22"/>
      <c r="Q349" s="25"/>
      <c r="R349" s="26"/>
      <c r="S349" s="21"/>
      <c r="T349" s="32"/>
      <c r="U349" s="21"/>
    </row>
    <row r="350" spans="1:21" ht="20.100000000000001" customHeight="1" x14ac:dyDescent="0.3">
      <c r="A350" s="44">
        <v>342</v>
      </c>
      <c r="B350" s="22"/>
      <c r="C350" s="23"/>
      <c r="D350" s="24"/>
      <c r="E350" s="25"/>
      <c r="F350" s="26"/>
      <c r="G350" s="62"/>
      <c r="H350" s="26"/>
      <c r="I350" s="27">
        <f t="shared" si="18"/>
        <v>0</v>
      </c>
      <c r="J350" s="28"/>
      <c r="K350" s="29"/>
      <c r="L350" s="30"/>
      <c r="M350" s="31">
        <f t="shared" si="19"/>
        <v>0</v>
      </c>
      <c r="N350" s="31">
        <f t="shared" si="20"/>
        <v>0</v>
      </c>
      <c r="O350" s="25"/>
      <c r="P350" s="22"/>
      <c r="Q350" s="25"/>
      <c r="R350" s="26"/>
      <c r="S350" s="21"/>
      <c r="T350" s="32"/>
      <c r="U350" s="21"/>
    </row>
  </sheetData>
  <autoFilter ref="D2:D350"/>
  <mergeCells count="4">
    <mergeCell ref="S3:T3"/>
    <mergeCell ref="F5:I5"/>
    <mergeCell ref="K5:N5"/>
    <mergeCell ref="P5:T5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V351"/>
  <sheetViews>
    <sheetView workbookViewId="0">
      <pane ySplit="7" topLeftCell="A8" activePane="bottomLeft" state="frozen"/>
      <selection pane="bottomLeft" activeCell="D1" sqref="D1:D1048576"/>
    </sheetView>
  </sheetViews>
  <sheetFormatPr defaultRowHeight="16.5" x14ac:dyDescent="0.3"/>
  <cols>
    <col min="1" max="1" width="4.140625" style="45" customWidth="1"/>
    <col min="2" max="2" width="11.7109375" style="35" customWidth="1"/>
    <col min="3" max="3" width="2.85546875" style="35" customWidth="1"/>
    <col min="4" max="4" width="25.85546875" style="35" customWidth="1"/>
    <col min="5" max="5" width="3.140625" style="35" customWidth="1"/>
    <col min="6" max="6" width="9.140625" style="35" customWidth="1"/>
    <col min="7" max="7" width="17.85546875" style="35" customWidth="1"/>
    <col min="8" max="8" width="6.42578125" style="35" customWidth="1"/>
    <col min="9" max="9" width="8.7109375" style="35" customWidth="1"/>
    <col min="10" max="10" width="3.42578125" style="35" customWidth="1"/>
    <col min="11" max="11" width="8.5703125" style="35" customWidth="1"/>
    <col min="12" max="12" width="7.7109375" style="35" customWidth="1"/>
    <col min="13" max="13" width="7.5703125" style="35" customWidth="1"/>
    <col min="14" max="14" width="10.85546875" style="108" customWidth="1"/>
    <col min="15" max="15" width="3.5703125" style="35" customWidth="1"/>
    <col min="16" max="16" width="10.7109375" style="55" customWidth="1"/>
    <col min="17" max="17" width="5.85546875" style="55" customWidth="1"/>
    <col min="18" max="18" width="6.28515625" style="55" customWidth="1"/>
    <col min="19" max="20" width="9.7109375" style="55" customWidth="1"/>
    <col min="21" max="21" width="8.85546875" style="35" customWidth="1"/>
    <col min="22" max="22" width="3.140625" style="35" customWidth="1"/>
    <col min="23" max="16384" width="9.140625" style="35"/>
  </cols>
  <sheetData>
    <row r="1" spans="1:22" ht="17.25" thickBot="1" x14ac:dyDescent="0.35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104"/>
      <c r="O1" s="58"/>
      <c r="P1" s="59"/>
      <c r="Q1" s="59"/>
      <c r="R1" s="59"/>
      <c r="S1" s="59"/>
      <c r="T1" s="59"/>
      <c r="U1" s="58"/>
      <c r="V1" s="58"/>
    </row>
    <row r="2" spans="1:22" x14ac:dyDescent="0.3">
      <c r="A2" s="43"/>
      <c r="B2" s="2"/>
      <c r="C2" s="1"/>
      <c r="D2" s="1"/>
      <c r="E2" s="1"/>
      <c r="F2" s="1"/>
      <c r="G2" s="1"/>
      <c r="H2" s="1"/>
      <c r="I2" s="1"/>
      <c r="J2" s="1"/>
      <c r="K2" s="3"/>
      <c r="L2" s="4"/>
      <c r="M2" s="5"/>
      <c r="N2" s="105"/>
      <c r="O2" s="1"/>
      <c r="P2" s="48"/>
      <c r="Q2" s="49"/>
      <c r="R2" s="49"/>
      <c r="S2" s="49"/>
      <c r="T2" s="49"/>
      <c r="U2" s="1"/>
      <c r="V2" s="51"/>
    </row>
    <row r="3" spans="1:22" ht="20.100000000000001" customHeight="1" thickBot="1" x14ac:dyDescent="0.35">
      <c r="A3" s="43"/>
      <c r="B3" s="42" t="s">
        <v>15</v>
      </c>
      <c r="C3" s="1"/>
      <c r="D3" s="1"/>
      <c r="E3" s="36" t="s">
        <v>34</v>
      </c>
      <c r="F3" s="36"/>
      <c r="G3" s="36"/>
      <c r="H3" s="36"/>
      <c r="I3" s="36"/>
      <c r="J3" s="36"/>
      <c r="K3" s="36"/>
      <c r="L3" s="36"/>
      <c r="M3" s="36"/>
      <c r="N3" s="106"/>
      <c r="O3" s="36"/>
      <c r="P3" s="37"/>
      <c r="Q3" s="56"/>
      <c r="R3" s="56"/>
      <c r="S3" s="181" t="str">
        <f>+'Order Details Apr24 - Mar25'!S3:T3</f>
        <v>Update as on 29.03.2025</v>
      </c>
      <c r="T3" s="193"/>
      <c r="U3" s="182"/>
      <c r="V3" s="51"/>
    </row>
    <row r="4" spans="1:22" ht="17.25" thickTop="1" x14ac:dyDescent="0.3">
      <c r="A4" s="43"/>
      <c r="B4" s="2"/>
      <c r="C4" s="1"/>
      <c r="D4" s="1"/>
      <c r="E4" s="1"/>
      <c r="F4" s="1"/>
      <c r="G4" s="1"/>
      <c r="H4" s="6"/>
      <c r="I4" s="6"/>
      <c r="J4" s="1"/>
      <c r="K4" s="3"/>
      <c r="L4" s="4"/>
      <c r="M4" s="5"/>
      <c r="N4" s="105"/>
      <c r="O4" s="1"/>
      <c r="P4" s="48"/>
      <c r="Q4" s="49"/>
      <c r="R4" s="49"/>
      <c r="S4" s="49"/>
      <c r="T4" s="49"/>
      <c r="U4" s="1"/>
      <c r="V4" s="51"/>
    </row>
    <row r="5" spans="1:22" ht="30" customHeight="1" x14ac:dyDescent="0.3">
      <c r="A5" s="43"/>
      <c r="B5" s="8" t="s">
        <v>0</v>
      </c>
      <c r="C5" s="7"/>
      <c r="D5" s="47" t="s">
        <v>936</v>
      </c>
      <c r="E5" s="7"/>
      <c r="F5" s="178" t="s">
        <v>80</v>
      </c>
      <c r="G5" s="178"/>
      <c r="H5" s="178"/>
      <c r="I5" s="178"/>
      <c r="J5" s="9"/>
      <c r="K5" s="179" t="s">
        <v>81</v>
      </c>
      <c r="L5" s="179"/>
      <c r="M5" s="179"/>
      <c r="N5" s="179"/>
      <c r="O5" s="7"/>
      <c r="P5" s="180" t="s">
        <v>82</v>
      </c>
      <c r="Q5" s="180"/>
      <c r="R5" s="180"/>
      <c r="S5" s="180"/>
      <c r="T5" s="180"/>
      <c r="U5" s="180"/>
      <c r="V5" s="7"/>
    </row>
    <row r="6" spans="1:22" x14ac:dyDescent="0.3">
      <c r="A6" s="43"/>
      <c r="B6" s="2"/>
      <c r="C6" s="1"/>
      <c r="D6" s="1"/>
      <c r="E6" s="1"/>
      <c r="F6" s="10"/>
      <c r="G6" s="10"/>
      <c r="H6" s="1"/>
      <c r="I6" s="1"/>
      <c r="J6" s="1"/>
      <c r="K6" s="3"/>
      <c r="L6" s="4"/>
      <c r="M6" s="5"/>
      <c r="N6" s="105"/>
      <c r="O6" s="1"/>
      <c r="P6" s="48"/>
      <c r="Q6" s="49"/>
      <c r="R6" s="49"/>
      <c r="S6" s="49"/>
      <c r="T6" s="49"/>
      <c r="U6" s="1"/>
      <c r="V6" s="1"/>
    </row>
    <row r="7" spans="1:22" ht="30" customHeight="1" x14ac:dyDescent="0.3">
      <c r="A7" s="44"/>
      <c r="B7" s="12" t="s">
        <v>83</v>
      </c>
      <c r="C7" s="13"/>
      <c r="D7" s="14" t="s">
        <v>12</v>
      </c>
      <c r="E7" s="11"/>
      <c r="F7" s="188" t="s">
        <v>84</v>
      </c>
      <c r="G7" s="189"/>
      <c r="H7" s="15" t="s">
        <v>4</v>
      </c>
      <c r="I7" s="15" t="s">
        <v>6</v>
      </c>
      <c r="J7" s="16"/>
      <c r="K7" s="190" t="s">
        <v>85</v>
      </c>
      <c r="L7" s="191"/>
      <c r="M7" s="192"/>
      <c r="N7" s="107" t="s">
        <v>86</v>
      </c>
      <c r="O7" s="11"/>
      <c r="P7" s="12" t="s">
        <v>87</v>
      </c>
      <c r="Q7" s="15" t="s">
        <v>88</v>
      </c>
      <c r="R7" s="15" t="s">
        <v>89</v>
      </c>
      <c r="S7" s="15" t="s">
        <v>90</v>
      </c>
      <c r="T7" s="15" t="s">
        <v>91</v>
      </c>
      <c r="U7" s="15" t="s">
        <v>92</v>
      </c>
      <c r="V7" s="11"/>
    </row>
    <row r="8" spans="1:22" x14ac:dyDescent="0.3">
      <c r="A8" s="43"/>
      <c r="B8" s="2"/>
      <c r="C8" s="1"/>
      <c r="D8" s="1"/>
      <c r="E8" s="1"/>
      <c r="F8" s="1"/>
      <c r="G8" s="1"/>
      <c r="H8" s="1"/>
      <c r="I8" s="1"/>
      <c r="J8" s="20"/>
      <c r="K8" s="3"/>
      <c r="L8" s="4"/>
      <c r="M8" s="5"/>
      <c r="N8" s="105"/>
      <c r="O8" s="1"/>
      <c r="P8" s="48" t="s">
        <v>93</v>
      </c>
      <c r="Q8" s="49"/>
      <c r="R8" s="49"/>
      <c r="S8" s="48"/>
      <c r="T8" s="48" t="s">
        <v>93</v>
      </c>
      <c r="U8" s="1"/>
      <c r="V8" s="51"/>
    </row>
    <row r="9" spans="1:22" ht="20.100000000000001" customHeight="1" x14ac:dyDescent="0.3">
      <c r="A9" s="44">
        <v>1</v>
      </c>
      <c r="B9" s="22">
        <f>+'Order Details Apr24 - Mar25'!P9</f>
        <v>45390</v>
      </c>
      <c r="C9" s="23"/>
      <c r="D9" s="53" t="str">
        <f>+'Order Details Apr24 - Mar25'!T9</f>
        <v>B V Biocrop, Hitech Division</v>
      </c>
      <c r="E9" s="25"/>
      <c r="F9" s="183" t="str">
        <f>+'Order Details Apr24 - Mar25'!D9</f>
        <v>AQUAMAX (BV Biocrop)</v>
      </c>
      <c r="G9" s="184"/>
      <c r="H9" s="26" t="str">
        <f>+'Order Details Apr24 - Mar25'!G9</f>
        <v>Ltr</v>
      </c>
      <c r="I9" s="27">
        <f>+'Order Details Apr24 - Mar25'!I9</f>
        <v>1000</v>
      </c>
      <c r="J9" s="28"/>
      <c r="K9" s="185" t="str">
        <f>+'Order Details Apr24 - Mar25'!R9</f>
        <v>PO / NBF / 080424 / 01</v>
      </c>
      <c r="L9" s="186"/>
      <c r="M9" s="187"/>
      <c r="N9" s="27">
        <f>+'Order Details Apr24 - Mar25'!F9*'Order Details Apr24 - Mar25'!N9</f>
        <v>10785.2</v>
      </c>
      <c r="O9" s="25"/>
      <c r="P9" s="22"/>
      <c r="Q9" s="26"/>
      <c r="R9" s="82">
        <v>7</v>
      </c>
      <c r="S9" s="22">
        <f>P9+R9</f>
        <v>7</v>
      </c>
      <c r="T9" s="22"/>
      <c r="U9" s="31"/>
      <c r="V9" s="51"/>
    </row>
    <row r="10" spans="1:22" ht="20.100000000000001" customHeight="1" x14ac:dyDescent="0.3">
      <c r="A10" s="44">
        <v>2</v>
      </c>
      <c r="B10" s="22">
        <f>+'Order Details Apr24 - Mar25'!P10</f>
        <v>45390</v>
      </c>
      <c r="C10" s="23"/>
      <c r="D10" s="53" t="str">
        <f>+'Order Details Apr24 - Mar25'!T10</f>
        <v>B V Biocrop, Hitech Division</v>
      </c>
      <c r="E10" s="25"/>
      <c r="F10" s="183" t="str">
        <f>+'Order Details Apr24 - Mar25'!D10</f>
        <v>SAFEGARD (BV Biocrop)</v>
      </c>
      <c r="G10" s="184"/>
      <c r="H10" s="26" t="str">
        <f>+'Order Details Apr24 - Mar25'!G10</f>
        <v>Ltr</v>
      </c>
      <c r="I10" s="27">
        <f>+'Order Details Apr24 - Mar25'!I10</f>
        <v>100</v>
      </c>
      <c r="J10" s="28"/>
      <c r="K10" s="185" t="str">
        <f>+'Order Details Apr24 - Mar25'!R10</f>
        <v>PO / NBF / 080424 / 01</v>
      </c>
      <c r="L10" s="186"/>
      <c r="M10" s="187"/>
      <c r="N10" s="27">
        <f>+'Order Details Apr24 - Mar25'!F10*'Order Details Apr24 - Mar25'!N10</f>
        <v>26856.799999999999</v>
      </c>
      <c r="O10" s="25"/>
      <c r="P10" s="22"/>
      <c r="Q10" s="26"/>
      <c r="R10" s="82">
        <v>7</v>
      </c>
      <c r="S10" s="22">
        <f t="shared" ref="S10:S73" si="0">P10+R10</f>
        <v>7</v>
      </c>
      <c r="T10" s="22"/>
      <c r="U10" s="31"/>
      <c r="V10" s="51"/>
    </row>
    <row r="11" spans="1:22" ht="20.100000000000001" customHeight="1" x14ac:dyDescent="0.3">
      <c r="A11" s="44">
        <v>3</v>
      </c>
      <c r="B11" s="22">
        <f>+'Order Details Apr24 - Mar25'!P11</f>
        <v>45390</v>
      </c>
      <c r="C11" s="23"/>
      <c r="D11" s="53" t="str">
        <f>+'Order Details Apr24 - Mar25'!T11</f>
        <v>Das Drug Centre Pvt Ltd, Habra</v>
      </c>
      <c r="E11" s="25"/>
      <c r="F11" s="183" t="str">
        <f>+'Order Details Apr24 - Mar25'!D11</f>
        <v>ELECTROCARE PLUS (Cargill)</v>
      </c>
      <c r="G11" s="184"/>
      <c r="H11" s="26" t="str">
        <f>+'Order Details Apr24 - Mar25'!G11</f>
        <v>Kg</v>
      </c>
      <c r="I11" s="27">
        <f>+'Order Details Apr24 - Mar25'!I11</f>
        <v>200</v>
      </c>
      <c r="J11" s="28"/>
      <c r="K11" s="185" t="str">
        <f>+'Order Details Apr24 - Mar25'!R11</f>
        <v>PO / NBF / 080424 / 02</v>
      </c>
      <c r="L11" s="186"/>
      <c r="M11" s="187"/>
      <c r="N11" s="27">
        <f>+'Order Details Apr24 - Mar25'!F11*'Order Details Apr24 - Mar25'!N11</f>
        <v>37800</v>
      </c>
      <c r="O11" s="25"/>
      <c r="P11" s="22"/>
      <c r="Q11" s="26"/>
      <c r="R11" s="82">
        <v>7</v>
      </c>
      <c r="S11" s="22">
        <f t="shared" si="0"/>
        <v>7</v>
      </c>
      <c r="T11" s="22"/>
      <c r="U11" s="31"/>
      <c r="V11" s="51"/>
    </row>
    <row r="12" spans="1:22" ht="20.100000000000001" customHeight="1" x14ac:dyDescent="0.3">
      <c r="A12" s="44">
        <v>4</v>
      </c>
      <c r="B12" s="22">
        <f>+'Order Details Apr24 - Mar25'!P12</f>
        <v>45390</v>
      </c>
      <c r="C12" s="23"/>
      <c r="D12" s="53" t="str">
        <f>+'Order Details Apr24 - Mar25'!T12</f>
        <v>Das Drug Centre Pvt Ltd, Habra</v>
      </c>
      <c r="E12" s="25"/>
      <c r="F12" s="183" t="str">
        <f>+'Order Details Apr24 - Mar25'!D12</f>
        <v>E CARE SE (Cargill)</v>
      </c>
      <c r="G12" s="184"/>
      <c r="H12" s="26" t="str">
        <f>+'Order Details Apr24 - Mar25'!G12</f>
        <v>Gms</v>
      </c>
      <c r="I12" s="27">
        <f>+'Order Details Apr24 - Mar25'!I12</f>
        <v>60000</v>
      </c>
      <c r="J12" s="28"/>
      <c r="K12" s="185" t="str">
        <f>+'Order Details Apr24 - Mar25'!R12</f>
        <v>PO / NBF / 080424 / 02</v>
      </c>
      <c r="L12" s="186"/>
      <c r="M12" s="187"/>
      <c r="N12" s="27">
        <f>+'Order Details Apr24 - Mar25'!F12*'Order Details Apr24 - Mar25'!N12</f>
        <v>57000</v>
      </c>
      <c r="O12" s="25"/>
      <c r="P12" s="22"/>
      <c r="Q12" s="26"/>
      <c r="R12" s="82">
        <v>45</v>
      </c>
      <c r="S12" s="22">
        <f t="shared" si="0"/>
        <v>45</v>
      </c>
      <c r="T12" s="22"/>
      <c r="U12" s="31"/>
      <c r="V12" s="51"/>
    </row>
    <row r="13" spans="1:22" ht="20.100000000000001" customHeight="1" x14ac:dyDescent="0.3">
      <c r="A13" s="44">
        <v>5</v>
      </c>
      <c r="B13" s="22">
        <f>+'Order Details Apr24 - Mar25'!P13</f>
        <v>45390</v>
      </c>
      <c r="C13" s="23"/>
      <c r="D13" s="53" t="str">
        <f>+'Order Details Apr24 - Mar25'!T13</f>
        <v>Das Drug Centre Pvt Ltd, Habra</v>
      </c>
      <c r="E13" s="25"/>
      <c r="F13" s="183" t="str">
        <f>+'Order Details Apr24 - Mar25'!D13</f>
        <v>FAMITONE (Zenex-AH)</v>
      </c>
      <c r="G13" s="184"/>
      <c r="H13" s="26" t="str">
        <f>+'Order Details Apr24 - Mar25'!G13</f>
        <v>Ltr</v>
      </c>
      <c r="I13" s="27">
        <f>+'Order Details Apr24 - Mar25'!I13</f>
        <v>48</v>
      </c>
      <c r="J13" s="28"/>
      <c r="K13" s="185" t="str">
        <f>+'Order Details Apr24 - Mar25'!R13</f>
        <v>PO / NBF / 080424 / 02</v>
      </c>
      <c r="L13" s="186"/>
      <c r="M13" s="187"/>
      <c r="N13" s="27">
        <f>+'Order Details Apr24 - Mar25'!F13*'Order Details Apr24 - Mar25'!N13</f>
        <v>27840</v>
      </c>
      <c r="O13" s="25"/>
      <c r="P13" s="22"/>
      <c r="Q13" s="26"/>
      <c r="R13" s="82">
        <v>45</v>
      </c>
      <c r="S13" s="22">
        <f t="shared" si="0"/>
        <v>45</v>
      </c>
      <c r="T13" s="22"/>
      <c r="U13" s="31"/>
      <c r="V13" s="51"/>
    </row>
    <row r="14" spans="1:22" ht="20.100000000000001" customHeight="1" x14ac:dyDescent="0.3">
      <c r="A14" s="44">
        <v>6</v>
      </c>
      <c r="B14" s="22">
        <f>+'Order Details Apr24 - Mar25'!P14</f>
        <v>45390</v>
      </c>
      <c r="C14" s="23"/>
      <c r="D14" s="53" t="str">
        <f>+'Order Details Apr24 - Mar25'!T14</f>
        <v>Das Drug Centre Pvt Ltd, Habra</v>
      </c>
      <c r="E14" s="25"/>
      <c r="F14" s="183" t="str">
        <f>+'Order Details Apr24 - Mar25'!D14</f>
        <v>HERBAL-C Liquid (Indian Herbs)</v>
      </c>
      <c r="G14" s="184"/>
      <c r="H14" s="26" t="str">
        <f>+'Order Details Apr24 - Mar25'!G14</f>
        <v>Ltr</v>
      </c>
      <c r="I14" s="27">
        <f>+'Order Details Apr24 - Mar25'!I14</f>
        <v>200</v>
      </c>
      <c r="J14" s="28"/>
      <c r="K14" s="185" t="str">
        <f>+'Order Details Apr24 - Mar25'!R14</f>
        <v>PO / NBF / 080424 / 02</v>
      </c>
      <c r="L14" s="186"/>
      <c r="M14" s="187"/>
      <c r="N14" s="27">
        <f>+'Order Details Apr24 - Mar25'!F14*'Order Details Apr24 - Mar25'!N14</f>
        <v>29200</v>
      </c>
      <c r="O14" s="25"/>
      <c r="P14" s="22"/>
      <c r="Q14" s="26"/>
      <c r="R14" s="82">
        <v>45</v>
      </c>
      <c r="S14" s="22">
        <f t="shared" si="0"/>
        <v>45</v>
      </c>
      <c r="T14" s="22"/>
      <c r="U14" s="31"/>
      <c r="V14" s="51"/>
    </row>
    <row r="15" spans="1:22" ht="20.100000000000001" customHeight="1" x14ac:dyDescent="0.3">
      <c r="A15" s="44">
        <v>7</v>
      </c>
      <c r="B15" s="22">
        <f>+'Order Details Apr24 - Mar25'!P15</f>
        <v>45390</v>
      </c>
      <c r="C15" s="23"/>
      <c r="D15" s="53" t="str">
        <f>+'Order Details Apr24 - Mar25'!T15</f>
        <v>Jeco Agrovet Pvt Ltd Kolkata</v>
      </c>
      <c r="E15" s="25"/>
      <c r="F15" s="183" t="str">
        <f>+'Order Details Apr24 - Mar25'!D15</f>
        <v>ROVIMIX BREEDER (DSM)</v>
      </c>
      <c r="G15" s="184"/>
      <c r="H15" s="26" t="str">
        <f>+'Order Details Apr24 - Mar25'!G15</f>
        <v>Kg</v>
      </c>
      <c r="I15" s="27">
        <f>+'Order Details Apr24 - Mar25'!I15</f>
        <v>1000</v>
      </c>
      <c r="J15" s="28"/>
      <c r="K15" s="185" t="str">
        <f>+'Order Details Apr24 - Mar25'!R15</f>
        <v>PO / NBF / 080424 / 03</v>
      </c>
      <c r="L15" s="186"/>
      <c r="M15" s="187"/>
      <c r="N15" s="27">
        <f>+'Order Details Apr24 - Mar25'!F15*'Order Details Apr24 - Mar25'!N15</f>
        <v>487000</v>
      </c>
      <c r="O15" s="25"/>
      <c r="P15" s="22"/>
      <c r="Q15" s="26"/>
      <c r="R15" s="82">
        <v>45</v>
      </c>
      <c r="S15" s="22">
        <f t="shared" si="0"/>
        <v>45</v>
      </c>
      <c r="T15" s="22"/>
      <c r="U15" s="31"/>
      <c r="V15" s="51"/>
    </row>
    <row r="16" spans="1:22" ht="20.100000000000001" customHeight="1" x14ac:dyDescent="0.3">
      <c r="A16" s="44">
        <v>8</v>
      </c>
      <c r="B16" s="22">
        <f>+'Order Details Apr24 - Mar25'!P16</f>
        <v>45390</v>
      </c>
      <c r="C16" s="23"/>
      <c r="D16" s="53" t="str">
        <f>+'Order Details Apr24 - Mar25'!T16</f>
        <v>Venkys India Ltd (AHP Division)</v>
      </c>
      <c r="E16" s="25"/>
      <c r="F16" s="183" t="str">
        <f>+'Order Details Apr24 - Mar25'!D16</f>
        <v>SELVIT-E (AHP Division)</v>
      </c>
      <c r="G16" s="184"/>
      <c r="H16" s="26" t="str">
        <f>+'Order Details Apr24 - Mar25'!G16</f>
        <v>Gms</v>
      </c>
      <c r="I16" s="27">
        <f>+'Order Details Apr24 - Mar25'!I16</f>
        <v>42000</v>
      </c>
      <c r="J16" s="28"/>
      <c r="K16" s="185" t="str">
        <f>+'Order Details Apr24 - Mar25'!R16</f>
        <v>PO / NBF / 080424 / 04</v>
      </c>
      <c r="L16" s="186"/>
      <c r="M16" s="187"/>
      <c r="N16" s="27">
        <f>+'Order Details Apr24 - Mar25'!F16*'Order Details Apr24 - Mar25'!N16</f>
        <v>42000</v>
      </c>
      <c r="O16" s="25"/>
      <c r="P16" s="22"/>
      <c r="Q16" s="26"/>
      <c r="R16" s="82">
        <v>7</v>
      </c>
      <c r="S16" s="22">
        <f t="shared" si="0"/>
        <v>7</v>
      </c>
      <c r="T16" s="22"/>
      <c r="U16" s="31"/>
      <c r="V16" s="51"/>
    </row>
    <row r="17" spans="1:22" ht="20.100000000000001" customHeight="1" x14ac:dyDescent="0.3">
      <c r="A17" s="44">
        <v>9</v>
      </c>
      <c r="B17" s="22">
        <f>+'Order Details Apr24 - Mar25'!P17</f>
        <v>45394</v>
      </c>
      <c r="C17" s="23"/>
      <c r="D17" s="53" t="str">
        <f>+'Order Details Apr24 - Mar25'!T17</f>
        <v>Alltech Biotechnology Pvt Ltd</v>
      </c>
      <c r="E17" s="25"/>
      <c r="F17" s="183" t="str">
        <f>+'Order Details Apr24 - Mar25'!D17</f>
        <v>BIOPLEX PRIME (Alltech)</v>
      </c>
      <c r="G17" s="184"/>
      <c r="H17" s="26" t="str">
        <f>+'Order Details Apr24 - Mar25'!G17</f>
        <v>Kg</v>
      </c>
      <c r="I17" s="27">
        <f>+'Order Details Apr24 - Mar25'!I17</f>
        <v>500</v>
      </c>
      <c r="J17" s="28"/>
      <c r="K17" s="185" t="str">
        <f>+'Order Details Apr24 - Mar25'!R17</f>
        <v>PO / NBF / 120424 / 05</v>
      </c>
      <c r="L17" s="186"/>
      <c r="M17" s="187"/>
      <c r="N17" s="27">
        <f>+'Order Details Apr24 - Mar25'!F17*'Order Details Apr24 - Mar25'!N17</f>
        <v>134000</v>
      </c>
      <c r="O17" s="25"/>
      <c r="P17" s="22"/>
      <c r="Q17" s="26"/>
      <c r="R17" s="82">
        <v>7</v>
      </c>
      <c r="S17" s="22">
        <f t="shared" si="0"/>
        <v>7</v>
      </c>
      <c r="T17" s="22"/>
      <c r="U17" s="31"/>
      <c r="V17" s="51"/>
    </row>
    <row r="18" spans="1:22" ht="20.100000000000001" customHeight="1" x14ac:dyDescent="0.3">
      <c r="A18" s="44">
        <v>10</v>
      </c>
      <c r="B18" s="22">
        <f>+'Order Details Apr24 - Mar25'!P18</f>
        <v>45394</v>
      </c>
      <c r="C18" s="23"/>
      <c r="D18" s="53" t="str">
        <f>+'Order Details Apr24 - Mar25'!T18</f>
        <v>Das Drug Centre Pvt Ltd, Habra</v>
      </c>
      <c r="E18" s="25"/>
      <c r="F18" s="183" t="str">
        <f>+'Order Details Apr24 - Mar25'!D18</f>
        <v>PHYTOCEE (Natural Remedies)</v>
      </c>
      <c r="G18" s="184"/>
      <c r="H18" s="26" t="str">
        <f>+'Order Details Apr24 - Mar25'!G18</f>
        <v>Kg</v>
      </c>
      <c r="I18" s="27">
        <f>+'Order Details Apr24 - Mar25'!I18</f>
        <v>1000</v>
      </c>
      <c r="J18" s="28"/>
      <c r="K18" s="185" t="str">
        <f>+'Order Details Apr24 - Mar25'!R18</f>
        <v>PO / NBF / 120424 / 06</v>
      </c>
      <c r="L18" s="186"/>
      <c r="M18" s="187"/>
      <c r="N18" s="27">
        <f>+'Order Details Apr24 - Mar25'!F18*'Order Details Apr24 - Mar25'!N18</f>
        <v>194000</v>
      </c>
      <c r="O18" s="25"/>
      <c r="P18" s="22"/>
      <c r="Q18" s="26"/>
      <c r="R18" s="82">
        <v>45</v>
      </c>
      <c r="S18" s="22">
        <f t="shared" si="0"/>
        <v>45</v>
      </c>
      <c r="T18" s="22"/>
      <c r="U18" s="31"/>
      <c r="V18" s="51"/>
    </row>
    <row r="19" spans="1:22" ht="20.100000000000001" customHeight="1" x14ac:dyDescent="0.3">
      <c r="A19" s="44">
        <v>11</v>
      </c>
      <c r="B19" s="22">
        <f>+'Order Details Apr24 - Mar25'!P19</f>
        <v>45394</v>
      </c>
      <c r="C19" s="23"/>
      <c r="D19" s="53" t="str">
        <f>+'Order Details Apr24 - Mar25'!T19</f>
        <v>Varsha Multitech, Bangallore</v>
      </c>
      <c r="E19" s="25"/>
      <c r="F19" s="183" t="str">
        <f>+'Order Details Apr24 - Mar25'!D19</f>
        <v>HEPATOCARE PREMIX (Varsha)</v>
      </c>
      <c r="G19" s="184"/>
      <c r="H19" s="26" t="str">
        <f>+'Order Details Apr24 - Mar25'!G19</f>
        <v>Kg</v>
      </c>
      <c r="I19" s="27">
        <f>+'Order Details Apr24 - Mar25'!I19</f>
        <v>1000</v>
      </c>
      <c r="J19" s="28"/>
      <c r="K19" s="185" t="str">
        <f>+'Order Details Apr24 - Mar25'!R19</f>
        <v>PO / NBF / 120424 / 07</v>
      </c>
      <c r="L19" s="186"/>
      <c r="M19" s="187"/>
      <c r="N19" s="27">
        <f>+'Order Details Apr24 - Mar25'!F19*'Order Details Apr24 - Mar25'!N19</f>
        <v>50000</v>
      </c>
      <c r="O19" s="25"/>
      <c r="P19" s="22"/>
      <c r="Q19" s="26"/>
      <c r="R19" s="82">
        <v>45</v>
      </c>
      <c r="S19" s="22">
        <f t="shared" si="0"/>
        <v>45</v>
      </c>
      <c r="T19" s="22"/>
      <c r="U19" s="31"/>
      <c r="V19" s="51"/>
    </row>
    <row r="20" spans="1:22" ht="20.100000000000001" customHeight="1" x14ac:dyDescent="0.3">
      <c r="A20" s="44">
        <v>12</v>
      </c>
      <c r="B20" s="22">
        <f>+'Order Details Apr24 - Mar25'!P20</f>
        <v>45399</v>
      </c>
      <c r="C20" s="23"/>
      <c r="D20" s="53" t="str">
        <f>+'Order Details Apr24 - Mar25'!T20</f>
        <v>B V Biocrop, Hitech Division</v>
      </c>
      <c r="E20" s="25"/>
      <c r="F20" s="183" t="str">
        <f>+'Order Details Apr24 - Mar25'!D20</f>
        <v>TRACEMIN BB (BV Biocrop)</v>
      </c>
      <c r="G20" s="184"/>
      <c r="H20" s="26" t="str">
        <f>+'Order Details Apr24 - Mar25'!G20</f>
        <v>Kg</v>
      </c>
      <c r="I20" s="27">
        <f>+'Order Details Apr24 - Mar25'!I20</f>
        <v>1020</v>
      </c>
      <c r="J20" s="28"/>
      <c r="K20" s="185" t="str">
        <f>+'Order Details Apr24 - Mar25'!R20</f>
        <v>PO / NBF / 120424 / 08</v>
      </c>
      <c r="L20" s="186"/>
      <c r="M20" s="187"/>
      <c r="N20" s="27">
        <f>+'Order Details Apr24 - Mar25'!F20*'Order Details Apr24 - Mar25'!N20</f>
        <v>66538</v>
      </c>
      <c r="O20" s="25"/>
      <c r="P20" s="22"/>
      <c r="Q20" s="26"/>
      <c r="R20" s="82">
        <v>7</v>
      </c>
      <c r="S20" s="22">
        <f t="shared" si="0"/>
        <v>7</v>
      </c>
      <c r="T20" s="22"/>
      <c r="U20" s="31"/>
      <c r="V20" s="51"/>
    </row>
    <row r="21" spans="1:22" ht="20.100000000000001" customHeight="1" x14ac:dyDescent="0.3">
      <c r="A21" s="44">
        <v>13</v>
      </c>
      <c r="B21" s="22">
        <f>+'Order Details Apr24 - Mar25'!P21</f>
        <v>45399</v>
      </c>
      <c r="C21" s="23"/>
      <c r="D21" s="53" t="str">
        <f>+'Order Details Apr24 - Mar25'!T21</f>
        <v>Kemin Industries South Asia</v>
      </c>
      <c r="E21" s="25"/>
      <c r="F21" s="183" t="str">
        <f>+'Order Details Apr24 - Mar25'!D21</f>
        <v>KEMZYME-XPF (Kemin Indus.)</v>
      </c>
      <c r="G21" s="184"/>
      <c r="H21" s="26" t="str">
        <f>+'Order Details Apr24 - Mar25'!G21</f>
        <v>Kg</v>
      </c>
      <c r="I21" s="27">
        <f>+'Order Details Apr24 - Mar25'!I21</f>
        <v>250</v>
      </c>
      <c r="J21" s="28"/>
      <c r="K21" s="185" t="str">
        <f>+'Order Details Apr24 - Mar25'!R21</f>
        <v>PO / NBF / 170424 / 09</v>
      </c>
      <c r="L21" s="186"/>
      <c r="M21" s="187"/>
      <c r="N21" s="27">
        <f>+'Order Details Apr24 - Mar25'!F21*'Order Details Apr24 - Mar25'!N21</f>
        <v>60500</v>
      </c>
      <c r="O21" s="25"/>
      <c r="P21" s="22"/>
      <c r="Q21" s="26"/>
      <c r="R21" s="82">
        <v>45</v>
      </c>
      <c r="S21" s="22">
        <f t="shared" si="0"/>
        <v>45</v>
      </c>
      <c r="T21" s="22"/>
      <c r="U21" s="31"/>
      <c r="V21" s="51"/>
    </row>
    <row r="22" spans="1:22" ht="20.100000000000001" customHeight="1" x14ac:dyDescent="0.3">
      <c r="A22" s="44">
        <v>14</v>
      </c>
      <c r="B22" s="22">
        <f>+'Order Details Apr24 - Mar25'!P22</f>
        <v>45399</v>
      </c>
      <c r="C22" s="23"/>
      <c r="D22" s="53" t="str">
        <f>+'Order Details Apr24 - Mar25'!T22</f>
        <v>Sneha Farms Pvt Ltd Hyderabad</v>
      </c>
      <c r="E22" s="25"/>
      <c r="F22" s="183" t="str">
        <f>+'Order Details Apr24 - Mar25'!D22</f>
        <v>ALKAKARB (Tata Chemicals)</v>
      </c>
      <c r="G22" s="184"/>
      <c r="H22" s="26" t="str">
        <f>+'Order Details Apr24 - Mar25'!G22</f>
        <v>Kg</v>
      </c>
      <c r="I22" s="27">
        <f>+'Order Details Apr24 - Mar25'!I22</f>
        <v>2000</v>
      </c>
      <c r="J22" s="28"/>
      <c r="K22" s="185" t="str">
        <f>+'Order Details Apr24 - Mar25'!R22</f>
        <v>PO / NBF / 170424 / 10</v>
      </c>
      <c r="L22" s="186"/>
      <c r="M22" s="187"/>
      <c r="N22" s="27">
        <f>+'Order Details Apr24 - Mar25'!F22*'Order Details Apr24 - Mar25'!N22</f>
        <v>91999.88</v>
      </c>
      <c r="O22" s="25"/>
      <c r="P22" s="22"/>
      <c r="Q22" s="26"/>
      <c r="R22" s="82">
        <v>7</v>
      </c>
      <c r="S22" s="22">
        <f t="shared" si="0"/>
        <v>7</v>
      </c>
      <c r="T22" s="22"/>
      <c r="U22" s="31"/>
      <c r="V22" s="51"/>
    </row>
    <row r="23" spans="1:22" ht="20.100000000000001" customHeight="1" x14ac:dyDescent="0.3">
      <c r="A23" s="44">
        <v>15</v>
      </c>
      <c r="B23" s="22">
        <f>+'Order Details Apr24 - Mar25'!P23</f>
        <v>45400</v>
      </c>
      <c r="C23" s="23"/>
      <c r="D23" s="53" t="str">
        <f>+'Order Details Apr24 - Mar25'!T23</f>
        <v>Jeco Agrovet Pvt Ltd Kolkata</v>
      </c>
      <c r="E23" s="25"/>
      <c r="F23" s="183" t="str">
        <f>+'Order Details Apr24 - Mar25'!D23</f>
        <v>ROVIMIX-E 50 (DSM)</v>
      </c>
      <c r="G23" s="184"/>
      <c r="H23" s="26" t="str">
        <f>+'Order Details Apr24 - Mar25'!G23</f>
        <v>Kg</v>
      </c>
      <c r="I23" s="27">
        <f>+'Order Details Apr24 - Mar25'!I23</f>
        <v>200</v>
      </c>
      <c r="J23" s="28"/>
      <c r="K23" s="185" t="str">
        <f>+'Order Details Apr24 - Mar25'!R23</f>
        <v>PO / NBF / 180424 / 11</v>
      </c>
      <c r="L23" s="186"/>
      <c r="M23" s="187"/>
      <c r="N23" s="27">
        <f>+'Order Details Apr24 - Mar25'!F23*'Order Details Apr24 - Mar25'!N23</f>
        <v>172000</v>
      </c>
      <c r="O23" s="25"/>
      <c r="P23" s="22"/>
      <c r="Q23" s="26"/>
      <c r="R23" s="82">
        <v>15</v>
      </c>
      <c r="S23" s="22">
        <f t="shared" si="0"/>
        <v>15</v>
      </c>
      <c r="T23" s="22"/>
      <c r="U23" s="31"/>
      <c r="V23" s="51"/>
    </row>
    <row r="24" spans="1:22" ht="20.100000000000001" customHeight="1" x14ac:dyDescent="0.3">
      <c r="A24" s="44">
        <v>16</v>
      </c>
      <c r="B24" s="22">
        <f>+'Order Details Apr24 - Mar25'!P24</f>
        <v>45411</v>
      </c>
      <c r="C24" s="23"/>
      <c r="D24" s="53" t="str">
        <f>+'Order Details Apr24 - Mar25'!T24</f>
        <v>Das Drug Centre Pvt Ltd, Habra</v>
      </c>
      <c r="E24" s="25"/>
      <c r="F24" s="183" t="str">
        <f>+'Order Details Apr24 - Mar25'!D24</f>
        <v>ELECTROCARE PLUS (Cargill)</v>
      </c>
      <c r="G24" s="184"/>
      <c r="H24" s="26" t="str">
        <f>+'Order Details Apr24 - Mar25'!G24</f>
        <v>Kg</v>
      </c>
      <c r="I24" s="27">
        <f>+'Order Details Apr24 - Mar25'!I24</f>
        <v>300</v>
      </c>
      <c r="J24" s="28"/>
      <c r="K24" s="185" t="str">
        <f>+'Order Details Apr24 - Mar25'!R24</f>
        <v>PO / NBF / 300424 / 12</v>
      </c>
      <c r="L24" s="186"/>
      <c r="M24" s="187"/>
      <c r="N24" s="27">
        <f>+'Order Details Apr24 - Mar25'!F24*'Order Details Apr24 - Mar25'!N24</f>
        <v>56700</v>
      </c>
      <c r="O24" s="25"/>
      <c r="P24" s="22"/>
      <c r="Q24" s="26"/>
      <c r="R24" s="82">
        <v>45</v>
      </c>
      <c r="S24" s="22">
        <f t="shared" si="0"/>
        <v>45</v>
      </c>
      <c r="T24" s="22"/>
      <c r="U24" s="31"/>
      <c r="V24" s="51"/>
    </row>
    <row r="25" spans="1:22" ht="20.100000000000001" customHeight="1" x14ac:dyDescent="0.3">
      <c r="A25" s="44">
        <v>17</v>
      </c>
      <c r="B25" s="22">
        <f>+'Order Details Apr24 - Mar25'!P25</f>
        <v>45411</v>
      </c>
      <c r="C25" s="23"/>
      <c r="D25" s="53" t="str">
        <f>+'Order Details Apr24 - Mar25'!T25</f>
        <v>Das Drug Centre Pvt Ltd, Habra</v>
      </c>
      <c r="E25" s="25"/>
      <c r="F25" s="183" t="str">
        <f>+'Order Details Apr24 - Mar25'!D25</f>
        <v>E CARE SE (Cargill)</v>
      </c>
      <c r="G25" s="184"/>
      <c r="H25" s="26" t="str">
        <f>+'Order Details Apr24 - Mar25'!G25</f>
        <v>Gms</v>
      </c>
      <c r="I25" s="27">
        <f>+'Order Details Apr24 - Mar25'!I25</f>
        <v>60000</v>
      </c>
      <c r="J25" s="28"/>
      <c r="K25" s="185" t="str">
        <f>+'Order Details Apr24 - Mar25'!R25</f>
        <v>PO / NBF / 300424 / 12</v>
      </c>
      <c r="L25" s="186"/>
      <c r="M25" s="187"/>
      <c r="N25" s="27">
        <f>+'Order Details Apr24 - Mar25'!F25*'Order Details Apr24 - Mar25'!N25</f>
        <v>57000</v>
      </c>
      <c r="O25" s="25"/>
      <c r="P25" s="22"/>
      <c r="Q25" s="26"/>
      <c r="R25" s="82">
        <v>45</v>
      </c>
      <c r="S25" s="22">
        <f t="shared" si="0"/>
        <v>45</v>
      </c>
      <c r="T25" s="22"/>
      <c r="U25" s="31"/>
      <c r="V25" s="51"/>
    </row>
    <row r="26" spans="1:22" ht="20.100000000000001" customHeight="1" x14ac:dyDescent="0.3">
      <c r="A26" s="44">
        <v>18</v>
      </c>
      <c r="B26" s="22">
        <f>+'Order Details Apr24 - Mar25'!P26</f>
        <v>45411</v>
      </c>
      <c r="C26" s="23"/>
      <c r="D26" s="53" t="str">
        <f>+'Order Details Apr24 - Mar25'!T26</f>
        <v>Das Drug Centre Pvt Ltd, Habra</v>
      </c>
      <c r="E26" s="25"/>
      <c r="F26" s="183" t="str">
        <f>+'Order Details Apr24 - Mar25'!D26</f>
        <v>ENROCIN-10% (Zoetis)</v>
      </c>
      <c r="G26" s="184"/>
      <c r="H26" s="26" t="str">
        <f>+'Order Details Apr24 - Mar25'!G26</f>
        <v>Ltr</v>
      </c>
      <c r="I26" s="27">
        <f>+'Order Details Apr24 - Mar25'!I26</f>
        <v>100</v>
      </c>
      <c r="J26" s="28"/>
      <c r="K26" s="185" t="str">
        <f>+'Order Details Apr24 - Mar25'!R26</f>
        <v>PO / NBF / 300424 / 12</v>
      </c>
      <c r="L26" s="186"/>
      <c r="M26" s="187"/>
      <c r="N26" s="27">
        <f>+'Order Details Apr24 - Mar25'!F26*'Order Details Apr24 - Mar25'!N26</f>
        <v>57948.800000000003</v>
      </c>
      <c r="O26" s="25"/>
      <c r="P26" s="22"/>
      <c r="Q26" s="26"/>
      <c r="R26" s="82">
        <v>45</v>
      </c>
      <c r="S26" s="22">
        <f t="shared" si="0"/>
        <v>45</v>
      </c>
      <c r="T26" s="22"/>
      <c r="U26" s="31"/>
      <c r="V26" s="51"/>
    </row>
    <row r="27" spans="1:22" ht="20.100000000000001" customHeight="1" x14ac:dyDescent="0.3">
      <c r="A27" s="44">
        <v>19</v>
      </c>
      <c r="B27" s="22">
        <f>+'Order Details Apr24 - Mar25'!P27</f>
        <v>45411</v>
      </c>
      <c r="C27" s="23"/>
      <c r="D27" s="53" t="str">
        <f>+'Order Details Apr24 - Mar25'!T27</f>
        <v>Das Drug Centre Pvt Ltd, Habra</v>
      </c>
      <c r="E27" s="25"/>
      <c r="F27" s="183" t="str">
        <f>+'Order Details Apr24 - Mar25'!D27</f>
        <v>HERBAL-C Liquid (Indian Herbs)</v>
      </c>
      <c r="G27" s="184"/>
      <c r="H27" s="26" t="str">
        <f>+'Order Details Apr24 - Mar25'!G27</f>
        <v>Ltr</v>
      </c>
      <c r="I27" s="27">
        <f>+'Order Details Apr24 - Mar25'!I27</f>
        <v>600</v>
      </c>
      <c r="J27" s="28"/>
      <c r="K27" s="185" t="str">
        <f>+'Order Details Apr24 - Mar25'!R27</f>
        <v>PO / NBF / 300424 / 12</v>
      </c>
      <c r="L27" s="186"/>
      <c r="M27" s="187"/>
      <c r="N27" s="27">
        <f>+'Order Details Apr24 - Mar25'!F27*'Order Details Apr24 - Mar25'!N27</f>
        <v>87600</v>
      </c>
      <c r="O27" s="25"/>
      <c r="P27" s="22"/>
      <c r="Q27" s="26"/>
      <c r="R27" s="82">
        <v>45</v>
      </c>
      <c r="S27" s="22">
        <f t="shared" si="0"/>
        <v>45</v>
      </c>
      <c r="T27" s="22"/>
      <c r="U27" s="31"/>
      <c r="V27" s="51"/>
    </row>
    <row r="28" spans="1:22" ht="20.100000000000001" customHeight="1" x14ac:dyDescent="0.3">
      <c r="A28" s="44">
        <v>20</v>
      </c>
      <c r="B28" s="22">
        <f>+'Order Details Apr24 - Mar25'!P28</f>
        <v>45411</v>
      </c>
      <c r="C28" s="23"/>
      <c r="D28" s="53" t="str">
        <f>+'Order Details Apr24 - Mar25'!T28</f>
        <v>Das Drug Centre Pvt Ltd, Habra</v>
      </c>
      <c r="E28" s="25"/>
      <c r="F28" s="183" t="str">
        <f>+'Order Details Apr24 - Mar25'!D28</f>
        <v>HIMFLORA (Himalaya)</v>
      </c>
      <c r="G28" s="184"/>
      <c r="H28" s="26" t="str">
        <f>+'Order Details Apr24 - Mar25'!G28</f>
        <v>Kg</v>
      </c>
      <c r="I28" s="27">
        <f>+'Order Details Apr24 - Mar25'!I28</f>
        <v>300</v>
      </c>
      <c r="J28" s="28"/>
      <c r="K28" s="185" t="str">
        <f>+'Order Details Apr24 - Mar25'!R28</f>
        <v>PO / NBF / 300424 / 12</v>
      </c>
      <c r="L28" s="186"/>
      <c r="M28" s="187"/>
      <c r="N28" s="27">
        <f>+'Order Details Apr24 - Mar25'!F28*'Order Details Apr24 - Mar25'!N28</f>
        <v>172500</v>
      </c>
      <c r="O28" s="25"/>
      <c r="P28" s="22"/>
      <c r="Q28" s="26"/>
      <c r="R28" s="82">
        <v>45</v>
      </c>
      <c r="S28" s="22">
        <f t="shared" si="0"/>
        <v>45</v>
      </c>
      <c r="T28" s="22"/>
      <c r="U28" s="31"/>
      <c r="V28" s="51"/>
    </row>
    <row r="29" spans="1:22" ht="20.100000000000001" customHeight="1" x14ac:dyDescent="0.3">
      <c r="A29" s="44">
        <v>21</v>
      </c>
      <c r="B29" s="22">
        <f>+'Order Details Apr24 - Mar25'!P29</f>
        <v>45411</v>
      </c>
      <c r="C29" s="23"/>
      <c r="D29" s="53" t="str">
        <f>+'Order Details Apr24 - Mar25'!T29</f>
        <v>Das Drug Centre Pvt Ltd, Habra</v>
      </c>
      <c r="E29" s="25"/>
      <c r="F29" s="183" t="str">
        <f>+'Order Details Apr24 - Mar25'!D29</f>
        <v>Oxytetracycline-LA Injection (Zenex)</v>
      </c>
      <c r="G29" s="184"/>
      <c r="H29" s="26" t="str">
        <f>+'Order Details Apr24 - Mar25'!G29</f>
        <v>Ml</v>
      </c>
      <c r="I29" s="27">
        <f>+'Order Details Apr24 - Mar25'!I29</f>
        <v>10000</v>
      </c>
      <c r="J29" s="28"/>
      <c r="K29" s="185" t="str">
        <f>+'Order Details Apr24 - Mar25'!R29</f>
        <v>PO / NBF / 300424 / 12</v>
      </c>
      <c r="L29" s="186"/>
      <c r="M29" s="187"/>
      <c r="N29" s="27">
        <f>+'Order Details Apr24 - Mar25'!F29*'Order Details Apr24 - Mar25'!N29</f>
        <v>25983.999999999996</v>
      </c>
      <c r="O29" s="25"/>
      <c r="P29" s="22"/>
      <c r="Q29" s="26"/>
      <c r="R29" s="82">
        <v>45</v>
      </c>
      <c r="S29" s="22">
        <f t="shared" si="0"/>
        <v>45</v>
      </c>
      <c r="T29" s="22"/>
      <c r="U29" s="31"/>
      <c r="V29" s="51"/>
    </row>
    <row r="30" spans="1:22" ht="20.100000000000001" customHeight="1" x14ac:dyDescent="0.3">
      <c r="A30" s="44">
        <v>22</v>
      </c>
      <c r="B30" s="22">
        <f>+'Order Details Apr24 - Mar25'!P30</f>
        <v>45411</v>
      </c>
      <c r="C30" s="23"/>
      <c r="D30" s="53" t="str">
        <f>+'Order Details Apr24 - Mar25'!T30</f>
        <v>Das Drug Centre Pvt Ltd, Habra</v>
      </c>
      <c r="E30" s="25"/>
      <c r="F30" s="183" t="str">
        <f>+'Order Details Apr24 - Mar25'!D30</f>
        <v>TAMIK Injection (TTK)</v>
      </c>
      <c r="G30" s="184"/>
      <c r="H30" s="26" t="str">
        <f>+'Order Details Apr24 - Mar25'!G30</f>
        <v>Ml</v>
      </c>
      <c r="I30" s="27">
        <f>+'Order Details Apr24 - Mar25'!I30</f>
        <v>5000</v>
      </c>
      <c r="J30" s="28"/>
      <c r="K30" s="185" t="str">
        <f>+'Order Details Apr24 - Mar25'!R30</f>
        <v>PO / NBF / 300424 / 12</v>
      </c>
      <c r="L30" s="186"/>
      <c r="M30" s="187"/>
      <c r="N30" s="27">
        <f>+'Order Details Apr24 - Mar25'!F30*'Order Details Apr24 - Mar25'!N30</f>
        <v>41048</v>
      </c>
      <c r="O30" s="25"/>
      <c r="P30" s="22"/>
      <c r="Q30" s="26"/>
      <c r="R30" s="82">
        <v>45</v>
      </c>
      <c r="S30" s="22">
        <f t="shared" si="0"/>
        <v>45</v>
      </c>
      <c r="T30" s="22"/>
      <c r="U30" s="31"/>
      <c r="V30" s="51"/>
    </row>
    <row r="31" spans="1:22" ht="20.100000000000001" customHeight="1" x14ac:dyDescent="0.3">
      <c r="A31" s="44">
        <v>23</v>
      </c>
      <c r="B31" s="22">
        <f>+'Order Details Apr24 - Mar25'!P31</f>
        <v>45411</v>
      </c>
      <c r="C31" s="23"/>
      <c r="D31" s="53" t="str">
        <f>+'Order Details Apr24 - Mar25'!T31</f>
        <v>Das Drug Centre Pvt Ltd, Habra</v>
      </c>
      <c r="E31" s="25"/>
      <c r="F31" s="183" t="str">
        <f>+'Order Details Apr24 - Mar25'!D31</f>
        <v>TYLOMAX Injection (Intas)</v>
      </c>
      <c r="G31" s="184"/>
      <c r="H31" s="26" t="str">
        <f>+'Order Details Apr24 - Mar25'!G31</f>
        <v>Ml</v>
      </c>
      <c r="I31" s="27">
        <f>+'Order Details Apr24 - Mar25'!I31</f>
        <v>5000</v>
      </c>
      <c r="J31" s="28"/>
      <c r="K31" s="185" t="str">
        <f>+'Order Details Apr24 - Mar25'!R31</f>
        <v>PO / NBF / 300424 / 12</v>
      </c>
      <c r="L31" s="186"/>
      <c r="M31" s="187"/>
      <c r="N31" s="27">
        <f>+'Order Details Apr24 - Mar25'!F31*'Order Details Apr24 - Mar25'!N31</f>
        <v>12600</v>
      </c>
      <c r="O31" s="25"/>
      <c r="P31" s="22"/>
      <c r="Q31" s="26"/>
      <c r="R31" s="82">
        <v>45</v>
      </c>
      <c r="S31" s="22">
        <f t="shared" si="0"/>
        <v>45</v>
      </c>
      <c r="T31" s="22"/>
      <c r="U31" s="31"/>
      <c r="V31" s="51"/>
    </row>
    <row r="32" spans="1:22" ht="20.100000000000001" customHeight="1" x14ac:dyDescent="0.3">
      <c r="A32" s="44">
        <v>24</v>
      </c>
      <c r="B32" s="22">
        <f>+'Order Details Apr24 - Mar25'!P32</f>
        <v>45411</v>
      </c>
      <c r="C32" s="23"/>
      <c r="D32" s="53" t="str">
        <f>+'Order Details Apr24 - Mar25'!T32</f>
        <v>Das Drug Centre Pvt Ltd, Habra</v>
      </c>
      <c r="E32" s="25"/>
      <c r="F32" s="183" t="str">
        <f>+'Order Details Apr24 - Mar25'!D32</f>
        <v>URIMIN Injection (Virbac)</v>
      </c>
      <c r="G32" s="184"/>
      <c r="H32" s="26" t="str">
        <f>+'Order Details Apr24 - Mar25'!G32</f>
        <v>Ml</v>
      </c>
      <c r="I32" s="27">
        <f>+'Order Details Apr24 - Mar25'!I32</f>
        <v>5000</v>
      </c>
      <c r="J32" s="28"/>
      <c r="K32" s="185" t="str">
        <f>+'Order Details Apr24 - Mar25'!R32</f>
        <v>PO / NBF / 300424 / 12</v>
      </c>
      <c r="L32" s="186"/>
      <c r="M32" s="187"/>
      <c r="N32" s="27">
        <f>+'Order Details Apr24 - Mar25'!F32*'Order Details Apr24 - Mar25'!N32</f>
        <v>17877.440000000002</v>
      </c>
      <c r="O32" s="25"/>
      <c r="P32" s="22"/>
      <c r="Q32" s="26"/>
      <c r="R32" s="82">
        <v>45</v>
      </c>
      <c r="S32" s="22">
        <f t="shared" si="0"/>
        <v>45</v>
      </c>
      <c r="T32" s="22"/>
      <c r="U32" s="31"/>
      <c r="V32" s="51"/>
    </row>
    <row r="33" spans="1:22" ht="20.100000000000001" customHeight="1" x14ac:dyDescent="0.3">
      <c r="A33" s="44">
        <v>25</v>
      </c>
      <c r="B33" s="22">
        <f>+'Order Details Apr24 - Mar25'!P33</f>
        <v>45411</v>
      </c>
      <c r="C33" s="23"/>
      <c r="D33" s="53" t="str">
        <f>+'Order Details Apr24 - Mar25'!T33</f>
        <v>B V Biocrop, Biotech Division</v>
      </c>
      <c r="E33" s="25"/>
      <c r="F33" s="183" t="str">
        <f>+'Order Details Apr24 - Mar25'!D33</f>
        <v>LEVUCELL-SB (BV Biocrop)</v>
      </c>
      <c r="G33" s="184"/>
      <c r="H33" s="26" t="str">
        <f>+'Order Details Apr24 - Mar25'!G33</f>
        <v>Kg</v>
      </c>
      <c r="I33" s="27">
        <f>+'Order Details Apr24 - Mar25'!I33</f>
        <v>300</v>
      </c>
      <c r="J33" s="28"/>
      <c r="K33" s="185" t="str">
        <f>+'Order Details Apr24 - Mar25'!R33</f>
        <v>PO / NBF / 300424 / 13</v>
      </c>
      <c r="L33" s="186"/>
      <c r="M33" s="187"/>
      <c r="N33" s="27">
        <f>+'Order Details Apr24 - Mar25'!F33*'Order Details Apr24 - Mar25'!N33</f>
        <v>129000</v>
      </c>
      <c r="O33" s="25"/>
      <c r="P33" s="22"/>
      <c r="Q33" s="26"/>
      <c r="R33" s="82">
        <v>7</v>
      </c>
      <c r="S33" s="22">
        <f t="shared" si="0"/>
        <v>7</v>
      </c>
      <c r="T33" s="22"/>
      <c r="U33" s="31"/>
      <c r="V33" s="51"/>
    </row>
    <row r="34" spans="1:22" ht="20.100000000000001" customHeight="1" x14ac:dyDescent="0.3">
      <c r="A34" s="44">
        <v>26</v>
      </c>
      <c r="B34" s="22">
        <f>+'Order Details Apr24 - Mar25'!P34</f>
        <v>45411</v>
      </c>
      <c r="C34" s="23"/>
      <c r="D34" s="53" t="str">
        <f>+'Order Details Apr24 - Mar25'!T34</f>
        <v>P P &amp; B Mart Pvt Ltd Habra WB</v>
      </c>
      <c r="E34" s="25"/>
      <c r="F34" s="183" t="str">
        <f>+'Order Details Apr24 - Mar25'!D34</f>
        <v>MICROGUARD (Zeus Biotech)</v>
      </c>
      <c r="G34" s="184"/>
      <c r="H34" s="26" t="str">
        <f>+'Order Details Apr24 - Mar25'!G34</f>
        <v>Kg</v>
      </c>
      <c r="I34" s="27">
        <f>+'Order Details Apr24 - Mar25'!I34</f>
        <v>50</v>
      </c>
      <c r="J34" s="28"/>
      <c r="K34" s="185" t="str">
        <f>+'Order Details Apr24 - Mar25'!R34</f>
        <v>PO / NBF / 300424 / 14</v>
      </c>
      <c r="L34" s="186"/>
      <c r="M34" s="187"/>
      <c r="N34" s="27">
        <f>+'Order Details Apr24 - Mar25'!F34*'Order Details Apr24 - Mar25'!N34</f>
        <v>37000</v>
      </c>
      <c r="O34" s="25"/>
      <c r="P34" s="22"/>
      <c r="Q34" s="26"/>
      <c r="R34" s="82">
        <v>45</v>
      </c>
      <c r="S34" s="22">
        <f t="shared" si="0"/>
        <v>45</v>
      </c>
      <c r="T34" s="22"/>
      <c r="U34" s="31"/>
      <c r="V34" s="51"/>
    </row>
    <row r="35" spans="1:22" ht="20.100000000000001" customHeight="1" x14ac:dyDescent="0.3">
      <c r="A35" s="44">
        <v>27</v>
      </c>
      <c r="B35" s="22">
        <f>+'Order Details Apr24 - Mar25'!P35</f>
        <v>45411</v>
      </c>
      <c r="C35" s="23"/>
      <c r="D35" s="53" t="str">
        <f>+'Order Details Apr24 - Mar25'!T35</f>
        <v>Sai Kiran Medical Agencies HYD</v>
      </c>
      <c r="E35" s="25"/>
      <c r="F35" s="183" t="str">
        <f>+'Order Details Apr24 - Mar25'!D35</f>
        <v>SALCOCHEK (Ayurvet)</v>
      </c>
      <c r="G35" s="184"/>
      <c r="H35" s="26" t="str">
        <f>+'Order Details Apr24 - Mar25'!G35</f>
        <v>Kg</v>
      </c>
      <c r="I35" s="27">
        <f>+'Order Details Apr24 - Mar25'!I35</f>
        <v>500</v>
      </c>
      <c r="J35" s="28"/>
      <c r="K35" s="185" t="str">
        <f>+'Order Details Apr24 - Mar25'!R35</f>
        <v>PO / NBF / 300424 / 15</v>
      </c>
      <c r="L35" s="186"/>
      <c r="M35" s="187"/>
      <c r="N35" s="27">
        <f>+'Order Details Apr24 - Mar25'!F35*'Order Details Apr24 - Mar25'!N35</f>
        <v>71680</v>
      </c>
      <c r="O35" s="25"/>
      <c r="P35" s="22"/>
      <c r="Q35" s="26"/>
      <c r="R35" s="82">
        <v>45</v>
      </c>
      <c r="S35" s="22">
        <f t="shared" si="0"/>
        <v>45</v>
      </c>
      <c r="T35" s="22"/>
      <c r="U35" s="31"/>
      <c r="V35" s="51"/>
    </row>
    <row r="36" spans="1:22" ht="20.100000000000001" customHeight="1" x14ac:dyDescent="0.3">
      <c r="A36" s="44">
        <v>28</v>
      </c>
      <c r="B36" s="22">
        <f>+'Order Details Apr24 - Mar25'!P36</f>
        <v>45411</v>
      </c>
      <c r="C36" s="23"/>
      <c r="D36" s="53" t="str">
        <f>+'Order Details Apr24 - Mar25'!T36</f>
        <v>Venkys India Ltd (AHP Division)</v>
      </c>
      <c r="E36" s="25"/>
      <c r="F36" s="183" t="str">
        <f>+'Order Details Apr24 - Mar25'!D36</f>
        <v>VENTRIPLEX-M 4X (AHP Division)</v>
      </c>
      <c r="G36" s="184"/>
      <c r="H36" s="26" t="str">
        <f>+'Order Details Apr24 - Mar25'!G36</f>
        <v>Ltr</v>
      </c>
      <c r="I36" s="27">
        <f>+'Order Details Apr24 - Mar25'!I36</f>
        <v>100</v>
      </c>
      <c r="J36" s="28"/>
      <c r="K36" s="185" t="str">
        <f>+'Order Details Apr24 - Mar25'!R36</f>
        <v>PO / NBF / 300424 / 16</v>
      </c>
      <c r="L36" s="186"/>
      <c r="M36" s="187"/>
      <c r="N36" s="27">
        <f>+'Order Details Apr24 - Mar25'!F36*'Order Details Apr24 - Mar25'!N36</f>
        <v>11080</v>
      </c>
      <c r="O36" s="25"/>
      <c r="P36" s="22"/>
      <c r="Q36" s="26"/>
      <c r="R36" s="82">
        <v>7</v>
      </c>
      <c r="S36" s="22">
        <f t="shared" si="0"/>
        <v>7</v>
      </c>
      <c r="T36" s="22"/>
      <c r="U36" s="31"/>
      <c r="V36" s="51"/>
    </row>
    <row r="37" spans="1:22" ht="20.100000000000001" customHeight="1" x14ac:dyDescent="0.3">
      <c r="A37" s="44">
        <v>29</v>
      </c>
      <c r="B37" s="22">
        <f>+'Order Details Apr24 - Mar25'!P37</f>
        <v>45418</v>
      </c>
      <c r="C37" s="23"/>
      <c r="D37" s="53" t="str">
        <f>+'Order Details Apr24 - Mar25'!T37</f>
        <v>E W Nutrition India Pvt Limited</v>
      </c>
      <c r="E37" s="25"/>
      <c r="F37" s="183" t="str">
        <f>+'Order Details Apr24 - Mar25'!D37</f>
        <v>MASTERSORB (EW Nutrition)</v>
      </c>
      <c r="G37" s="184"/>
      <c r="H37" s="26" t="str">
        <f>+'Order Details Apr24 - Mar25'!G37</f>
        <v>Kg</v>
      </c>
      <c r="I37" s="27">
        <f>+'Order Details Apr24 - Mar25'!I37</f>
        <v>15000</v>
      </c>
      <c r="J37" s="28"/>
      <c r="K37" s="185" t="str">
        <f>+'Order Details Apr24 - Mar25'!R37</f>
        <v>PO / NBF / 060524 / 17</v>
      </c>
      <c r="L37" s="186"/>
      <c r="M37" s="187"/>
      <c r="N37" s="27">
        <f>+'Order Details Apr24 - Mar25'!F37*'Order Details Apr24 - Mar25'!N37</f>
        <v>1500000</v>
      </c>
      <c r="O37" s="25"/>
      <c r="P37" s="22"/>
      <c r="Q37" s="26"/>
      <c r="R37" s="82">
        <v>45</v>
      </c>
      <c r="S37" s="22">
        <f t="shared" si="0"/>
        <v>45</v>
      </c>
      <c r="T37" s="22"/>
      <c r="U37" s="31"/>
      <c r="V37" s="51"/>
    </row>
    <row r="38" spans="1:22" ht="20.100000000000001" customHeight="1" x14ac:dyDescent="0.3">
      <c r="A38" s="44">
        <v>30</v>
      </c>
      <c r="B38" s="22">
        <f>+'Order Details Apr24 - Mar25'!P38</f>
        <v>45422</v>
      </c>
      <c r="C38" s="23"/>
      <c r="D38" s="53" t="str">
        <f>+'Order Details Apr24 - Mar25'!T38</f>
        <v>APC Nutrients Limited Hyderabad</v>
      </c>
      <c r="E38" s="25"/>
      <c r="F38" s="183" t="str">
        <f>+'Order Details Apr24 - Mar25'!D38</f>
        <v>VOLAMEL EXTRA (Nukamel)</v>
      </c>
      <c r="G38" s="184"/>
      <c r="H38" s="26" t="str">
        <f>+'Order Details Apr24 - Mar25'!G38</f>
        <v>Kg</v>
      </c>
      <c r="I38" s="27">
        <f>+'Order Details Apr24 - Mar25'!I38</f>
        <v>500</v>
      </c>
      <c r="J38" s="28"/>
      <c r="K38" s="185" t="str">
        <f>+'Order Details Apr24 - Mar25'!R38</f>
        <v>PO / NBF / 100524 / 18</v>
      </c>
      <c r="L38" s="186"/>
      <c r="M38" s="187"/>
      <c r="N38" s="27">
        <f>+'Order Details Apr24 - Mar25'!F38*'Order Details Apr24 - Mar25'!N38</f>
        <v>285000</v>
      </c>
      <c r="O38" s="25"/>
      <c r="P38" s="22"/>
      <c r="Q38" s="26"/>
      <c r="R38" s="82">
        <v>7</v>
      </c>
      <c r="S38" s="22">
        <f t="shared" si="0"/>
        <v>7</v>
      </c>
      <c r="T38" s="22"/>
      <c r="U38" s="31"/>
      <c r="V38" s="51"/>
    </row>
    <row r="39" spans="1:22" ht="20.100000000000001" customHeight="1" x14ac:dyDescent="0.3">
      <c r="A39" s="44">
        <v>31</v>
      </c>
      <c r="B39" s="22">
        <f>+'Order Details Apr24 - Mar25'!P39</f>
        <v>45422</v>
      </c>
      <c r="C39" s="23"/>
      <c r="D39" s="53" t="str">
        <f>+'Order Details Apr24 - Mar25'!T39</f>
        <v>Das Drug Centre Pvt Ltd, Habra</v>
      </c>
      <c r="E39" s="25"/>
      <c r="F39" s="183" t="str">
        <f>+'Order Details Apr24 - Mar25'!D39</f>
        <v>E CARE SE (Cargill)</v>
      </c>
      <c r="G39" s="184"/>
      <c r="H39" s="26" t="str">
        <f>+'Order Details Apr24 - Mar25'!G39</f>
        <v>Gms</v>
      </c>
      <c r="I39" s="27">
        <f>+'Order Details Apr24 - Mar25'!I39</f>
        <v>100000</v>
      </c>
      <c r="J39" s="28"/>
      <c r="K39" s="185" t="str">
        <f>+'Order Details Apr24 - Mar25'!R39</f>
        <v>PO / NBF / 100524 / 19</v>
      </c>
      <c r="L39" s="186"/>
      <c r="M39" s="187"/>
      <c r="N39" s="27">
        <f>+'Order Details Apr24 - Mar25'!F39*'Order Details Apr24 - Mar25'!N39</f>
        <v>95000</v>
      </c>
      <c r="O39" s="25"/>
      <c r="P39" s="22"/>
      <c r="Q39" s="26"/>
      <c r="R39" s="82">
        <v>45</v>
      </c>
      <c r="S39" s="22">
        <f t="shared" si="0"/>
        <v>45</v>
      </c>
      <c r="T39" s="22"/>
      <c r="U39" s="31"/>
      <c r="V39" s="51"/>
    </row>
    <row r="40" spans="1:22" ht="20.100000000000001" customHeight="1" x14ac:dyDescent="0.3">
      <c r="A40" s="44">
        <v>32</v>
      </c>
      <c r="B40" s="22">
        <f>+'Order Details Apr24 - Mar25'!P40</f>
        <v>45422</v>
      </c>
      <c r="C40" s="23"/>
      <c r="D40" s="53" t="str">
        <f>+'Order Details Apr24 - Mar25'!T40</f>
        <v>Healers Associates, Vijayawada</v>
      </c>
      <c r="E40" s="25"/>
      <c r="F40" s="183" t="str">
        <f>+'Order Details Apr24 - Mar25'!D40</f>
        <v>SPERMED (Medichem Product)</v>
      </c>
      <c r="G40" s="184"/>
      <c r="H40" s="26" t="str">
        <f>+'Order Details Apr24 - Mar25'!G40</f>
        <v>Kg</v>
      </c>
      <c r="I40" s="27">
        <f>+'Order Details Apr24 - Mar25'!I40</f>
        <v>50</v>
      </c>
      <c r="J40" s="28"/>
      <c r="K40" s="185" t="str">
        <f>+'Order Details Apr24 - Mar25'!R40</f>
        <v>PO / NBF / 100524 / 20</v>
      </c>
      <c r="L40" s="186"/>
      <c r="M40" s="187"/>
      <c r="N40" s="27">
        <f>+'Order Details Apr24 - Mar25'!F40*'Order Details Apr24 - Mar25'!N40</f>
        <v>175000</v>
      </c>
      <c r="O40" s="25"/>
      <c r="P40" s="22"/>
      <c r="Q40" s="26"/>
      <c r="R40" s="82">
        <v>45</v>
      </c>
      <c r="S40" s="22">
        <f t="shared" si="0"/>
        <v>45</v>
      </c>
      <c r="T40" s="22"/>
      <c r="U40" s="31"/>
      <c r="V40" s="51"/>
    </row>
    <row r="41" spans="1:22" ht="20.100000000000001" customHeight="1" x14ac:dyDescent="0.3">
      <c r="A41" s="44">
        <v>33</v>
      </c>
      <c r="B41" s="22">
        <f>+'Order Details Apr24 - Mar25'!P41</f>
        <v>45422</v>
      </c>
      <c r="C41" s="23"/>
      <c r="D41" s="53" t="str">
        <f>+'Order Details Apr24 - Mar25'!T41</f>
        <v>Provimi Animal Nutrition India</v>
      </c>
      <c r="E41" s="25"/>
      <c r="F41" s="183" t="str">
        <f>+'Order Details Apr24 - Mar25'!D41</f>
        <v>DL Methionine (Evonik)</v>
      </c>
      <c r="G41" s="184"/>
      <c r="H41" s="26" t="str">
        <f>+'Order Details Apr24 - Mar25'!G41</f>
        <v>Kg</v>
      </c>
      <c r="I41" s="27">
        <f>+'Order Details Apr24 - Mar25'!I41</f>
        <v>1000</v>
      </c>
      <c r="J41" s="28"/>
      <c r="K41" s="185" t="str">
        <f>+'Order Details Apr24 - Mar25'!R41</f>
        <v>PO / NBF / 100524 / 21</v>
      </c>
      <c r="L41" s="186"/>
      <c r="M41" s="187"/>
      <c r="N41" s="27">
        <f>+'Order Details Apr24 - Mar25'!F41*'Order Details Apr24 - Mar25'!N41</f>
        <v>153729.20000000001</v>
      </c>
      <c r="O41" s="25"/>
      <c r="P41" s="22"/>
      <c r="Q41" s="26"/>
      <c r="R41" s="82">
        <v>15</v>
      </c>
      <c r="S41" s="22">
        <f t="shared" si="0"/>
        <v>15</v>
      </c>
      <c r="T41" s="22"/>
      <c r="U41" s="31"/>
      <c r="V41" s="51"/>
    </row>
    <row r="42" spans="1:22" ht="20.100000000000001" customHeight="1" x14ac:dyDescent="0.3">
      <c r="A42" s="44">
        <v>34</v>
      </c>
      <c r="B42" s="22">
        <f>+'Order Details Apr24 - Mar25'!P42</f>
        <v>45425</v>
      </c>
      <c r="C42" s="23"/>
      <c r="D42" s="53" t="str">
        <f>+'Order Details Apr24 - Mar25'!T42</f>
        <v>Tara Enterprises Hyderabad</v>
      </c>
      <c r="E42" s="25"/>
      <c r="F42" s="183" t="str">
        <f>+'Order Details Apr24 - Mar25'!D42</f>
        <v>Hipraviar Clon H-120 (Hipra)</v>
      </c>
      <c r="G42" s="184"/>
      <c r="H42" s="26" t="str">
        <f>+'Order Details Apr24 - Mar25'!G42</f>
        <v>Dose</v>
      </c>
      <c r="I42" s="27">
        <f>+'Order Details Apr24 - Mar25'!I42</f>
        <v>250000</v>
      </c>
      <c r="J42" s="28"/>
      <c r="K42" s="185" t="str">
        <f>+'Order Details Apr24 - Mar25'!R42</f>
        <v>PO / NBF / 130524 / 22</v>
      </c>
      <c r="L42" s="186"/>
      <c r="M42" s="187"/>
      <c r="N42" s="27">
        <f>+'Order Details Apr24 - Mar25'!F42*'Order Details Apr24 - Mar25'!N42</f>
        <v>57750</v>
      </c>
      <c r="O42" s="25"/>
      <c r="P42" s="22"/>
      <c r="Q42" s="26"/>
      <c r="R42" s="82">
        <v>45</v>
      </c>
      <c r="S42" s="22">
        <f t="shared" si="0"/>
        <v>45</v>
      </c>
      <c r="T42" s="22"/>
      <c r="U42" s="31"/>
      <c r="V42" s="51"/>
    </row>
    <row r="43" spans="1:22" ht="20.100000000000001" customHeight="1" x14ac:dyDescent="0.3">
      <c r="A43" s="44">
        <v>35</v>
      </c>
      <c r="B43" s="22">
        <f>+'Order Details Apr24 - Mar25'!P43</f>
        <v>45430</v>
      </c>
      <c r="C43" s="23"/>
      <c r="D43" s="53" t="str">
        <f>+'Order Details Apr24 - Mar25'!T43</f>
        <v>Zeus Biotech Pvt Ltd, Mysore</v>
      </c>
      <c r="E43" s="25"/>
      <c r="F43" s="183" t="str">
        <f>+'Order Details Apr24 - Mar25'!D43</f>
        <v>SELCON FORTE (Zeus Biotech)</v>
      </c>
      <c r="G43" s="184"/>
      <c r="H43" s="26" t="str">
        <f>+'Order Details Apr24 - Mar25'!G43</f>
        <v>Kg</v>
      </c>
      <c r="I43" s="27">
        <f>+'Order Details Apr24 - Mar25'!I43</f>
        <v>200</v>
      </c>
      <c r="J43" s="28"/>
      <c r="K43" s="185" t="str">
        <f>+'Order Details Apr24 - Mar25'!R43</f>
        <v>PO / NBF / 180524 / 23</v>
      </c>
      <c r="L43" s="186"/>
      <c r="M43" s="187"/>
      <c r="N43" s="27">
        <f>+'Order Details Apr24 - Mar25'!F43*'Order Details Apr24 - Mar25'!N43</f>
        <v>80000</v>
      </c>
      <c r="O43" s="25"/>
      <c r="P43" s="22"/>
      <c r="Q43" s="26"/>
      <c r="R43" s="82">
        <v>7</v>
      </c>
      <c r="S43" s="22">
        <f t="shared" si="0"/>
        <v>7</v>
      </c>
      <c r="T43" s="22"/>
      <c r="U43" s="31"/>
      <c r="V43" s="51"/>
    </row>
    <row r="44" spans="1:22" ht="20.100000000000001" customHeight="1" x14ac:dyDescent="0.3">
      <c r="A44" s="44">
        <v>36</v>
      </c>
      <c r="B44" s="22">
        <f>+'Order Details Apr24 - Mar25'!P44</f>
        <v>45432</v>
      </c>
      <c r="C44" s="23"/>
      <c r="D44" s="53" t="str">
        <f>+'Order Details Apr24 - Mar25'!T44</f>
        <v>Bhabani Bio Security Odisha</v>
      </c>
      <c r="E44" s="25"/>
      <c r="F44" s="183" t="str">
        <f>+'Order Details Apr24 - Mar25'!D44</f>
        <v>SCALONIL- 888 (Bhabani Bio)</v>
      </c>
      <c r="G44" s="184"/>
      <c r="H44" s="26" t="str">
        <f>+'Order Details Apr24 - Mar25'!G44</f>
        <v>Ltr</v>
      </c>
      <c r="I44" s="27">
        <f>+'Order Details Apr24 - Mar25'!I44</f>
        <v>300</v>
      </c>
      <c r="J44" s="28"/>
      <c r="K44" s="185" t="str">
        <f>+'Order Details Apr24 - Mar25'!R44</f>
        <v>PO / NBF / 200524 / 24</v>
      </c>
      <c r="L44" s="186"/>
      <c r="M44" s="187"/>
      <c r="N44" s="27">
        <f>+'Order Details Apr24 - Mar25'!F44*'Order Details Apr24 - Mar25'!N44</f>
        <v>38373.599999999999</v>
      </c>
      <c r="O44" s="25"/>
      <c r="P44" s="22"/>
      <c r="Q44" s="26"/>
      <c r="R44" s="82">
        <v>45</v>
      </c>
      <c r="S44" s="22">
        <f t="shared" si="0"/>
        <v>45</v>
      </c>
      <c r="T44" s="22"/>
      <c r="U44" s="31"/>
      <c r="V44" s="51"/>
    </row>
    <row r="45" spans="1:22" ht="20.100000000000001" customHeight="1" x14ac:dyDescent="0.3">
      <c r="A45" s="44">
        <v>37</v>
      </c>
      <c r="B45" s="22">
        <f>+'Order Details Apr24 - Mar25'!P45</f>
        <v>45432</v>
      </c>
      <c r="C45" s="23"/>
      <c r="D45" s="53" t="str">
        <f>+'Order Details Apr24 - Mar25'!T45</f>
        <v>Das Drug Centre Pvt Ltd, Habra</v>
      </c>
      <c r="E45" s="25"/>
      <c r="F45" s="183" t="str">
        <f>+'Order Details Apr24 - Mar25'!D45</f>
        <v>FAMITONE (Zenex-AH)</v>
      </c>
      <c r="G45" s="184"/>
      <c r="H45" s="26" t="str">
        <f>+'Order Details Apr24 - Mar25'!G45</f>
        <v>Ltr</v>
      </c>
      <c r="I45" s="27">
        <f>+'Order Details Apr24 - Mar25'!I45</f>
        <v>96</v>
      </c>
      <c r="J45" s="28"/>
      <c r="K45" s="185" t="str">
        <f>+'Order Details Apr24 - Mar25'!R45</f>
        <v>PO / NBF / 200524 / 25</v>
      </c>
      <c r="L45" s="186"/>
      <c r="M45" s="187"/>
      <c r="N45" s="27">
        <f>+'Order Details Apr24 - Mar25'!F45*'Order Details Apr24 - Mar25'!N45</f>
        <v>55680</v>
      </c>
      <c r="O45" s="25"/>
      <c r="P45" s="22"/>
      <c r="Q45" s="26"/>
      <c r="R45" s="82">
        <v>45</v>
      </c>
      <c r="S45" s="22">
        <f t="shared" si="0"/>
        <v>45</v>
      </c>
      <c r="T45" s="22"/>
      <c r="U45" s="31"/>
      <c r="V45" s="51"/>
    </row>
    <row r="46" spans="1:22" ht="20.100000000000001" customHeight="1" x14ac:dyDescent="0.3">
      <c r="A46" s="44">
        <v>38</v>
      </c>
      <c r="B46" s="22">
        <f>+'Order Details Apr24 - Mar25'!P46</f>
        <v>45432</v>
      </c>
      <c r="C46" s="23"/>
      <c r="D46" s="53" t="str">
        <f>+'Order Details Apr24 - Mar25'!T46</f>
        <v>Das Drug Centre Pvt Ltd, Habra</v>
      </c>
      <c r="E46" s="25"/>
      <c r="F46" s="183" t="str">
        <f>+'Order Details Apr24 - Mar25'!D46</f>
        <v>KOLIN PLUS (Natural Remedies)</v>
      </c>
      <c r="G46" s="184"/>
      <c r="H46" s="26" t="str">
        <f>+'Order Details Apr24 - Mar25'!G46</f>
        <v>Kg</v>
      </c>
      <c r="I46" s="27">
        <f>+'Order Details Apr24 - Mar25'!I46</f>
        <v>700</v>
      </c>
      <c r="J46" s="28"/>
      <c r="K46" s="185" t="str">
        <f>+'Order Details Apr24 - Mar25'!R46</f>
        <v>PO / NBF / 200524 / 25</v>
      </c>
      <c r="L46" s="186"/>
      <c r="M46" s="187"/>
      <c r="N46" s="27">
        <f>+'Order Details Apr24 - Mar25'!F46*'Order Details Apr24 - Mar25'!N46</f>
        <v>49000</v>
      </c>
      <c r="O46" s="25"/>
      <c r="P46" s="22"/>
      <c r="Q46" s="26"/>
      <c r="R46" s="82">
        <v>45</v>
      </c>
      <c r="S46" s="22">
        <f t="shared" si="0"/>
        <v>45</v>
      </c>
      <c r="T46" s="22"/>
      <c r="U46" s="31"/>
      <c r="V46" s="51"/>
    </row>
    <row r="47" spans="1:22" ht="20.100000000000001" customHeight="1" x14ac:dyDescent="0.3">
      <c r="A47" s="44">
        <v>39</v>
      </c>
      <c r="B47" s="22">
        <f>+'Order Details Apr24 - Mar25'!P47</f>
        <v>45435</v>
      </c>
      <c r="C47" s="23"/>
      <c r="D47" s="53" t="str">
        <f>+'Order Details Apr24 - Mar25'!T47</f>
        <v>Healers Associates, Vijayawada</v>
      </c>
      <c r="E47" s="25"/>
      <c r="F47" s="183" t="str">
        <f>+'Order Details Apr24 - Mar25'!D47</f>
        <v>SPERMED-F (Medichem Product)</v>
      </c>
      <c r="G47" s="184"/>
      <c r="H47" s="26" t="str">
        <f>+'Order Details Apr24 - Mar25'!G47</f>
        <v>Kg</v>
      </c>
      <c r="I47" s="27">
        <f>+'Order Details Apr24 - Mar25'!I47</f>
        <v>100</v>
      </c>
      <c r="J47" s="28"/>
      <c r="K47" s="185" t="str">
        <f>+'Order Details Apr24 - Mar25'!R47</f>
        <v>PO / NBF / 230524 / 26</v>
      </c>
      <c r="L47" s="186"/>
      <c r="M47" s="187"/>
      <c r="N47" s="27">
        <f>+'Order Details Apr24 - Mar25'!F47*'Order Details Apr24 - Mar25'!N47</f>
        <v>350000</v>
      </c>
      <c r="O47" s="25"/>
      <c r="P47" s="22"/>
      <c r="Q47" s="26"/>
      <c r="R47" s="82">
        <v>45</v>
      </c>
      <c r="S47" s="22">
        <f t="shared" si="0"/>
        <v>45</v>
      </c>
      <c r="T47" s="22"/>
      <c r="U47" s="31"/>
      <c r="V47" s="51"/>
    </row>
    <row r="48" spans="1:22" ht="20.100000000000001" customHeight="1" x14ac:dyDescent="0.3">
      <c r="A48" s="44">
        <v>40</v>
      </c>
      <c r="B48" s="22">
        <f>+'Order Details Apr24 - Mar25'!P48</f>
        <v>45435</v>
      </c>
      <c r="C48" s="23"/>
      <c r="D48" s="53" t="str">
        <f>+'Order Details Apr24 - Mar25'!T48</f>
        <v>Bhuvana Nutribio Sciences Pune</v>
      </c>
      <c r="E48" s="25"/>
      <c r="F48" s="183" t="str">
        <f>+'Order Details Apr24 - Mar25'!D48</f>
        <v>APSAMIX TIAMULIN -10% (Pintaluba)</v>
      </c>
      <c r="G48" s="184"/>
      <c r="H48" s="26" t="str">
        <f>+'Order Details Apr24 - Mar25'!G48</f>
        <v>Kg</v>
      </c>
      <c r="I48" s="27">
        <f>+'Order Details Apr24 - Mar25'!I48</f>
        <v>400</v>
      </c>
      <c r="J48" s="28"/>
      <c r="K48" s="185" t="str">
        <f>+'Order Details Apr24 - Mar25'!R48</f>
        <v>PO / NBF / 230524 / 27</v>
      </c>
      <c r="L48" s="186"/>
      <c r="M48" s="187"/>
      <c r="N48" s="27">
        <f>+'Order Details Apr24 - Mar25'!F48*'Order Details Apr24 - Mar25'!N48</f>
        <v>310000</v>
      </c>
      <c r="O48" s="25"/>
      <c r="P48" s="22"/>
      <c r="Q48" s="26"/>
      <c r="R48" s="61">
        <v>15</v>
      </c>
      <c r="S48" s="22">
        <f t="shared" si="0"/>
        <v>15</v>
      </c>
      <c r="T48" s="22"/>
      <c r="U48" s="31"/>
      <c r="V48" s="51"/>
    </row>
    <row r="49" spans="1:22" ht="20.100000000000001" customHeight="1" x14ac:dyDescent="0.3">
      <c r="A49" s="44">
        <v>41</v>
      </c>
      <c r="B49" s="22">
        <f>+'Order Details Apr24 - Mar25'!P49</f>
        <v>45435</v>
      </c>
      <c r="C49" s="23"/>
      <c r="D49" s="53" t="str">
        <f>+'Order Details Apr24 - Mar25'!T49</f>
        <v>Crescent Marketing Hyderabad</v>
      </c>
      <c r="E49" s="25"/>
      <c r="F49" s="183" t="str">
        <f>+'Order Details Apr24 - Mar25'!D49</f>
        <v>Oxytetracycline-LA Injection (Zenex)</v>
      </c>
      <c r="G49" s="184"/>
      <c r="H49" s="26" t="str">
        <f>+'Order Details Apr24 - Mar25'!G49</f>
        <v>Ml</v>
      </c>
      <c r="I49" s="27">
        <f>+'Order Details Apr24 - Mar25'!I49</f>
        <v>30000</v>
      </c>
      <c r="J49" s="28"/>
      <c r="K49" s="185" t="str">
        <f>+'Order Details Apr24 - Mar25'!R49</f>
        <v>PO / NBF / 230524 / 28</v>
      </c>
      <c r="L49" s="186"/>
      <c r="M49" s="187"/>
      <c r="N49" s="27">
        <f>+'Order Details Apr24 - Mar25'!F49*'Order Details Apr24 - Mar25'!N49</f>
        <v>77951.999999999985</v>
      </c>
      <c r="O49" s="25"/>
      <c r="P49" s="22"/>
      <c r="Q49" s="26"/>
      <c r="R49" s="82">
        <v>45</v>
      </c>
      <c r="S49" s="22">
        <f t="shared" si="0"/>
        <v>45</v>
      </c>
      <c r="T49" s="22"/>
      <c r="U49" s="31"/>
      <c r="V49" s="51"/>
    </row>
    <row r="50" spans="1:22" ht="20.100000000000001" customHeight="1" x14ac:dyDescent="0.3">
      <c r="A50" s="44">
        <v>42</v>
      </c>
      <c r="B50" s="22">
        <f>+'Order Details Apr24 - Mar25'!P50</f>
        <v>45435</v>
      </c>
      <c r="C50" s="23"/>
      <c r="D50" s="53" t="str">
        <f>+'Order Details Apr24 - Mar25'!T50</f>
        <v>Tara Enterprises Hyderabad</v>
      </c>
      <c r="E50" s="25"/>
      <c r="F50" s="183" t="str">
        <f>+'Order Details Apr24 - Mar25'!D50</f>
        <v>TAYLOMAX Injection (Intas)</v>
      </c>
      <c r="G50" s="184"/>
      <c r="H50" s="26" t="str">
        <f>+'Order Details Apr24 - Mar25'!G50</f>
        <v>Ml</v>
      </c>
      <c r="I50" s="27">
        <f>+'Order Details Apr24 - Mar25'!I50</f>
        <v>30000</v>
      </c>
      <c r="J50" s="28"/>
      <c r="K50" s="185" t="str">
        <f>+'Order Details Apr24 - Mar25'!R50</f>
        <v>PO / NBF / 230524 / 29</v>
      </c>
      <c r="L50" s="186"/>
      <c r="M50" s="187"/>
      <c r="N50" s="27">
        <f>+'Order Details Apr24 - Mar25'!F50*'Order Details Apr24 - Mar25'!N50</f>
        <v>86688</v>
      </c>
      <c r="O50" s="25"/>
      <c r="P50" s="22"/>
      <c r="Q50" s="26"/>
      <c r="R50" s="82">
        <v>45</v>
      </c>
      <c r="S50" s="22">
        <f t="shared" si="0"/>
        <v>45</v>
      </c>
      <c r="T50" s="22"/>
      <c r="U50" s="31"/>
      <c r="V50" s="51"/>
    </row>
    <row r="51" spans="1:22" ht="20.100000000000001" customHeight="1" x14ac:dyDescent="0.3">
      <c r="A51" s="44">
        <v>43</v>
      </c>
      <c r="B51" s="22">
        <f>+'Order Details Apr24 - Mar25'!P51</f>
        <v>45440</v>
      </c>
      <c r="C51" s="23"/>
      <c r="D51" s="53" t="str">
        <f>+'Order Details Apr24 - Mar25'!T51</f>
        <v>Alltech Biotechnology Pvt Ltd</v>
      </c>
      <c r="E51" s="25"/>
      <c r="F51" s="183" t="str">
        <f>+'Order Details Apr24 - Mar25'!D51</f>
        <v>BIOPLEX PRIME (Alltech)</v>
      </c>
      <c r="G51" s="184"/>
      <c r="H51" s="26" t="str">
        <f>+'Order Details Apr24 - Mar25'!G51</f>
        <v>Kg</v>
      </c>
      <c r="I51" s="27">
        <f>+'Order Details Apr24 - Mar25'!I51</f>
        <v>500</v>
      </c>
      <c r="J51" s="28"/>
      <c r="K51" s="185" t="str">
        <f>+'Order Details Apr24 - Mar25'!R51</f>
        <v>PO / NBF / 280524 / 30</v>
      </c>
      <c r="L51" s="186"/>
      <c r="M51" s="187"/>
      <c r="N51" s="27">
        <f>+'Order Details Apr24 - Mar25'!F51*'Order Details Apr24 - Mar25'!N51</f>
        <v>120000</v>
      </c>
      <c r="O51" s="25"/>
      <c r="P51" s="22"/>
      <c r="Q51" s="26"/>
      <c r="R51" s="82">
        <v>7</v>
      </c>
      <c r="S51" s="22">
        <f t="shared" si="0"/>
        <v>7</v>
      </c>
      <c r="T51" s="22"/>
      <c r="U51" s="31"/>
      <c r="V51" s="51"/>
    </row>
    <row r="52" spans="1:22" ht="20.100000000000001" customHeight="1" x14ac:dyDescent="0.3">
      <c r="A52" s="44">
        <v>44</v>
      </c>
      <c r="B52" s="22">
        <f>+'Order Details Apr24 - Mar25'!P52</f>
        <v>45440</v>
      </c>
      <c r="C52" s="23"/>
      <c r="D52" s="53" t="str">
        <f>+'Order Details Apr24 - Mar25'!T52</f>
        <v>Das Drug Centre Pvt Ltd, Habra</v>
      </c>
      <c r="E52" s="25"/>
      <c r="F52" s="183" t="str">
        <f>+'Order Details Apr24 - Mar25'!D52</f>
        <v>ELECTROCARE PLUS (Cargill)</v>
      </c>
      <c r="G52" s="184"/>
      <c r="H52" s="26" t="str">
        <f>+'Order Details Apr24 - Mar25'!G52</f>
        <v>Kg</v>
      </c>
      <c r="I52" s="27">
        <f>+'Order Details Apr24 - Mar25'!I52</f>
        <v>400</v>
      </c>
      <c r="J52" s="28"/>
      <c r="K52" s="185" t="str">
        <f>+'Order Details Apr24 - Mar25'!R52</f>
        <v>PO / NBF / 280524 / 31</v>
      </c>
      <c r="L52" s="186"/>
      <c r="M52" s="187"/>
      <c r="N52" s="27">
        <f>+'Order Details Apr24 - Mar25'!F52*'Order Details Apr24 - Mar25'!N52</f>
        <v>75600</v>
      </c>
      <c r="O52" s="25"/>
      <c r="P52" s="22"/>
      <c r="Q52" s="26"/>
      <c r="R52" s="82">
        <v>45</v>
      </c>
      <c r="S52" s="22">
        <f t="shared" si="0"/>
        <v>45</v>
      </c>
      <c r="T52" s="22"/>
      <c r="U52" s="31"/>
      <c r="V52" s="51"/>
    </row>
    <row r="53" spans="1:22" ht="20.100000000000001" customHeight="1" x14ac:dyDescent="0.3">
      <c r="A53" s="44">
        <v>45</v>
      </c>
      <c r="B53" s="22">
        <f>+'Order Details Apr24 - Mar25'!P53</f>
        <v>45440</v>
      </c>
      <c r="C53" s="23"/>
      <c r="D53" s="53" t="str">
        <f>+'Order Details Apr24 - Mar25'!T53</f>
        <v>Hester Biosciences Limited</v>
      </c>
      <c r="E53" s="25"/>
      <c r="F53" s="183" t="str">
        <f>+'Order Details Apr24 - Mar25'!D53</f>
        <v>ILT (G-10000) Live Vaccine</v>
      </c>
      <c r="G53" s="184"/>
      <c r="H53" s="26" t="str">
        <f>+'Order Details Apr24 - Mar25'!G53</f>
        <v>Dose</v>
      </c>
      <c r="I53" s="27">
        <f>+'Order Details Apr24 - Mar25'!I53</f>
        <v>75000</v>
      </c>
      <c r="J53" s="28"/>
      <c r="K53" s="185" t="str">
        <f>+'Order Details Apr24 - Mar25'!R53</f>
        <v>PO / NBF / 280524 / 32</v>
      </c>
      <c r="L53" s="186"/>
      <c r="M53" s="187"/>
      <c r="N53" s="27">
        <f>+'Order Details Apr24 - Mar25'!F53*'Order Details Apr24 - Mar25'!N53</f>
        <v>118125</v>
      </c>
      <c r="O53" s="25"/>
      <c r="P53" s="22"/>
      <c r="Q53" s="26"/>
      <c r="R53" s="82">
        <v>7</v>
      </c>
      <c r="S53" s="22">
        <f t="shared" si="0"/>
        <v>7</v>
      </c>
      <c r="T53" s="22"/>
      <c r="U53" s="31"/>
      <c r="V53" s="51"/>
    </row>
    <row r="54" spans="1:22" ht="20.100000000000001" customHeight="1" x14ac:dyDescent="0.3">
      <c r="A54" s="44">
        <v>46</v>
      </c>
      <c r="B54" s="22">
        <f>+'Order Details Apr24 - Mar25'!P54</f>
        <v>45443</v>
      </c>
      <c r="C54" s="23"/>
      <c r="D54" s="53" t="str">
        <f>+'Order Details Apr24 - Mar25'!T54</f>
        <v>Jeco Agrovet Pvt Ltd Kolkata</v>
      </c>
      <c r="E54" s="25"/>
      <c r="F54" s="183" t="str">
        <f>+'Order Details Apr24 - Mar25'!D54</f>
        <v>ROVIMIX BREEDER (DSM)</v>
      </c>
      <c r="G54" s="184"/>
      <c r="H54" s="26" t="str">
        <f>+'Order Details Apr24 - Mar25'!G54</f>
        <v>Kg</v>
      </c>
      <c r="I54" s="27">
        <f>+'Order Details Apr24 - Mar25'!I54</f>
        <v>1500</v>
      </c>
      <c r="J54" s="28"/>
      <c r="K54" s="185" t="str">
        <f>+'Order Details Apr24 - Mar25'!R54</f>
        <v>PO / NBF / 310524 / 33</v>
      </c>
      <c r="L54" s="186"/>
      <c r="M54" s="187"/>
      <c r="N54" s="27">
        <f>+'Order Details Apr24 - Mar25'!F54*'Order Details Apr24 - Mar25'!N54</f>
        <v>730500</v>
      </c>
      <c r="O54" s="25"/>
      <c r="P54" s="22"/>
      <c r="Q54" s="26"/>
      <c r="R54" s="82">
        <v>15</v>
      </c>
      <c r="S54" s="22">
        <f t="shared" si="0"/>
        <v>15</v>
      </c>
      <c r="T54" s="22"/>
      <c r="U54" s="31"/>
      <c r="V54" s="51"/>
    </row>
    <row r="55" spans="1:22" ht="20.100000000000001" customHeight="1" x14ac:dyDescent="0.3">
      <c r="A55" s="44">
        <v>47</v>
      </c>
      <c r="B55" s="22">
        <f>+'Order Details Apr24 - Mar25'!P55</f>
        <v>45446</v>
      </c>
      <c r="C55" s="23"/>
      <c r="D55" s="53" t="str">
        <f>+'Order Details Apr24 - Mar25'!T55</f>
        <v>Alivira Animal Health Ltd Mumbai</v>
      </c>
      <c r="E55" s="25"/>
      <c r="F55" s="183" t="str">
        <f>+'Order Details Apr24 - Mar25'!D55</f>
        <v>TRITYL - 62.5% (Alivira)</v>
      </c>
      <c r="G55" s="184"/>
      <c r="H55" s="26" t="str">
        <f>+'Order Details Apr24 - Mar25'!G55</f>
        <v>Gms</v>
      </c>
      <c r="I55" s="27">
        <f>+'Order Details Apr24 - Mar25'!I55</f>
        <v>20000</v>
      </c>
      <c r="J55" s="28"/>
      <c r="K55" s="185" t="str">
        <f>+'Order Details Apr24 - Mar25'!R55</f>
        <v>PO / NBF / 030624 / 34</v>
      </c>
      <c r="L55" s="186"/>
      <c r="M55" s="187"/>
      <c r="N55" s="27">
        <f>+'Order Details Apr24 - Mar25'!F55*'Order Details Apr24 - Mar25'!N55</f>
        <v>478800</v>
      </c>
      <c r="O55" s="25"/>
      <c r="P55" s="22"/>
      <c r="Q55" s="26"/>
      <c r="R55" s="82">
        <v>45</v>
      </c>
      <c r="S55" s="22">
        <f t="shared" si="0"/>
        <v>45</v>
      </c>
      <c r="T55" s="22"/>
      <c r="U55" s="31"/>
      <c r="V55" s="51"/>
    </row>
    <row r="56" spans="1:22" ht="20.100000000000001" customHeight="1" x14ac:dyDescent="0.3">
      <c r="A56" s="44">
        <v>48</v>
      </c>
      <c r="B56" s="22">
        <f>+'Order Details Apr24 - Mar25'!P56</f>
        <v>45446</v>
      </c>
      <c r="C56" s="23"/>
      <c r="D56" s="53" t="str">
        <f>+'Order Details Apr24 - Mar25'!T56</f>
        <v>Das Drug Centre Pvt Ltd, Habra</v>
      </c>
      <c r="E56" s="25"/>
      <c r="F56" s="183" t="str">
        <f>+'Order Details Apr24 - Mar25'!D56</f>
        <v>Hipraviar Clon 79 (Hipra)</v>
      </c>
      <c r="G56" s="184"/>
      <c r="H56" s="26" t="str">
        <f>+'Order Details Apr24 - Mar25'!G56</f>
        <v>Dose</v>
      </c>
      <c r="I56" s="27">
        <f>+'Order Details Apr24 - Mar25'!I56</f>
        <v>41000</v>
      </c>
      <c r="J56" s="28"/>
      <c r="K56" s="185" t="str">
        <f>+'Order Details Apr24 - Mar25'!R56</f>
        <v>PO / NBF / 030624 / 35</v>
      </c>
      <c r="L56" s="186"/>
      <c r="M56" s="187"/>
      <c r="N56" s="27">
        <f>+'Order Details Apr24 - Mar25'!F56*'Order Details Apr24 - Mar25'!N56</f>
        <v>7103.25</v>
      </c>
      <c r="O56" s="25"/>
      <c r="P56" s="22"/>
      <c r="Q56" s="26"/>
      <c r="R56" s="82">
        <v>45</v>
      </c>
      <c r="S56" s="22">
        <f t="shared" si="0"/>
        <v>45</v>
      </c>
      <c r="T56" s="22"/>
      <c r="U56" s="31"/>
      <c r="V56" s="51"/>
    </row>
    <row r="57" spans="1:22" ht="20.100000000000001" customHeight="1" x14ac:dyDescent="0.3">
      <c r="A57" s="44">
        <v>49</v>
      </c>
      <c r="B57" s="22">
        <f>+'Order Details Apr24 - Mar25'!P57</f>
        <v>45446</v>
      </c>
      <c r="C57" s="23"/>
      <c r="D57" s="53" t="str">
        <f>+'Order Details Apr24 - Mar25'!T57</f>
        <v>Das Drug Centre Pvt Ltd, Habra</v>
      </c>
      <c r="E57" s="25"/>
      <c r="F57" s="183" t="str">
        <f>+'Order Details Apr24 - Mar25'!D57</f>
        <v>Hipraviar BPL-2 Killed (Hipra)</v>
      </c>
      <c r="G57" s="184"/>
      <c r="H57" s="26" t="str">
        <f>+'Order Details Apr24 - Mar25'!G57</f>
        <v>Dose</v>
      </c>
      <c r="I57" s="27">
        <f>+'Order Details Apr24 - Mar25'!I57</f>
        <v>40000</v>
      </c>
      <c r="J57" s="28"/>
      <c r="K57" s="185" t="str">
        <f>+'Order Details Apr24 - Mar25'!R57</f>
        <v>PO / NBF / 030624 / 35</v>
      </c>
      <c r="L57" s="186"/>
      <c r="M57" s="187"/>
      <c r="N57" s="27">
        <f>+'Order Details Apr24 - Mar25'!F57*'Order Details Apr24 - Mar25'!N57</f>
        <v>78750</v>
      </c>
      <c r="O57" s="25"/>
      <c r="P57" s="22"/>
      <c r="Q57" s="26"/>
      <c r="R57" s="82">
        <v>45</v>
      </c>
      <c r="S57" s="22">
        <f t="shared" si="0"/>
        <v>45</v>
      </c>
      <c r="T57" s="22"/>
      <c r="U57" s="31"/>
      <c r="V57" s="51"/>
    </row>
    <row r="58" spans="1:22" ht="20.100000000000001" customHeight="1" x14ac:dyDescent="0.3">
      <c r="A58" s="44">
        <v>50</v>
      </c>
      <c r="B58" s="22">
        <f>+'Order Details Apr24 - Mar25'!P58</f>
        <v>45446</v>
      </c>
      <c r="C58" s="23"/>
      <c r="D58" s="53" t="str">
        <f>+'Order Details Apr24 - Mar25'!T58</f>
        <v>Das Drug Centre Pvt Ltd, Habra</v>
      </c>
      <c r="E58" s="25"/>
      <c r="F58" s="183" t="str">
        <f>+'Order Details Apr24 - Mar25'!D58</f>
        <v>MG BAC KILLED (Zoetis)</v>
      </c>
      <c r="G58" s="184"/>
      <c r="H58" s="26" t="str">
        <f>+'Order Details Apr24 - Mar25'!G58</f>
        <v>Dose</v>
      </c>
      <c r="I58" s="27">
        <f>+'Order Details Apr24 - Mar25'!I58</f>
        <v>81000</v>
      </c>
      <c r="J58" s="28"/>
      <c r="K58" s="185" t="str">
        <f>+'Order Details Apr24 - Mar25'!R58</f>
        <v>PO / NBF / 030624 / 35</v>
      </c>
      <c r="L58" s="186"/>
      <c r="M58" s="187"/>
      <c r="N58" s="27">
        <f>+'Order Details Apr24 - Mar25'!F58*'Order Details Apr24 - Mar25'!N58</f>
        <v>593819.1</v>
      </c>
      <c r="O58" s="25"/>
      <c r="P58" s="22"/>
      <c r="Q58" s="26"/>
      <c r="R58" s="82">
        <v>45</v>
      </c>
      <c r="S58" s="22">
        <f t="shared" si="0"/>
        <v>45</v>
      </c>
      <c r="T58" s="22"/>
      <c r="U58" s="31"/>
      <c r="V58" s="51"/>
    </row>
    <row r="59" spans="1:22" ht="20.100000000000001" customHeight="1" x14ac:dyDescent="0.3">
      <c r="A59" s="44">
        <v>51</v>
      </c>
      <c r="B59" s="22">
        <f>+'Order Details Apr24 - Mar25'!P59</f>
        <v>45446</v>
      </c>
      <c r="C59" s="23"/>
      <c r="D59" s="53" t="str">
        <f>+'Order Details Apr24 - Mar25'!T59</f>
        <v>Das Drug Centre Pvt Ltd, Habra</v>
      </c>
      <c r="E59" s="25"/>
      <c r="F59" s="183" t="str">
        <f>+'Order Details Apr24 - Mar25'!D59</f>
        <v>TRI REO KILLED (Zoetis)</v>
      </c>
      <c r="G59" s="184"/>
      <c r="H59" s="26" t="str">
        <f>+'Order Details Apr24 - Mar25'!G59</f>
        <v>Dose</v>
      </c>
      <c r="I59" s="27">
        <f>+'Order Details Apr24 - Mar25'!I59</f>
        <v>40000</v>
      </c>
      <c r="J59" s="28"/>
      <c r="K59" s="185" t="str">
        <f>+'Order Details Apr24 - Mar25'!R59</f>
        <v>PO / NBF / 030624 / 35</v>
      </c>
      <c r="L59" s="186"/>
      <c r="M59" s="187"/>
      <c r="N59" s="27">
        <f>+'Order Details Apr24 - Mar25'!F59*'Order Details Apr24 - Mar25'!N59</f>
        <v>232596</v>
      </c>
      <c r="O59" s="25"/>
      <c r="P59" s="22"/>
      <c r="Q59" s="26"/>
      <c r="R59" s="82">
        <v>45</v>
      </c>
      <c r="S59" s="22">
        <f t="shared" si="0"/>
        <v>45</v>
      </c>
      <c r="T59" s="22"/>
      <c r="U59" s="31"/>
      <c r="V59" s="51"/>
    </row>
    <row r="60" spans="1:22" ht="20.100000000000001" customHeight="1" x14ac:dyDescent="0.3">
      <c r="A60" s="44">
        <v>52</v>
      </c>
      <c r="B60" s="22">
        <f>+'Order Details Apr24 - Mar25'!P60</f>
        <v>45446</v>
      </c>
      <c r="C60" s="23"/>
      <c r="D60" s="53" t="str">
        <f>+'Order Details Apr24 - Mar25'!T60</f>
        <v>Das Drug Centre Pvt Ltd, Habra</v>
      </c>
      <c r="E60" s="25"/>
      <c r="F60" s="183" t="str">
        <f>+'Order Details Apr24 - Mar25'!D60</f>
        <v>HIVIT Injection (Zenex-AH)</v>
      </c>
      <c r="G60" s="184"/>
      <c r="H60" s="26" t="str">
        <f>+'Order Details Apr24 - Mar25'!G60</f>
        <v>Ml</v>
      </c>
      <c r="I60" s="27">
        <f>+'Order Details Apr24 - Mar25'!I60</f>
        <v>10000</v>
      </c>
      <c r="J60" s="28"/>
      <c r="K60" s="185" t="str">
        <f>+'Order Details Apr24 - Mar25'!R60</f>
        <v>PO / NBF / 030624 / 35</v>
      </c>
      <c r="L60" s="186"/>
      <c r="M60" s="187"/>
      <c r="N60" s="27">
        <f>+'Order Details Apr24 - Mar25'!F60*'Order Details Apr24 - Mar25'!N60</f>
        <v>11424</v>
      </c>
      <c r="O60" s="25"/>
      <c r="P60" s="22"/>
      <c r="Q60" s="26"/>
      <c r="R60" s="82">
        <v>45</v>
      </c>
      <c r="S60" s="22">
        <f t="shared" si="0"/>
        <v>45</v>
      </c>
      <c r="T60" s="22"/>
      <c r="U60" s="31"/>
      <c r="V60" s="51"/>
    </row>
    <row r="61" spans="1:22" ht="20.100000000000001" customHeight="1" x14ac:dyDescent="0.3">
      <c r="A61" s="44">
        <v>53</v>
      </c>
      <c r="B61" s="22">
        <f>+'Order Details Apr24 - Mar25'!P61</f>
        <v>45446</v>
      </c>
      <c r="C61" s="23"/>
      <c r="D61" s="53" t="str">
        <f>+'Order Details Apr24 - Mar25'!T61</f>
        <v>Das Drug Centre Pvt Ltd, Habra</v>
      </c>
      <c r="E61" s="25"/>
      <c r="F61" s="183" t="str">
        <f>+'Order Details Apr24 - Mar25'!D61</f>
        <v>KOHRSOLIN-TH (Virbac)</v>
      </c>
      <c r="G61" s="184"/>
      <c r="H61" s="26" t="str">
        <f>+'Order Details Apr24 - Mar25'!G61</f>
        <v>Ltr</v>
      </c>
      <c r="I61" s="27">
        <f>+'Order Details Apr24 - Mar25'!I61</f>
        <v>100</v>
      </c>
      <c r="J61" s="28"/>
      <c r="K61" s="185" t="str">
        <f>+'Order Details Apr24 - Mar25'!R61</f>
        <v>PO / NBF / 030624 / 35</v>
      </c>
      <c r="L61" s="186"/>
      <c r="M61" s="187"/>
      <c r="N61" s="27">
        <f>+'Order Details Apr24 - Mar25'!F61*'Order Details Apr24 - Mar25'!N61</f>
        <v>116348</v>
      </c>
      <c r="O61" s="25"/>
      <c r="P61" s="22"/>
      <c r="Q61" s="26"/>
      <c r="R61" s="82">
        <v>45</v>
      </c>
      <c r="S61" s="22">
        <f t="shared" si="0"/>
        <v>45</v>
      </c>
      <c r="T61" s="22"/>
      <c r="U61" s="31"/>
      <c r="V61" s="51"/>
    </row>
    <row r="62" spans="1:22" ht="20.100000000000001" customHeight="1" x14ac:dyDescent="0.3">
      <c r="A62" s="44">
        <v>54</v>
      </c>
      <c r="B62" s="22">
        <f>+'Order Details Apr24 - Mar25'!P62</f>
        <v>45446</v>
      </c>
      <c r="C62" s="23"/>
      <c r="D62" s="53" t="str">
        <f>+'Order Details Apr24 - Mar25'!T62</f>
        <v>We Care Animal Health, Bengal</v>
      </c>
      <c r="E62" s="25"/>
      <c r="F62" s="183" t="str">
        <f>+'Order Details Apr24 - Mar25'!D62</f>
        <v>FLYVIN (We Care Animal Health)</v>
      </c>
      <c r="G62" s="184"/>
      <c r="H62" s="26" t="str">
        <f>+'Order Details Apr24 - Mar25'!G62</f>
        <v>Kg</v>
      </c>
      <c r="I62" s="27">
        <f>+'Order Details Apr24 - Mar25'!I62</f>
        <v>100</v>
      </c>
      <c r="J62" s="28"/>
      <c r="K62" s="185" t="str">
        <f>+'Order Details Apr24 - Mar25'!R62</f>
        <v>PO / NBF / 030624 / 36</v>
      </c>
      <c r="L62" s="186"/>
      <c r="M62" s="187"/>
      <c r="N62" s="27">
        <f>+'Order Details Apr24 - Mar25'!F62*'Order Details Apr24 - Mar25'!N62</f>
        <v>72000</v>
      </c>
      <c r="O62" s="25"/>
      <c r="P62" s="22"/>
      <c r="Q62" s="26"/>
      <c r="R62" s="82">
        <v>7</v>
      </c>
      <c r="S62" s="22">
        <f t="shared" si="0"/>
        <v>7</v>
      </c>
      <c r="T62" s="22"/>
      <c r="U62" s="31"/>
      <c r="V62" s="51"/>
    </row>
    <row r="63" spans="1:22" ht="20.100000000000001" customHeight="1" x14ac:dyDescent="0.3">
      <c r="A63" s="44">
        <v>55</v>
      </c>
      <c r="B63" s="22">
        <f>+'Order Details Apr24 - Mar25'!P63</f>
        <v>45447</v>
      </c>
      <c r="C63" s="23"/>
      <c r="D63" s="53" t="str">
        <f>+'Order Details Apr24 - Mar25'!T63</f>
        <v>B V Biocrop, Hitech Division</v>
      </c>
      <c r="E63" s="25"/>
      <c r="F63" s="183" t="str">
        <f>+'Order Details Apr24 - Mar25'!D63</f>
        <v>B-904 (BV Biocrop)</v>
      </c>
      <c r="G63" s="184"/>
      <c r="H63" s="26" t="str">
        <f>+'Order Details Apr24 - Mar25'!G63</f>
        <v>Ltr</v>
      </c>
      <c r="I63" s="27">
        <f>+'Order Details Apr24 - Mar25'!I63</f>
        <v>100</v>
      </c>
      <c r="J63" s="28"/>
      <c r="K63" s="185" t="str">
        <f>+'Order Details Apr24 - Mar25'!R63</f>
        <v>PO / NBF / 040624 / 37</v>
      </c>
      <c r="L63" s="186"/>
      <c r="M63" s="187"/>
      <c r="N63" s="27">
        <f>+'Order Details Apr24 - Mar25'!F63*'Order Details Apr24 - Mar25'!N63</f>
        <v>77242.8</v>
      </c>
      <c r="O63" s="25"/>
      <c r="P63" s="22"/>
      <c r="Q63" s="26"/>
      <c r="R63" s="82">
        <v>7</v>
      </c>
      <c r="S63" s="22">
        <f t="shared" si="0"/>
        <v>7</v>
      </c>
      <c r="T63" s="22"/>
      <c r="U63" s="31"/>
      <c r="V63" s="51"/>
    </row>
    <row r="64" spans="1:22" ht="20.100000000000001" customHeight="1" x14ac:dyDescent="0.3">
      <c r="A64" s="44">
        <v>56</v>
      </c>
      <c r="B64" s="22">
        <f>+'Order Details Apr24 - Mar25'!P64</f>
        <v>45447</v>
      </c>
      <c r="C64" s="23"/>
      <c r="D64" s="53" t="str">
        <f>+'Order Details Apr24 - Mar25'!T64</f>
        <v>Hester Biosciences Limited</v>
      </c>
      <c r="E64" s="25"/>
      <c r="F64" s="183" t="str">
        <f>+'Order Details Apr24 - Mar25'!D64</f>
        <v>INACTIVATED EDS VAC</v>
      </c>
      <c r="G64" s="184"/>
      <c r="H64" s="26" t="str">
        <f>+'Order Details Apr24 - Mar25'!G64</f>
        <v>Dose</v>
      </c>
      <c r="I64" s="27">
        <f>+'Order Details Apr24 - Mar25'!I64</f>
        <v>30000</v>
      </c>
      <c r="J64" s="28"/>
      <c r="K64" s="185" t="str">
        <f>+'Order Details Apr24 - Mar25'!R64</f>
        <v>PO / NBF / 040624 / 38</v>
      </c>
      <c r="L64" s="186"/>
      <c r="M64" s="187"/>
      <c r="N64" s="27">
        <f>+'Order Details Apr24 - Mar25'!F64*'Order Details Apr24 - Mar25'!N64</f>
        <v>36225</v>
      </c>
      <c r="O64" s="25"/>
      <c r="P64" s="22"/>
      <c r="Q64" s="26"/>
      <c r="R64" s="82">
        <v>7</v>
      </c>
      <c r="S64" s="22">
        <f t="shared" si="0"/>
        <v>7</v>
      </c>
      <c r="T64" s="22"/>
      <c r="U64" s="31"/>
      <c r="V64" s="51"/>
    </row>
    <row r="65" spans="1:22" ht="20.100000000000001" customHeight="1" x14ac:dyDescent="0.3">
      <c r="A65" s="44">
        <v>57</v>
      </c>
      <c r="B65" s="22">
        <f>+'Order Details Apr24 - Mar25'!P65</f>
        <v>45447</v>
      </c>
      <c r="C65" s="23"/>
      <c r="D65" s="53" t="str">
        <f>+'Order Details Apr24 - Mar25'!T65</f>
        <v>Hester Biosciences Limited</v>
      </c>
      <c r="E65" s="25"/>
      <c r="F65" s="183" t="str">
        <f>+'Order Details Apr24 - Mar25'!D65</f>
        <v>ILT (G-10000) Live Vaccine</v>
      </c>
      <c r="G65" s="184"/>
      <c r="H65" s="26" t="str">
        <f>+'Order Details Apr24 - Mar25'!G65</f>
        <v>Dose</v>
      </c>
      <c r="I65" s="27">
        <f>+'Order Details Apr24 - Mar25'!I65</f>
        <v>41000</v>
      </c>
      <c r="J65" s="28"/>
      <c r="K65" s="185" t="str">
        <f>+'Order Details Apr24 - Mar25'!R65</f>
        <v>PO / NBF / 040624 / 38</v>
      </c>
      <c r="L65" s="186"/>
      <c r="M65" s="187"/>
      <c r="N65" s="27">
        <f>+'Order Details Apr24 - Mar25'!F65*'Order Details Apr24 - Mar25'!N65</f>
        <v>64575</v>
      </c>
      <c r="O65" s="25"/>
      <c r="P65" s="22"/>
      <c r="Q65" s="26"/>
      <c r="R65" s="82">
        <v>7</v>
      </c>
      <c r="S65" s="22">
        <f t="shared" si="0"/>
        <v>7</v>
      </c>
      <c r="T65" s="22"/>
      <c r="U65" s="31"/>
      <c r="V65" s="51"/>
    </row>
    <row r="66" spans="1:22" ht="20.100000000000001" customHeight="1" x14ac:dyDescent="0.3">
      <c r="A66" s="44">
        <v>58</v>
      </c>
      <c r="B66" s="22">
        <f>+'Order Details Apr24 - Mar25'!P66</f>
        <v>45447</v>
      </c>
      <c r="C66" s="23"/>
      <c r="D66" s="53" t="str">
        <f>+'Order Details Apr24 - Mar25'!T66</f>
        <v>Hester Biosciences Limited</v>
      </c>
      <c r="E66" s="25"/>
      <c r="F66" s="183" t="str">
        <f>+'Order Details Apr24 - Mar25'!D66</f>
        <v>INACTIVATED PULLET(LPAI) VAC</v>
      </c>
      <c r="G66" s="184"/>
      <c r="H66" s="26" t="str">
        <f>+'Order Details Apr24 - Mar25'!G66</f>
        <v>Dose</v>
      </c>
      <c r="I66" s="27">
        <f>+'Order Details Apr24 - Mar25'!I66</f>
        <v>39000</v>
      </c>
      <c r="J66" s="28"/>
      <c r="K66" s="185" t="str">
        <f>+'Order Details Apr24 - Mar25'!R66</f>
        <v>PO / NBF / 040624 / 38</v>
      </c>
      <c r="L66" s="186"/>
      <c r="M66" s="187"/>
      <c r="N66" s="27">
        <f>+'Order Details Apr24 - Mar25'!F66*'Order Details Apr24 - Mar25'!N66</f>
        <v>37925.842499999999</v>
      </c>
      <c r="O66" s="25"/>
      <c r="P66" s="22"/>
      <c r="Q66" s="26"/>
      <c r="R66" s="82">
        <v>7</v>
      </c>
      <c r="S66" s="22">
        <f t="shared" si="0"/>
        <v>7</v>
      </c>
      <c r="T66" s="22"/>
      <c r="U66" s="31"/>
      <c r="V66" s="51"/>
    </row>
    <row r="67" spans="1:22" ht="20.100000000000001" customHeight="1" x14ac:dyDescent="0.3">
      <c r="A67" s="44">
        <v>59</v>
      </c>
      <c r="B67" s="22">
        <f>+'Order Details Apr24 - Mar25'!P67</f>
        <v>45447</v>
      </c>
      <c r="C67" s="23"/>
      <c r="D67" s="53" t="str">
        <f>+'Order Details Apr24 - Mar25'!T67</f>
        <v>Hester Biosciences Limited</v>
      </c>
      <c r="E67" s="25"/>
      <c r="F67" s="183" t="str">
        <f>+'Order Details Apr24 - Mar25'!D67</f>
        <v>INACTIVATED PULLET(HPAI) VAC</v>
      </c>
      <c r="G67" s="184"/>
      <c r="H67" s="26" t="str">
        <f>+'Order Details Apr24 - Mar25'!G67</f>
        <v>Dose</v>
      </c>
      <c r="I67" s="27">
        <f>+'Order Details Apr24 - Mar25'!I67</f>
        <v>109000</v>
      </c>
      <c r="J67" s="28"/>
      <c r="K67" s="185" t="str">
        <f>+'Order Details Apr24 - Mar25'!R67</f>
        <v>PO / NBF / 040624 / 38</v>
      </c>
      <c r="L67" s="186"/>
      <c r="M67" s="187"/>
      <c r="N67" s="27">
        <f>+'Order Details Apr24 - Mar25'!F67*'Order Details Apr24 - Mar25'!N67</f>
        <v>286000.24949999998</v>
      </c>
      <c r="O67" s="25"/>
      <c r="P67" s="22"/>
      <c r="Q67" s="26"/>
      <c r="R67" s="82">
        <v>7</v>
      </c>
      <c r="S67" s="22">
        <f t="shared" si="0"/>
        <v>7</v>
      </c>
      <c r="T67" s="22"/>
      <c r="U67" s="31"/>
      <c r="V67" s="51"/>
    </row>
    <row r="68" spans="1:22" ht="20.100000000000001" customHeight="1" x14ac:dyDescent="0.3">
      <c r="A68" s="44">
        <v>60</v>
      </c>
      <c r="B68" s="22">
        <f>+'Order Details Apr24 - Mar25'!P68</f>
        <v>45447</v>
      </c>
      <c r="C68" s="23"/>
      <c r="D68" s="53" t="str">
        <f>+'Order Details Apr24 - Mar25'!T68</f>
        <v>Venkateshwara Hatcheries Ltd</v>
      </c>
      <c r="E68" s="25"/>
      <c r="F68" s="183" t="str">
        <f>+'Order Details Apr24 - Mar25'!D68</f>
        <v>AE KILLED VAC</v>
      </c>
      <c r="G68" s="184"/>
      <c r="H68" s="26" t="str">
        <f>+'Order Details Apr24 - Mar25'!G68</f>
        <v>Dose</v>
      </c>
      <c r="I68" s="27">
        <f>+'Order Details Apr24 - Mar25'!I68</f>
        <v>81000</v>
      </c>
      <c r="J68" s="28"/>
      <c r="K68" s="185" t="str">
        <f>+'Order Details Apr24 - Mar25'!R68</f>
        <v>PO / NBF / 040624 / 39</v>
      </c>
      <c r="L68" s="186"/>
      <c r="M68" s="187"/>
      <c r="N68" s="27">
        <f>+'Order Details Apr24 - Mar25'!F68*'Order Details Apr24 - Mar25'!N68</f>
        <v>169674.75</v>
      </c>
      <c r="O68" s="25"/>
      <c r="P68" s="22"/>
      <c r="Q68" s="26"/>
      <c r="R68" s="82">
        <v>7</v>
      </c>
      <c r="S68" s="22">
        <f t="shared" si="0"/>
        <v>7</v>
      </c>
      <c r="T68" s="22"/>
      <c r="U68" s="31"/>
      <c r="V68" s="51"/>
    </row>
    <row r="69" spans="1:22" ht="20.100000000000001" customHeight="1" x14ac:dyDescent="0.3">
      <c r="A69" s="44">
        <v>61</v>
      </c>
      <c r="B69" s="22">
        <f>+'Order Details Apr24 - Mar25'!P69</f>
        <v>45447</v>
      </c>
      <c r="C69" s="23"/>
      <c r="D69" s="53" t="str">
        <f>+'Order Details Apr24 - Mar25'!T69</f>
        <v>Venkateshwara Hatcheries Ltd</v>
      </c>
      <c r="E69" s="25"/>
      <c r="F69" s="183" t="str">
        <f>+'Order Details Apr24 - Mar25'!D69</f>
        <v>IB ASTRO (AEIBH) KILLED VAC</v>
      </c>
      <c r="G69" s="184"/>
      <c r="H69" s="26" t="str">
        <f>+'Order Details Apr24 - Mar25'!G69</f>
        <v>Dose</v>
      </c>
      <c r="I69" s="27">
        <f>+'Order Details Apr24 - Mar25'!I69</f>
        <v>79000</v>
      </c>
      <c r="J69" s="28"/>
      <c r="K69" s="185" t="str">
        <f>+'Order Details Apr24 - Mar25'!R69</f>
        <v>PO / NBF / 040624 / 39</v>
      </c>
      <c r="L69" s="186"/>
      <c r="M69" s="187"/>
      <c r="N69" s="27">
        <f>+'Order Details Apr24 - Mar25'!F69*'Order Details Apr24 - Mar25'!N69</f>
        <v>270002.25</v>
      </c>
      <c r="O69" s="25"/>
      <c r="P69" s="22"/>
      <c r="Q69" s="26"/>
      <c r="R69" s="82">
        <v>7</v>
      </c>
      <c r="S69" s="22">
        <f t="shared" si="0"/>
        <v>7</v>
      </c>
      <c r="T69" s="22"/>
      <c r="U69" s="31"/>
      <c r="V69" s="51"/>
    </row>
    <row r="70" spans="1:22" ht="20.100000000000001" customHeight="1" x14ac:dyDescent="0.3">
      <c r="A70" s="44">
        <v>62</v>
      </c>
      <c r="B70" s="22">
        <f>+'Order Details Apr24 - Mar25'!P70</f>
        <v>45447</v>
      </c>
      <c r="C70" s="23"/>
      <c r="D70" s="53" t="str">
        <f>+'Order Details Apr24 - Mar25'!T70</f>
        <v>Venkateshwara Hatcheries Ltd</v>
      </c>
      <c r="E70" s="25"/>
      <c r="F70" s="183" t="str">
        <f>+'Order Details Apr24 - Mar25'!D70</f>
        <v>IBD KILLED VAC</v>
      </c>
      <c r="G70" s="184"/>
      <c r="H70" s="26" t="str">
        <f>+'Order Details Apr24 - Mar25'!G70</f>
        <v>Dose</v>
      </c>
      <c r="I70" s="27">
        <f>+'Order Details Apr24 - Mar25'!I70</f>
        <v>41000</v>
      </c>
      <c r="J70" s="28"/>
      <c r="K70" s="185" t="str">
        <f>+'Order Details Apr24 - Mar25'!R70</f>
        <v>PO / NBF / 040624 / 39</v>
      </c>
      <c r="L70" s="186"/>
      <c r="M70" s="187"/>
      <c r="N70" s="27">
        <f>+'Order Details Apr24 - Mar25'!F70*'Order Details Apr24 - Mar25'!N70</f>
        <v>38572.799999999996</v>
      </c>
      <c r="O70" s="25"/>
      <c r="P70" s="22"/>
      <c r="Q70" s="26"/>
      <c r="R70" s="82">
        <v>7</v>
      </c>
      <c r="S70" s="22">
        <f t="shared" si="0"/>
        <v>7</v>
      </c>
      <c r="T70" s="22"/>
      <c r="U70" s="31"/>
      <c r="V70" s="51"/>
    </row>
    <row r="71" spans="1:22" ht="20.100000000000001" customHeight="1" x14ac:dyDescent="0.3">
      <c r="A71" s="44">
        <v>63</v>
      </c>
      <c r="B71" s="22">
        <f>+'Order Details Apr24 - Mar25'!P71</f>
        <v>45447</v>
      </c>
      <c r="C71" s="23"/>
      <c r="D71" s="53" t="str">
        <f>+'Order Details Apr24 - Mar25'!T71</f>
        <v>Venkateshwara Hatcheries Ltd</v>
      </c>
      <c r="E71" s="25"/>
      <c r="F71" s="183" t="str">
        <f>+'Order Details Apr24 - Mar25'!D71</f>
        <v>IBH KILLED VAC</v>
      </c>
      <c r="G71" s="184"/>
      <c r="H71" s="26" t="str">
        <f>+'Order Details Apr24 - Mar25'!G71</f>
        <v>Dose</v>
      </c>
      <c r="I71" s="27">
        <f>+'Order Details Apr24 - Mar25'!I71</f>
        <v>36000</v>
      </c>
      <c r="J71" s="28"/>
      <c r="K71" s="185" t="str">
        <f>+'Order Details Apr24 - Mar25'!R71</f>
        <v>PO / NBF / 040624 / 39</v>
      </c>
      <c r="L71" s="186"/>
      <c r="M71" s="187"/>
      <c r="N71" s="27">
        <f>+'Order Details Apr24 - Mar25'!F71*'Order Details Apr24 - Mar25'!N71</f>
        <v>59535</v>
      </c>
      <c r="O71" s="25"/>
      <c r="P71" s="22"/>
      <c r="Q71" s="26"/>
      <c r="R71" s="82">
        <v>7</v>
      </c>
      <c r="S71" s="22">
        <f t="shared" si="0"/>
        <v>7</v>
      </c>
      <c r="T71" s="22"/>
      <c r="U71" s="31"/>
      <c r="V71" s="51"/>
    </row>
    <row r="72" spans="1:22" ht="20.100000000000001" customHeight="1" x14ac:dyDescent="0.3">
      <c r="A72" s="44">
        <v>64</v>
      </c>
      <c r="B72" s="22">
        <f>+'Order Details Apr24 - Mar25'!P72</f>
        <v>45447</v>
      </c>
      <c r="C72" s="23"/>
      <c r="D72" s="53" t="str">
        <f>+'Order Details Apr24 - Mar25'!T72</f>
        <v>Venkateshwara Hatcheries Ltd</v>
      </c>
      <c r="E72" s="25"/>
      <c r="F72" s="183" t="str">
        <f>+'Order Details Apr24 - Mar25'!D72</f>
        <v>ND+IBD KILLED VAC</v>
      </c>
      <c r="G72" s="184"/>
      <c r="H72" s="26" t="str">
        <f>+'Order Details Apr24 - Mar25'!G72</f>
        <v>Dose</v>
      </c>
      <c r="I72" s="27">
        <f>+'Order Details Apr24 - Mar25'!I72</f>
        <v>40000</v>
      </c>
      <c r="J72" s="28"/>
      <c r="K72" s="185" t="str">
        <f>+'Order Details Apr24 - Mar25'!R72</f>
        <v>PO / NBF / 040624 / 39</v>
      </c>
      <c r="L72" s="186"/>
      <c r="M72" s="187"/>
      <c r="N72" s="27">
        <f>+'Order Details Apr24 - Mar25'!F72*'Order Details Apr24 - Mar25'!N72</f>
        <v>114660</v>
      </c>
      <c r="O72" s="25"/>
      <c r="P72" s="22"/>
      <c r="Q72" s="26"/>
      <c r="R72" s="82">
        <v>7</v>
      </c>
      <c r="S72" s="22">
        <f t="shared" si="0"/>
        <v>7</v>
      </c>
      <c r="T72" s="22"/>
      <c r="U72" s="31"/>
      <c r="V72" s="51"/>
    </row>
    <row r="73" spans="1:22" ht="20.100000000000001" customHeight="1" x14ac:dyDescent="0.3">
      <c r="A73" s="44">
        <v>65</v>
      </c>
      <c r="B73" s="22">
        <f>+'Order Details Apr24 - Mar25'!P73</f>
        <v>45447</v>
      </c>
      <c r="C73" s="23"/>
      <c r="D73" s="53" t="str">
        <f>+'Order Details Apr24 - Mar25'!T73</f>
        <v>Venkateshwara Hatcheries Ltd</v>
      </c>
      <c r="E73" s="25"/>
      <c r="F73" s="183" t="str">
        <f>+'Order Details Apr24 - Mar25'!D73</f>
        <v>REO KILLED VAC</v>
      </c>
      <c r="G73" s="184"/>
      <c r="H73" s="26" t="str">
        <f>+'Order Details Apr24 - Mar25'!G73</f>
        <v>Dose</v>
      </c>
      <c r="I73" s="27">
        <f>+'Order Details Apr24 - Mar25'!I73</f>
        <v>41000</v>
      </c>
      <c r="J73" s="28"/>
      <c r="K73" s="185" t="str">
        <f>+'Order Details Apr24 - Mar25'!R73</f>
        <v>PO / NBF / 040624 / 39</v>
      </c>
      <c r="L73" s="186"/>
      <c r="M73" s="187"/>
      <c r="N73" s="27">
        <f>+'Order Details Apr24 - Mar25'!F73*'Order Details Apr24 - Mar25'!N73</f>
        <v>87004.05</v>
      </c>
      <c r="O73" s="25"/>
      <c r="P73" s="22"/>
      <c r="Q73" s="26"/>
      <c r="R73" s="82">
        <v>7</v>
      </c>
      <c r="S73" s="22">
        <f t="shared" si="0"/>
        <v>7</v>
      </c>
      <c r="T73" s="22"/>
      <c r="U73" s="31"/>
      <c r="V73" s="51"/>
    </row>
    <row r="74" spans="1:22" ht="20.100000000000001" customHeight="1" x14ac:dyDescent="0.3">
      <c r="A74" s="44">
        <v>66</v>
      </c>
      <c r="B74" s="22">
        <f>+'Order Details Apr24 - Mar25'!P74</f>
        <v>45447</v>
      </c>
      <c r="C74" s="23"/>
      <c r="D74" s="53" t="str">
        <f>+'Order Details Apr24 - Mar25'!T74</f>
        <v>Venkateshwara Hatcheries Ltd</v>
      </c>
      <c r="E74" s="25"/>
      <c r="F74" s="183" t="str">
        <f>+'Order Details Apr24 - Mar25'!D74</f>
        <v>SALMONELLA KILLED VAC</v>
      </c>
      <c r="G74" s="184"/>
      <c r="H74" s="26" t="str">
        <f>+'Order Details Apr24 - Mar25'!G74</f>
        <v>Dose</v>
      </c>
      <c r="I74" s="27">
        <f>+'Order Details Apr24 - Mar25'!I74</f>
        <v>40000</v>
      </c>
      <c r="J74" s="28"/>
      <c r="K74" s="185" t="str">
        <f>+'Order Details Apr24 - Mar25'!R74</f>
        <v>PO / NBF / 040624 / 39</v>
      </c>
      <c r="L74" s="186"/>
      <c r="M74" s="187"/>
      <c r="N74" s="27">
        <f>+'Order Details Apr24 - Mar25'!F74*'Order Details Apr24 - Mar25'!N74</f>
        <v>119070</v>
      </c>
      <c r="O74" s="25"/>
      <c r="P74" s="22"/>
      <c r="Q74" s="26"/>
      <c r="R74" s="82">
        <v>7</v>
      </c>
      <c r="S74" s="22">
        <f t="shared" ref="S74:S137" si="1">P74+R74</f>
        <v>7</v>
      </c>
      <c r="T74" s="22"/>
      <c r="U74" s="31"/>
      <c r="V74" s="51"/>
    </row>
    <row r="75" spans="1:22" ht="20.100000000000001" customHeight="1" x14ac:dyDescent="0.3">
      <c r="A75" s="44">
        <v>67</v>
      </c>
      <c r="B75" s="22">
        <f>+'Order Details Apr24 - Mar25'!P75</f>
        <v>45447</v>
      </c>
      <c r="C75" s="23"/>
      <c r="D75" s="53" t="str">
        <f>+'Order Details Apr24 - Mar25'!T75</f>
        <v>Venkateshwara Hatcheries Ltd</v>
      </c>
      <c r="E75" s="25"/>
      <c r="F75" s="183" t="str">
        <f>+'Order Details Apr24 - Mar25'!D75</f>
        <v xml:space="preserve">VH V- 4K (4way) KILLED VAC </v>
      </c>
      <c r="G75" s="184"/>
      <c r="H75" s="26" t="str">
        <f>+'Order Details Apr24 - Mar25'!G75</f>
        <v>Dose</v>
      </c>
      <c r="I75" s="27">
        <f>+'Order Details Apr24 - Mar25'!I75</f>
        <v>34000</v>
      </c>
      <c r="J75" s="28"/>
      <c r="K75" s="185" t="str">
        <f>+'Order Details Apr24 - Mar25'!R75</f>
        <v>PO / NBF / 040624 / 39</v>
      </c>
      <c r="L75" s="186"/>
      <c r="M75" s="187"/>
      <c r="N75" s="27">
        <f>+'Order Details Apr24 - Mar25'!F75*'Order Details Apr24 - Mar25'!N75</f>
        <v>187425</v>
      </c>
      <c r="O75" s="25"/>
      <c r="P75" s="22"/>
      <c r="Q75" s="26"/>
      <c r="R75" s="82">
        <v>7</v>
      </c>
      <c r="S75" s="22">
        <f t="shared" si="1"/>
        <v>7</v>
      </c>
      <c r="T75" s="22"/>
      <c r="U75" s="31"/>
      <c r="V75" s="51"/>
    </row>
    <row r="76" spans="1:22" ht="20.100000000000001" customHeight="1" x14ac:dyDescent="0.3">
      <c r="A76" s="44">
        <v>68</v>
      </c>
      <c r="B76" s="22">
        <f>+'Order Details Apr24 - Mar25'!P76</f>
        <v>45451</v>
      </c>
      <c r="C76" s="23"/>
      <c r="D76" s="53" t="str">
        <f>+'Order Details Apr24 - Mar25'!T76</f>
        <v>Mitra Agencies Hyderabad</v>
      </c>
      <c r="E76" s="25"/>
      <c r="F76" s="183" t="str">
        <f>+'Order Details Apr24 - Mar25'!D76</f>
        <v>SHARKOFERROL-P (Alembic)</v>
      </c>
      <c r="G76" s="184"/>
      <c r="H76" s="26" t="str">
        <f>+'Order Details Apr24 - Mar25'!G76</f>
        <v>Kg</v>
      </c>
      <c r="I76" s="27">
        <f>+'Order Details Apr24 - Mar25'!I76</f>
        <v>100</v>
      </c>
      <c r="J76" s="28"/>
      <c r="K76" s="185" t="str">
        <f>+'Order Details Apr24 - Mar25'!R76</f>
        <v>PO / NBF / 080624 / 40</v>
      </c>
      <c r="L76" s="186"/>
      <c r="M76" s="187"/>
      <c r="N76" s="27">
        <f>+'Order Details Apr24 - Mar25'!F76*'Order Details Apr24 - Mar25'!N76</f>
        <v>22500</v>
      </c>
      <c r="O76" s="25"/>
      <c r="P76" s="22"/>
      <c r="Q76" s="26"/>
      <c r="R76" s="82">
        <v>10</v>
      </c>
      <c r="S76" s="22">
        <f t="shared" si="1"/>
        <v>10</v>
      </c>
      <c r="T76" s="22"/>
      <c r="U76" s="31"/>
      <c r="V76" s="51"/>
    </row>
    <row r="77" spans="1:22" ht="20.100000000000001" customHeight="1" x14ac:dyDescent="0.3">
      <c r="A77" s="44">
        <v>69</v>
      </c>
      <c r="B77" s="22">
        <f>+'Order Details Apr24 - Mar25'!P77</f>
        <v>45453</v>
      </c>
      <c r="C77" s="23"/>
      <c r="D77" s="53" t="str">
        <f>+'Order Details Apr24 - Mar25'!T77</f>
        <v>Das Drug Centre Pvt Ltd, Habra</v>
      </c>
      <c r="E77" s="25"/>
      <c r="F77" s="183" t="str">
        <f>+'Order Details Apr24 - Mar25'!D77</f>
        <v>PHYTOCEE (Natural Remedies)</v>
      </c>
      <c r="G77" s="184"/>
      <c r="H77" s="26" t="str">
        <f>+'Order Details Apr24 - Mar25'!G77</f>
        <v>Kg</v>
      </c>
      <c r="I77" s="27">
        <f>+'Order Details Apr24 - Mar25'!I77</f>
        <v>500</v>
      </c>
      <c r="J77" s="28"/>
      <c r="K77" s="185" t="str">
        <f>+'Order Details Apr24 - Mar25'!R77</f>
        <v>PO / NBF / 100624 / 41</v>
      </c>
      <c r="L77" s="186"/>
      <c r="M77" s="187"/>
      <c r="N77" s="27">
        <f>+'Order Details Apr24 - Mar25'!F77*'Order Details Apr24 - Mar25'!N77</f>
        <v>97000</v>
      </c>
      <c r="O77" s="25"/>
      <c r="P77" s="22"/>
      <c r="Q77" s="26"/>
      <c r="R77" s="82">
        <v>45</v>
      </c>
      <c r="S77" s="22">
        <f t="shared" si="1"/>
        <v>45</v>
      </c>
      <c r="T77" s="22"/>
      <c r="U77" s="31"/>
      <c r="V77" s="51"/>
    </row>
    <row r="78" spans="1:22" ht="20.100000000000001" customHeight="1" x14ac:dyDescent="0.3">
      <c r="A78" s="44">
        <v>70</v>
      </c>
      <c r="B78" s="22">
        <f>+'Order Details Apr24 - Mar25'!P78</f>
        <v>45453</v>
      </c>
      <c r="C78" s="23"/>
      <c r="D78" s="53" t="str">
        <f>+'Order Details Apr24 - Mar25'!T78</f>
        <v>Huvepharma Sea Pune Pvt Ltd</v>
      </c>
      <c r="E78" s="25"/>
      <c r="F78" s="183" t="str">
        <f>+'Order Details Apr24 - Mar25'!D78</f>
        <v>BIO - D 100 (Huvepharma)</v>
      </c>
      <c r="G78" s="184"/>
      <c r="H78" s="26" t="str">
        <f>+'Order Details Apr24 - Mar25'!G78</f>
        <v>Kg</v>
      </c>
      <c r="I78" s="27">
        <f>+'Order Details Apr24 - Mar25'!I78</f>
        <v>200</v>
      </c>
      <c r="J78" s="28"/>
      <c r="K78" s="185" t="str">
        <f>+'Order Details Apr24 - Mar25'!R78</f>
        <v>PO / NBF / 100624 / 42</v>
      </c>
      <c r="L78" s="186"/>
      <c r="M78" s="187"/>
      <c r="N78" s="27">
        <f>+'Order Details Apr24 - Mar25'!F78*'Order Details Apr24 - Mar25'!N78</f>
        <v>310000</v>
      </c>
      <c r="O78" s="25"/>
      <c r="P78" s="22"/>
      <c r="Q78" s="26"/>
      <c r="R78" s="82">
        <v>7</v>
      </c>
      <c r="S78" s="22">
        <f t="shared" si="1"/>
        <v>7</v>
      </c>
      <c r="T78" s="22"/>
      <c r="U78" s="31"/>
      <c r="V78" s="51"/>
    </row>
    <row r="79" spans="1:22" ht="20.100000000000001" customHeight="1" x14ac:dyDescent="0.3">
      <c r="A79" s="44">
        <v>71</v>
      </c>
      <c r="B79" s="22">
        <f>+'Order Details Apr24 - Mar25'!P79</f>
        <v>45458</v>
      </c>
      <c r="C79" s="23"/>
      <c r="D79" s="53" t="str">
        <f>+'Order Details Apr24 - Mar25'!T79</f>
        <v>Alivira Animal Health Ltd Mumbai</v>
      </c>
      <c r="E79" s="25"/>
      <c r="F79" s="183" t="str">
        <f>+'Order Details Apr24 - Mar25'!D79</f>
        <v>ALVIBAC - MD (Alivira)</v>
      </c>
      <c r="G79" s="184"/>
      <c r="H79" s="26" t="str">
        <f>+'Order Details Apr24 - Mar25'!G79</f>
        <v>Kg</v>
      </c>
      <c r="I79" s="27">
        <f>+'Order Details Apr24 - Mar25'!I79</f>
        <v>200</v>
      </c>
      <c r="J79" s="28"/>
      <c r="K79" s="185" t="str">
        <f>+'Order Details Apr24 - Mar25'!R79</f>
        <v>PO / NBF / 150624 / 43</v>
      </c>
      <c r="L79" s="186"/>
      <c r="M79" s="187"/>
      <c r="N79" s="27">
        <f>+'Order Details Apr24 - Mar25'!F79*'Order Details Apr24 - Mar25'!N79</f>
        <v>50000</v>
      </c>
      <c r="O79" s="25"/>
      <c r="P79" s="22"/>
      <c r="Q79" s="26"/>
      <c r="R79" s="82">
        <v>45</v>
      </c>
      <c r="S79" s="22">
        <f t="shared" si="1"/>
        <v>45</v>
      </c>
      <c r="T79" s="22"/>
      <c r="U79" s="31"/>
      <c r="V79" s="51"/>
    </row>
    <row r="80" spans="1:22" ht="20.100000000000001" customHeight="1" x14ac:dyDescent="0.3">
      <c r="A80" s="44">
        <v>72</v>
      </c>
      <c r="B80" s="22">
        <f>+'Order Details Apr24 - Mar25'!P80</f>
        <v>45458</v>
      </c>
      <c r="C80" s="23"/>
      <c r="D80" s="53" t="str">
        <f>+'Order Details Apr24 - Mar25'!T80</f>
        <v>Alivira Animal Health Ltd Mumbai</v>
      </c>
      <c r="E80" s="25"/>
      <c r="F80" s="183" t="str">
        <f>+'Order Details Apr24 - Mar25'!D80</f>
        <v>CITRINAL (Alivira)</v>
      </c>
      <c r="G80" s="184"/>
      <c r="H80" s="26" t="str">
        <f>+'Order Details Apr24 - Mar25'!G80</f>
        <v>Kg</v>
      </c>
      <c r="I80" s="27">
        <f>+'Order Details Apr24 - Mar25'!I80</f>
        <v>500</v>
      </c>
      <c r="J80" s="28"/>
      <c r="K80" s="185" t="str">
        <f>+'Order Details Apr24 - Mar25'!R80</f>
        <v>PO / NBF / 150624 / 43</v>
      </c>
      <c r="L80" s="186"/>
      <c r="M80" s="187"/>
      <c r="N80" s="27">
        <f>+'Order Details Apr24 - Mar25'!F80*'Order Details Apr24 - Mar25'!N80</f>
        <v>75000</v>
      </c>
      <c r="O80" s="25"/>
      <c r="P80" s="22"/>
      <c r="Q80" s="26"/>
      <c r="R80" s="82">
        <v>45</v>
      </c>
      <c r="S80" s="22">
        <f t="shared" si="1"/>
        <v>45</v>
      </c>
      <c r="T80" s="22"/>
      <c r="U80" s="31"/>
      <c r="V80" s="51"/>
    </row>
    <row r="81" spans="1:22" ht="20.100000000000001" customHeight="1" x14ac:dyDescent="0.3">
      <c r="A81" s="44">
        <v>73</v>
      </c>
      <c r="B81" s="22">
        <f>+'Order Details Apr24 - Mar25'!P81</f>
        <v>45458</v>
      </c>
      <c r="C81" s="23"/>
      <c r="D81" s="53" t="str">
        <f>+'Order Details Apr24 - Mar25'!T81</f>
        <v>Ves Spa, Barasat, West Bengal</v>
      </c>
      <c r="E81" s="25"/>
      <c r="F81" s="183" t="str">
        <f>+'Order Details Apr24 - Mar25'!D81</f>
        <v>VES CHOL 60% (Vesper)</v>
      </c>
      <c r="G81" s="184"/>
      <c r="H81" s="26" t="str">
        <f>+'Order Details Apr24 - Mar25'!G81</f>
        <v>Kg</v>
      </c>
      <c r="I81" s="27">
        <f>+'Order Details Apr24 - Mar25'!I81</f>
        <v>1000</v>
      </c>
      <c r="J81" s="28"/>
      <c r="K81" s="185" t="str">
        <f>+'Order Details Apr24 - Mar25'!R81</f>
        <v>PO / NBF / 150624 / 44</v>
      </c>
      <c r="L81" s="186"/>
      <c r="M81" s="187"/>
      <c r="N81" s="27">
        <f>+'Order Details Apr24 - Mar25'!F81*'Order Details Apr24 - Mar25'!N81</f>
        <v>90000</v>
      </c>
      <c r="O81" s="25"/>
      <c r="P81" s="22"/>
      <c r="Q81" s="26"/>
      <c r="R81" s="82">
        <v>45</v>
      </c>
      <c r="S81" s="22">
        <f t="shared" si="1"/>
        <v>45</v>
      </c>
      <c r="T81" s="22"/>
      <c r="U81" s="31"/>
      <c r="V81" s="51"/>
    </row>
    <row r="82" spans="1:22" ht="20.100000000000001" customHeight="1" x14ac:dyDescent="0.3">
      <c r="A82" s="44">
        <v>74</v>
      </c>
      <c r="B82" s="22">
        <f>+'Order Details Apr24 - Mar25'!P82</f>
        <v>45462</v>
      </c>
      <c r="C82" s="23"/>
      <c r="D82" s="53" t="str">
        <f>+'Order Details Apr24 - Mar25'!T82</f>
        <v>Gitaa Medical Enterprise, Bengal</v>
      </c>
      <c r="E82" s="25"/>
      <c r="F82" s="183" t="str">
        <f>+'Order Details Apr24 - Mar25'!D82</f>
        <v>PROMIX-Y PLUS (Alembic)</v>
      </c>
      <c r="G82" s="184"/>
      <c r="H82" s="26" t="str">
        <f>+'Order Details Apr24 - Mar25'!G82</f>
        <v>Kg</v>
      </c>
      <c r="I82" s="27">
        <f>+'Order Details Apr24 - Mar25'!I82</f>
        <v>40</v>
      </c>
      <c r="J82" s="28"/>
      <c r="K82" s="185" t="str">
        <f>+'Order Details Apr24 - Mar25'!R82</f>
        <v>PO / NBF / 190624 / 45</v>
      </c>
      <c r="L82" s="186"/>
      <c r="M82" s="187"/>
      <c r="N82" s="27">
        <f>+'Order Details Apr24 - Mar25'!F82*'Order Details Apr24 - Mar25'!N82</f>
        <v>36000</v>
      </c>
      <c r="O82" s="25"/>
      <c r="P82" s="22"/>
      <c r="Q82" s="26"/>
      <c r="R82" s="82">
        <v>45</v>
      </c>
      <c r="S82" s="22">
        <f t="shared" si="1"/>
        <v>45</v>
      </c>
      <c r="T82" s="22"/>
      <c r="U82" s="31"/>
      <c r="V82" s="51"/>
    </row>
    <row r="83" spans="1:22" ht="20.100000000000001" customHeight="1" x14ac:dyDescent="0.3">
      <c r="A83" s="44">
        <v>75</v>
      </c>
      <c r="B83" s="22">
        <f>+'Order Details Apr24 - Mar25'!P83</f>
        <v>45462</v>
      </c>
      <c r="C83" s="23"/>
      <c r="D83" s="53" t="str">
        <f>+'Order Details Apr24 - Mar25'!T83</f>
        <v>Das Drug Centre Pvt Ltd, Habra</v>
      </c>
      <c r="E83" s="25"/>
      <c r="F83" s="183" t="str">
        <f>+'Order Details Apr24 - Mar25'!D83</f>
        <v>HIMFLORA (Himalaya)</v>
      </c>
      <c r="G83" s="184"/>
      <c r="H83" s="26" t="str">
        <f>+'Order Details Apr24 - Mar25'!G83</f>
        <v>kg</v>
      </c>
      <c r="I83" s="27">
        <f>+'Order Details Apr24 - Mar25'!I83</f>
        <v>300</v>
      </c>
      <c r="J83" s="28"/>
      <c r="K83" s="185" t="str">
        <f>+'Order Details Apr24 - Mar25'!R83</f>
        <v>PO / NBF / 190624 / 46</v>
      </c>
      <c r="L83" s="186"/>
      <c r="M83" s="187"/>
      <c r="N83" s="27">
        <f>+'Order Details Apr24 - Mar25'!F83*'Order Details Apr24 - Mar25'!N83</f>
        <v>172500</v>
      </c>
      <c r="O83" s="25"/>
      <c r="P83" s="22"/>
      <c r="Q83" s="26"/>
      <c r="R83" s="82">
        <v>45</v>
      </c>
      <c r="S83" s="22">
        <f t="shared" si="1"/>
        <v>45</v>
      </c>
      <c r="T83" s="22"/>
      <c r="U83" s="31"/>
      <c r="V83" s="51"/>
    </row>
    <row r="84" spans="1:22" ht="20.100000000000001" customHeight="1" x14ac:dyDescent="0.3">
      <c r="A84" s="44">
        <v>76</v>
      </c>
      <c r="B84" s="22">
        <f>+'Order Details Apr24 - Mar25'!P84</f>
        <v>45464</v>
      </c>
      <c r="C84" s="23"/>
      <c r="D84" s="53" t="str">
        <f>+'Order Details Apr24 - Mar25'!T84</f>
        <v>Tara Enterprises Hyderabad</v>
      </c>
      <c r="E84" s="25"/>
      <c r="F84" s="183" t="str">
        <f>+'Order Details Apr24 - Mar25'!D84</f>
        <v>Hipraviar Clon 79 (Hipra)</v>
      </c>
      <c r="G84" s="184"/>
      <c r="H84" s="26" t="str">
        <f>+'Order Details Apr24 - Mar25'!G84</f>
        <v>Dose</v>
      </c>
      <c r="I84" s="27">
        <f>+'Order Details Apr24 - Mar25'!I84</f>
        <v>75000</v>
      </c>
      <c r="J84" s="28"/>
      <c r="K84" s="185" t="str">
        <f>+'Order Details Apr24 - Mar25'!R84</f>
        <v>PO / NBF / 210624 / 47</v>
      </c>
      <c r="L84" s="186"/>
      <c r="M84" s="187"/>
      <c r="N84" s="27">
        <f>+'Order Details Apr24 - Mar25'!F84*'Order Details Apr24 - Mar25'!N84</f>
        <v>9324</v>
      </c>
      <c r="O84" s="25"/>
      <c r="P84" s="22"/>
      <c r="Q84" s="26"/>
      <c r="R84" s="82">
        <v>45</v>
      </c>
      <c r="S84" s="22">
        <f t="shared" si="1"/>
        <v>45</v>
      </c>
      <c r="T84" s="22"/>
      <c r="U84" s="31"/>
      <c r="V84" s="51"/>
    </row>
    <row r="85" spans="1:22" ht="20.100000000000001" customHeight="1" x14ac:dyDescent="0.3">
      <c r="A85" s="44">
        <v>77</v>
      </c>
      <c r="B85" s="22">
        <f>+'Order Details Apr24 - Mar25'!P85</f>
        <v>45468</v>
      </c>
      <c r="C85" s="23"/>
      <c r="D85" s="53" t="str">
        <f>+'Order Details Apr24 - Mar25'!T85</f>
        <v>Das Drug Centre Pvt Ltd, Habra</v>
      </c>
      <c r="E85" s="25"/>
      <c r="F85" s="183" t="str">
        <f>+'Order Details Apr24 - Mar25'!D85</f>
        <v>CADLIV (Zenex-AH)</v>
      </c>
      <c r="G85" s="184"/>
      <c r="H85" s="26" t="str">
        <f>+'Order Details Apr24 - Mar25'!G85</f>
        <v>Ltr</v>
      </c>
      <c r="I85" s="27">
        <f>+'Order Details Apr24 - Mar25'!I85</f>
        <v>120</v>
      </c>
      <c r="J85" s="28"/>
      <c r="K85" s="185" t="str">
        <f>+'Order Details Apr24 - Mar25'!R85</f>
        <v>PO / NBF / 250624 / 48</v>
      </c>
      <c r="L85" s="186"/>
      <c r="M85" s="187"/>
      <c r="N85" s="27">
        <f>+'Order Details Apr24 - Mar25'!F85*'Order Details Apr24 - Mar25'!N85</f>
        <v>24240</v>
      </c>
      <c r="O85" s="25"/>
      <c r="P85" s="22"/>
      <c r="Q85" s="26"/>
      <c r="R85" s="82">
        <v>45</v>
      </c>
      <c r="S85" s="22">
        <f t="shared" si="1"/>
        <v>45</v>
      </c>
      <c r="T85" s="22"/>
      <c r="U85" s="31"/>
      <c r="V85" s="51"/>
    </row>
    <row r="86" spans="1:22" ht="20.100000000000001" customHeight="1" x14ac:dyDescent="0.3">
      <c r="A86" s="44">
        <v>78</v>
      </c>
      <c r="B86" s="22">
        <f>+'Order Details Apr24 - Mar25'!P86</f>
        <v>45468</v>
      </c>
      <c r="C86" s="23"/>
      <c r="D86" s="53" t="str">
        <f>+'Order Details Apr24 - Mar25'!T86</f>
        <v>PP &amp; B Mart Pvt Ltd, Habra, Bengal</v>
      </c>
      <c r="E86" s="25"/>
      <c r="F86" s="183" t="str">
        <f>+'Order Details Apr24 - Mar25'!D86</f>
        <v>MASTERSORB (EW Nutrition)</v>
      </c>
      <c r="G86" s="184"/>
      <c r="H86" s="26" t="str">
        <f>+'Order Details Apr24 - Mar25'!G86</f>
        <v>Kg</v>
      </c>
      <c r="I86" s="27">
        <f>+'Order Details Apr24 - Mar25'!I86</f>
        <v>500</v>
      </c>
      <c r="J86" s="28"/>
      <c r="K86" s="185" t="str">
        <f>+'Order Details Apr24 - Mar25'!R86</f>
        <v>PO / NBF / 250624 / 49</v>
      </c>
      <c r="L86" s="186"/>
      <c r="M86" s="187"/>
      <c r="N86" s="27">
        <f>+'Order Details Apr24 - Mar25'!F86*'Order Details Apr24 - Mar25'!N86</f>
        <v>64000</v>
      </c>
      <c r="O86" s="25"/>
      <c r="P86" s="22"/>
      <c r="Q86" s="26"/>
      <c r="R86" s="82">
        <v>45</v>
      </c>
      <c r="S86" s="22">
        <f t="shared" si="1"/>
        <v>45</v>
      </c>
      <c r="T86" s="22"/>
      <c r="U86" s="31"/>
      <c r="V86" s="51"/>
    </row>
    <row r="87" spans="1:22" ht="20.100000000000001" customHeight="1" x14ac:dyDescent="0.3">
      <c r="A87" s="44">
        <v>79</v>
      </c>
      <c r="B87" s="22">
        <f>+'Order Details Apr24 - Mar25'!P87</f>
        <v>45468</v>
      </c>
      <c r="C87" s="23"/>
      <c r="D87" s="53" t="str">
        <f>+'Order Details Apr24 - Mar25'!T87</f>
        <v>Sai Kiran Medical Agencies HYD</v>
      </c>
      <c r="E87" s="25"/>
      <c r="F87" s="183" t="str">
        <f>+'Order Details Apr24 - Mar25'!D87</f>
        <v>SALCOCHEK (Ayurvet)</v>
      </c>
      <c r="G87" s="184"/>
      <c r="H87" s="26" t="str">
        <f>+'Order Details Apr24 - Mar25'!G87</f>
        <v>Kg</v>
      </c>
      <c r="I87" s="27">
        <f>+'Order Details Apr24 - Mar25'!I87</f>
        <v>500</v>
      </c>
      <c r="J87" s="28"/>
      <c r="K87" s="185" t="str">
        <f>+'Order Details Apr24 - Mar25'!R87</f>
        <v>PO / NBF / 250624 / 50</v>
      </c>
      <c r="L87" s="186"/>
      <c r="M87" s="187"/>
      <c r="N87" s="27">
        <f>+'Order Details Apr24 - Mar25'!F87*'Order Details Apr24 - Mar25'!N87</f>
        <v>71680</v>
      </c>
      <c r="O87" s="25"/>
      <c r="P87" s="22"/>
      <c r="Q87" s="26"/>
      <c r="R87" s="82">
        <v>45</v>
      </c>
      <c r="S87" s="22">
        <f t="shared" si="1"/>
        <v>45</v>
      </c>
      <c r="T87" s="22"/>
      <c r="U87" s="31"/>
      <c r="V87" s="51"/>
    </row>
    <row r="88" spans="1:22" ht="20.100000000000001" customHeight="1" x14ac:dyDescent="0.3">
      <c r="A88" s="44">
        <v>80</v>
      </c>
      <c r="B88" s="22">
        <f>+'Order Details Apr24 - Mar25'!P88</f>
        <v>45470</v>
      </c>
      <c r="C88" s="23"/>
      <c r="D88" s="53" t="str">
        <f>+'Order Details Apr24 - Mar25'!T88</f>
        <v>Jeco Agrovet Pvt Ltd Kolkata</v>
      </c>
      <c r="E88" s="25"/>
      <c r="F88" s="183" t="str">
        <f>+'Order Details Apr24 - Mar25'!D88</f>
        <v>ROVIMIX-E 50 (DSM)</v>
      </c>
      <c r="G88" s="184"/>
      <c r="H88" s="26" t="str">
        <f>+'Order Details Apr24 - Mar25'!G88</f>
        <v>Kg</v>
      </c>
      <c r="I88" s="27">
        <f>+'Order Details Apr24 - Mar25'!I88</f>
        <v>200</v>
      </c>
      <c r="J88" s="28"/>
      <c r="K88" s="185" t="str">
        <f>+'Order Details Apr24 - Mar25'!R88</f>
        <v>PO / NBF / 270624 / 51</v>
      </c>
      <c r="L88" s="186"/>
      <c r="M88" s="187"/>
      <c r="N88" s="27">
        <f>+'Order Details Apr24 - Mar25'!F88*'Order Details Apr24 - Mar25'!N88</f>
        <v>189000</v>
      </c>
      <c r="O88" s="25"/>
      <c r="P88" s="22"/>
      <c r="Q88" s="26"/>
      <c r="R88" s="82">
        <v>15</v>
      </c>
      <c r="S88" s="22">
        <f t="shared" si="1"/>
        <v>15</v>
      </c>
      <c r="T88" s="22"/>
      <c r="U88" s="31"/>
      <c r="V88" s="51"/>
    </row>
    <row r="89" spans="1:22" ht="20.100000000000001" customHeight="1" x14ac:dyDescent="0.3">
      <c r="A89" s="44">
        <v>81</v>
      </c>
      <c r="B89" s="22">
        <f>+'Order Details Apr24 - Mar25'!P89</f>
        <v>45470</v>
      </c>
      <c r="C89" s="23"/>
      <c r="D89" s="53" t="str">
        <f>+'Order Details Apr24 - Mar25'!T89</f>
        <v>Kemin Industries South Asia</v>
      </c>
      <c r="E89" s="25"/>
      <c r="F89" s="183" t="str">
        <f>+'Order Details Apr24 - Mar25'!D89</f>
        <v>CLOSTAT - 365 / 12 DRY (Kemin)</v>
      </c>
      <c r="G89" s="184"/>
      <c r="H89" s="26" t="str">
        <f>+'Order Details Apr24 - Mar25'!G89</f>
        <v>Kg</v>
      </c>
      <c r="I89" s="27">
        <f>+'Order Details Apr24 - Mar25'!I89</f>
        <v>250</v>
      </c>
      <c r="J89" s="28"/>
      <c r="K89" s="185" t="str">
        <f>+'Order Details Apr24 - Mar25'!R89</f>
        <v>PO / NBF / 270624 / 52</v>
      </c>
      <c r="L89" s="186"/>
      <c r="M89" s="187"/>
      <c r="N89" s="27">
        <f>+'Order Details Apr24 - Mar25'!F89*'Order Details Apr24 - Mar25'!N89</f>
        <v>125000</v>
      </c>
      <c r="O89" s="25"/>
      <c r="P89" s="22"/>
      <c r="Q89" s="26"/>
      <c r="R89" s="82">
        <v>45</v>
      </c>
      <c r="S89" s="22">
        <f t="shared" si="1"/>
        <v>45</v>
      </c>
      <c r="T89" s="22"/>
      <c r="U89" s="31"/>
      <c r="V89" s="51"/>
    </row>
    <row r="90" spans="1:22" ht="20.100000000000001" customHeight="1" x14ac:dyDescent="0.3">
      <c r="A90" s="44">
        <v>82</v>
      </c>
      <c r="B90" s="22">
        <f>+'Order Details Apr24 - Mar25'!P90</f>
        <v>45477</v>
      </c>
      <c r="C90" s="23"/>
      <c r="D90" s="53" t="str">
        <f>+'Order Details Apr24 - Mar25'!T90</f>
        <v>Das Drug Centre Pvt Ltd, Habra</v>
      </c>
      <c r="E90" s="25"/>
      <c r="F90" s="183" t="str">
        <f>+'Order Details Apr24 - Mar25'!D90</f>
        <v>E CARE SE (Cargill)</v>
      </c>
      <c r="G90" s="184"/>
      <c r="H90" s="26" t="str">
        <f>+'Order Details Apr24 - Mar25'!G90</f>
        <v>Gms</v>
      </c>
      <c r="I90" s="27">
        <f>+'Order Details Apr24 - Mar25'!I90</f>
        <v>300000</v>
      </c>
      <c r="J90" s="28"/>
      <c r="K90" s="185" t="str">
        <f>+'Order Details Apr24 - Mar25'!R90</f>
        <v>PO / NBF / 040724 / 53</v>
      </c>
      <c r="L90" s="186"/>
      <c r="M90" s="187"/>
      <c r="N90" s="27">
        <f>+'Order Details Apr24 - Mar25'!F90*'Order Details Apr24 - Mar25'!N90</f>
        <v>285000</v>
      </c>
      <c r="O90" s="25"/>
      <c r="P90" s="22"/>
      <c r="Q90" s="26"/>
      <c r="R90" s="82">
        <v>45</v>
      </c>
      <c r="S90" s="22">
        <f t="shared" si="1"/>
        <v>45</v>
      </c>
      <c r="T90" s="22"/>
      <c r="U90" s="31"/>
      <c r="V90" s="51"/>
    </row>
    <row r="91" spans="1:22" ht="20.100000000000001" customHeight="1" x14ac:dyDescent="0.3">
      <c r="A91" s="44">
        <v>83</v>
      </c>
      <c r="B91" s="22">
        <f>+'Order Details Apr24 - Mar25'!P91</f>
        <v>45477</v>
      </c>
      <c r="C91" s="23"/>
      <c r="D91" s="53" t="str">
        <f>+'Order Details Apr24 - Mar25'!T91</f>
        <v>Varsha Multitech, Bangallore</v>
      </c>
      <c r="E91" s="25"/>
      <c r="F91" s="183" t="str">
        <f>+'Order Details Apr24 - Mar25'!D91</f>
        <v>HEPATOCARE PREMIX (Varsha)</v>
      </c>
      <c r="G91" s="184"/>
      <c r="H91" s="26" t="str">
        <f>+'Order Details Apr24 - Mar25'!G91</f>
        <v>Kg</v>
      </c>
      <c r="I91" s="27">
        <f>+'Order Details Apr24 - Mar25'!I91</f>
        <v>1000</v>
      </c>
      <c r="J91" s="28"/>
      <c r="K91" s="185" t="str">
        <f>+'Order Details Apr24 - Mar25'!R91</f>
        <v>PO / NBF / 040724 / 54</v>
      </c>
      <c r="L91" s="186"/>
      <c r="M91" s="187"/>
      <c r="N91" s="27">
        <f>+'Order Details Apr24 - Mar25'!F91*'Order Details Apr24 - Mar25'!N91</f>
        <v>50000</v>
      </c>
      <c r="O91" s="25"/>
      <c r="P91" s="22"/>
      <c r="Q91" s="26"/>
      <c r="R91" s="82">
        <v>45</v>
      </c>
      <c r="S91" s="22">
        <f t="shared" si="1"/>
        <v>45</v>
      </c>
      <c r="T91" s="22"/>
      <c r="U91" s="31"/>
      <c r="V91" s="51"/>
    </row>
    <row r="92" spans="1:22" ht="20.100000000000001" customHeight="1" x14ac:dyDescent="0.3">
      <c r="A92" s="44">
        <v>84</v>
      </c>
      <c r="B92" s="22">
        <f>+'Order Details Apr24 - Mar25'!P92</f>
        <v>45483</v>
      </c>
      <c r="C92" s="23"/>
      <c r="D92" s="53" t="str">
        <f>+'Order Details Apr24 - Mar25'!T92</f>
        <v>B V Biocrop, Biotech Division</v>
      </c>
      <c r="E92" s="25"/>
      <c r="F92" s="183" t="str">
        <f>+'Order Details Apr24 - Mar25'!D92</f>
        <v>LEVUCELL-SB (BV Biocrop)</v>
      </c>
      <c r="G92" s="184"/>
      <c r="H92" s="26" t="str">
        <f>+'Order Details Apr24 - Mar25'!G92</f>
        <v>Kg</v>
      </c>
      <c r="I92" s="27">
        <f>+'Order Details Apr24 - Mar25'!I92</f>
        <v>300</v>
      </c>
      <c r="J92" s="28"/>
      <c r="K92" s="185" t="str">
        <f>+'Order Details Apr24 - Mar25'!R92</f>
        <v>PO / NBF / 100724 / 55</v>
      </c>
      <c r="L92" s="186"/>
      <c r="M92" s="187"/>
      <c r="N92" s="27">
        <f>+'Order Details Apr24 - Mar25'!F92*'Order Details Apr24 - Mar25'!N92</f>
        <v>129000</v>
      </c>
      <c r="O92" s="25"/>
      <c r="P92" s="22"/>
      <c r="Q92" s="26"/>
      <c r="R92" s="82">
        <v>7</v>
      </c>
      <c r="S92" s="22">
        <f t="shared" si="1"/>
        <v>7</v>
      </c>
      <c r="T92" s="22"/>
      <c r="U92" s="31"/>
      <c r="V92" s="51"/>
    </row>
    <row r="93" spans="1:22" ht="20.100000000000001" customHeight="1" x14ac:dyDescent="0.3">
      <c r="A93" s="44">
        <v>85</v>
      </c>
      <c r="B93" s="22">
        <f>+'Order Details Apr24 - Mar25'!P93</f>
        <v>45490</v>
      </c>
      <c r="C93" s="23"/>
      <c r="D93" s="53" t="str">
        <f>+'Order Details Apr24 - Mar25'!T93</f>
        <v>Izda Healthcare Ambala Cantonment</v>
      </c>
      <c r="E93" s="25"/>
      <c r="F93" s="183" t="str">
        <f>+'Order Details Apr24 - Mar25'!D93</f>
        <v>OVASTIM (Izda Healthcare)</v>
      </c>
      <c r="G93" s="184"/>
      <c r="H93" s="26" t="str">
        <f>+'Order Details Apr24 - Mar25'!G93</f>
        <v>Kg</v>
      </c>
      <c r="I93" s="27">
        <f>+'Order Details Apr24 - Mar25'!I93</f>
        <v>300</v>
      </c>
      <c r="J93" s="28"/>
      <c r="K93" s="185" t="str">
        <f>+'Order Details Apr24 - Mar25'!R93</f>
        <v>PO / NBF / 170724 / 56</v>
      </c>
      <c r="L93" s="186"/>
      <c r="M93" s="187"/>
      <c r="N93" s="27">
        <f>+'Order Details Apr24 - Mar25'!F93*'Order Details Apr24 - Mar25'!N93</f>
        <v>120000</v>
      </c>
      <c r="O93" s="25"/>
      <c r="P93" s="22"/>
      <c r="Q93" s="26"/>
      <c r="R93" s="82">
        <v>45</v>
      </c>
      <c r="S93" s="22">
        <f t="shared" si="1"/>
        <v>45</v>
      </c>
      <c r="T93" s="22"/>
      <c r="U93" s="31"/>
      <c r="V93" s="51"/>
    </row>
    <row r="94" spans="1:22" ht="20.100000000000001" customHeight="1" x14ac:dyDescent="0.3">
      <c r="A94" s="44">
        <v>86</v>
      </c>
      <c r="B94" s="22">
        <f>+'Order Details Apr24 - Mar25'!P94</f>
        <v>45497</v>
      </c>
      <c r="C94" s="23"/>
      <c r="D94" s="53" t="str">
        <f>+'Order Details Apr24 - Mar25'!T94</f>
        <v>Sneha Farms Pvt Ltd Hyderabad</v>
      </c>
      <c r="E94" s="25"/>
      <c r="F94" s="183" t="str">
        <f>+'Order Details Apr24 - Mar25'!D94</f>
        <v>ALKAKARB (Tata Chemicals)</v>
      </c>
      <c r="G94" s="184"/>
      <c r="H94" s="26" t="str">
        <f>+'Order Details Apr24 - Mar25'!G94</f>
        <v>Kg</v>
      </c>
      <c r="I94" s="27">
        <f>+'Order Details Apr24 - Mar25'!I94</f>
        <v>2000</v>
      </c>
      <c r="J94" s="28"/>
      <c r="K94" s="185" t="str">
        <f>+'Order Details Apr24 - Mar25'!R94</f>
        <v>PO / NBF / 240724 / 57</v>
      </c>
      <c r="L94" s="186"/>
      <c r="M94" s="187"/>
      <c r="N94" s="27">
        <f>+'Order Details Apr24 - Mar25'!F94*'Order Details Apr24 - Mar25'!N94</f>
        <v>91999.87999999999</v>
      </c>
      <c r="O94" s="25"/>
      <c r="P94" s="22"/>
      <c r="Q94" s="26"/>
      <c r="R94" s="82">
        <v>7</v>
      </c>
      <c r="S94" s="22">
        <f t="shared" si="1"/>
        <v>7</v>
      </c>
      <c r="T94" s="22"/>
      <c r="U94" s="31"/>
      <c r="V94" s="51"/>
    </row>
    <row r="95" spans="1:22" ht="20.100000000000001" customHeight="1" x14ac:dyDescent="0.3">
      <c r="A95" s="44">
        <v>87</v>
      </c>
      <c r="B95" s="22">
        <f>+'Order Details Apr24 - Mar25'!P95</f>
        <v>45497</v>
      </c>
      <c r="C95" s="23"/>
      <c r="D95" s="53" t="str">
        <f>+'Order Details Apr24 - Mar25'!T95</f>
        <v>Sneha Farms Pvt Ltd Hyderabad</v>
      </c>
      <c r="E95" s="25"/>
      <c r="F95" s="183" t="str">
        <f>+'Order Details Apr24 - Mar25'!D95</f>
        <v>Lysine HCL (Sewon)</v>
      </c>
      <c r="G95" s="184"/>
      <c r="H95" s="26" t="str">
        <f>+'Order Details Apr24 - Mar25'!G95</f>
        <v>Kg</v>
      </c>
      <c r="I95" s="27">
        <f>+'Order Details Apr24 - Mar25'!I95</f>
        <v>1000</v>
      </c>
      <c r="J95" s="28"/>
      <c r="K95" s="185" t="str">
        <f>+'Order Details Apr24 - Mar25'!R95</f>
        <v>PO / NBF / 240724 / 57</v>
      </c>
      <c r="L95" s="186"/>
      <c r="M95" s="187"/>
      <c r="N95" s="27">
        <f>+'Order Details Apr24 - Mar25'!F95*'Order Details Apr24 - Mar25'!N95</f>
        <v>179999.56000000003</v>
      </c>
      <c r="O95" s="25"/>
      <c r="P95" s="22"/>
      <c r="Q95" s="26"/>
      <c r="R95" s="82">
        <v>7</v>
      </c>
      <c r="S95" s="22">
        <f t="shared" si="1"/>
        <v>7</v>
      </c>
      <c r="T95" s="22"/>
      <c r="U95" s="31"/>
      <c r="V95" s="51"/>
    </row>
    <row r="96" spans="1:22" ht="20.100000000000001" customHeight="1" x14ac:dyDescent="0.3">
      <c r="A96" s="44">
        <v>88</v>
      </c>
      <c r="B96" s="22">
        <f>+'Order Details Apr24 - Mar25'!P96</f>
        <v>45509</v>
      </c>
      <c r="C96" s="23"/>
      <c r="D96" s="53" t="str">
        <f>+'Order Details Apr24 - Mar25'!T96</f>
        <v>Alivira Animal Health Ltd Mumbai</v>
      </c>
      <c r="E96" s="25"/>
      <c r="F96" s="183" t="str">
        <f>+'Order Details Apr24 - Mar25'!D96</f>
        <v>ALVIBAC - MD (Alivira)</v>
      </c>
      <c r="G96" s="184"/>
      <c r="H96" s="26" t="str">
        <f>+'Order Details Apr24 - Mar25'!G96</f>
        <v>Kg</v>
      </c>
      <c r="I96" s="27">
        <f>+'Order Details Apr24 - Mar25'!I96</f>
        <v>500</v>
      </c>
      <c r="J96" s="28"/>
      <c r="K96" s="185" t="str">
        <f>+'Order Details Apr24 - Mar25'!R96</f>
        <v>PO / NBF / 050824 / 58</v>
      </c>
      <c r="L96" s="186"/>
      <c r="M96" s="187"/>
      <c r="N96" s="27">
        <f>+'Order Details Apr24 - Mar25'!F96*'Order Details Apr24 - Mar25'!N96</f>
        <v>125000</v>
      </c>
      <c r="O96" s="25"/>
      <c r="P96" s="22"/>
      <c r="Q96" s="26"/>
      <c r="R96" s="82">
        <v>45</v>
      </c>
      <c r="S96" s="22">
        <f t="shared" si="1"/>
        <v>45</v>
      </c>
      <c r="T96" s="22"/>
      <c r="U96" s="31"/>
      <c r="V96" s="51"/>
    </row>
    <row r="97" spans="1:22" ht="20.100000000000001" customHeight="1" x14ac:dyDescent="0.3">
      <c r="A97" s="44">
        <v>89</v>
      </c>
      <c r="B97" s="22">
        <f>+'Order Details Apr24 - Mar25'!P97</f>
        <v>45509</v>
      </c>
      <c r="C97" s="23"/>
      <c r="D97" s="53" t="str">
        <f>+'Order Details Apr24 - Mar25'!T97</f>
        <v>Das Drug Centre Pvt Ltd, Habra</v>
      </c>
      <c r="E97" s="25"/>
      <c r="F97" s="183" t="str">
        <f>+'Order Details Apr24 - Mar25'!D97</f>
        <v>HIMFLORA (Himalaya)</v>
      </c>
      <c r="G97" s="184"/>
      <c r="H97" s="26" t="str">
        <f>+'Order Details Apr24 - Mar25'!G97</f>
        <v>Kg</v>
      </c>
      <c r="I97" s="27">
        <f>+'Order Details Apr24 - Mar25'!I97</f>
        <v>500</v>
      </c>
      <c r="J97" s="28"/>
      <c r="K97" s="185" t="str">
        <f>+'Order Details Apr24 - Mar25'!R97</f>
        <v>PO / NBF / 050824 / 59</v>
      </c>
      <c r="L97" s="186"/>
      <c r="M97" s="187"/>
      <c r="N97" s="27">
        <f>+'Order Details Apr24 - Mar25'!F97*'Order Details Apr24 - Mar25'!N97</f>
        <v>287500</v>
      </c>
      <c r="O97" s="25"/>
      <c r="P97" s="22"/>
      <c r="Q97" s="26"/>
      <c r="R97" s="82">
        <v>45</v>
      </c>
      <c r="S97" s="22">
        <f t="shared" si="1"/>
        <v>45</v>
      </c>
      <c r="T97" s="22"/>
      <c r="U97" s="31"/>
      <c r="V97" s="51"/>
    </row>
    <row r="98" spans="1:22" ht="20.100000000000001" customHeight="1" x14ac:dyDescent="0.3">
      <c r="A98" s="44">
        <v>90</v>
      </c>
      <c r="B98" s="22">
        <f>+'Order Details Apr24 - Mar25'!P98</f>
        <v>45512</v>
      </c>
      <c r="C98" s="23"/>
      <c r="D98" s="53" t="str">
        <f>+'Order Details Apr24 - Mar25'!T98</f>
        <v>Alivira Animal Health Ltd Mumbai</v>
      </c>
      <c r="E98" s="25"/>
      <c r="F98" s="183" t="str">
        <f>+'Order Details Apr24 - Mar25'!D98</f>
        <v>CITRINAL (Alivira)</v>
      </c>
      <c r="G98" s="184"/>
      <c r="H98" s="26" t="str">
        <f>+'Order Details Apr24 - Mar25'!G98</f>
        <v>Kg</v>
      </c>
      <c r="I98" s="27">
        <f>+'Order Details Apr24 - Mar25'!I98</f>
        <v>1000</v>
      </c>
      <c r="J98" s="28"/>
      <c r="K98" s="185" t="str">
        <f>+'Order Details Apr24 - Mar25'!R98</f>
        <v>PO / NBF / 080824 / 60</v>
      </c>
      <c r="L98" s="186"/>
      <c r="M98" s="187"/>
      <c r="N98" s="27">
        <f>+'Order Details Apr24 - Mar25'!F98*'Order Details Apr24 - Mar25'!N98</f>
        <v>145000</v>
      </c>
      <c r="O98" s="25"/>
      <c r="P98" s="22"/>
      <c r="Q98" s="26"/>
      <c r="R98" s="82">
        <v>7</v>
      </c>
      <c r="S98" s="22">
        <f t="shared" si="1"/>
        <v>7</v>
      </c>
      <c r="T98" s="22"/>
      <c r="U98" s="31"/>
      <c r="V98" s="51"/>
    </row>
    <row r="99" spans="1:22" ht="20.100000000000001" customHeight="1" x14ac:dyDescent="0.3">
      <c r="A99" s="44">
        <v>91</v>
      </c>
      <c r="B99" s="22">
        <f>+'Order Details Apr24 - Mar25'!P99</f>
        <v>45512</v>
      </c>
      <c r="C99" s="23"/>
      <c r="D99" s="53" t="str">
        <f>+'Order Details Apr24 - Mar25'!T99</f>
        <v>Alltech Biotechnology Pvt Ltd</v>
      </c>
      <c r="E99" s="25"/>
      <c r="F99" s="183" t="str">
        <f>+'Order Details Apr24 - Mar25'!D99</f>
        <v>BIOPLEX PRIME (Alltech)</v>
      </c>
      <c r="G99" s="184"/>
      <c r="H99" s="26" t="str">
        <f>+'Order Details Apr24 - Mar25'!G99</f>
        <v>Kg</v>
      </c>
      <c r="I99" s="27">
        <f>+'Order Details Apr24 - Mar25'!I99</f>
        <v>500</v>
      </c>
      <c r="J99" s="28"/>
      <c r="K99" s="185" t="str">
        <f>+'Order Details Apr24 - Mar25'!R99</f>
        <v>PO / NBF / 080824 / 61</v>
      </c>
      <c r="L99" s="186"/>
      <c r="M99" s="187"/>
      <c r="N99" s="27">
        <f>+'Order Details Apr24 - Mar25'!F99*'Order Details Apr24 - Mar25'!N99</f>
        <v>120000</v>
      </c>
      <c r="O99" s="25"/>
      <c r="P99" s="22"/>
      <c r="Q99" s="26"/>
      <c r="R99" s="82">
        <v>7</v>
      </c>
      <c r="S99" s="22">
        <f t="shared" si="1"/>
        <v>7</v>
      </c>
      <c r="T99" s="22"/>
      <c r="U99" s="31"/>
      <c r="V99" s="51"/>
    </row>
    <row r="100" spans="1:22" ht="20.100000000000001" customHeight="1" x14ac:dyDescent="0.3">
      <c r="A100" s="44">
        <v>92</v>
      </c>
      <c r="B100" s="22">
        <f>+'Order Details Apr24 - Mar25'!P100</f>
        <v>45512</v>
      </c>
      <c r="C100" s="23"/>
      <c r="D100" s="53" t="str">
        <f>+'Order Details Apr24 - Mar25'!T100</f>
        <v>B V Biocrop, Hitech Division</v>
      </c>
      <c r="E100" s="25"/>
      <c r="F100" s="183" t="str">
        <f>+'Order Details Apr24 - Mar25'!D100</f>
        <v>TRACEMIN BB (BV Biocrop)</v>
      </c>
      <c r="G100" s="184"/>
      <c r="H100" s="26" t="str">
        <f>+'Order Details Apr24 - Mar25'!G100</f>
        <v>Kg</v>
      </c>
      <c r="I100" s="27">
        <f>+'Order Details Apr24 - Mar25'!I100</f>
        <v>1020</v>
      </c>
      <c r="J100" s="28"/>
      <c r="K100" s="185" t="str">
        <f>+'Order Details Apr24 - Mar25'!R100</f>
        <v>PO / NBF / 080824 / 62</v>
      </c>
      <c r="L100" s="186"/>
      <c r="M100" s="187"/>
      <c r="N100" s="27">
        <f>+'Order Details Apr24 - Mar25'!F100*'Order Details Apr24 - Mar25'!N100</f>
        <v>66538</v>
      </c>
      <c r="O100" s="25"/>
      <c r="P100" s="22"/>
      <c r="Q100" s="26"/>
      <c r="R100" s="82">
        <v>7</v>
      </c>
      <c r="S100" s="22">
        <f t="shared" si="1"/>
        <v>7</v>
      </c>
      <c r="T100" s="22"/>
      <c r="U100" s="31"/>
      <c r="V100" s="51"/>
    </row>
    <row r="101" spans="1:22" ht="20.100000000000001" customHeight="1" x14ac:dyDescent="0.3">
      <c r="A101" s="44">
        <v>93</v>
      </c>
      <c r="B101" s="22">
        <f>+'Order Details Apr24 - Mar25'!P101</f>
        <v>45512</v>
      </c>
      <c r="C101" s="23"/>
      <c r="D101" s="53" t="str">
        <f>+'Order Details Apr24 - Mar25'!T101</f>
        <v>PP &amp; B Mart Pvt Ltd, Habra, Bengal</v>
      </c>
      <c r="E101" s="25"/>
      <c r="F101" s="183" t="str">
        <f>+'Order Details Apr24 - Mar25'!D101</f>
        <v>MASTERSORB (EW Nutrition)</v>
      </c>
      <c r="G101" s="184"/>
      <c r="H101" s="26" t="str">
        <f>+'Order Details Apr24 - Mar25'!G101</f>
        <v>Kg</v>
      </c>
      <c r="I101" s="27">
        <f>+'Order Details Apr24 - Mar25'!I101</f>
        <v>1000</v>
      </c>
      <c r="J101" s="28"/>
      <c r="K101" s="185" t="str">
        <f>+'Order Details Apr24 - Mar25'!R101</f>
        <v>PO / NBF / 080824 / 63</v>
      </c>
      <c r="L101" s="186"/>
      <c r="M101" s="187"/>
      <c r="N101" s="27">
        <f>+'Order Details Apr24 - Mar25'!F101*'Order Details Apr24 - Mar25'!N101</f>
        <v>110000</v>
      </c>
      <c r="O101" s="25"/>
      <c r="P101" s="22"/>
      <c r="Q101" s="26"/>
      <c r="R101" s="82">
        <v>45</v>
      </c>
      <c r="S101" s="22">
        <f t="shared" si="1"/>
        <v>45</v>
      </c>
      <c r="T101" s="22"/>
      <c r="U101" s="31"/>
      <c r="V101" s="51"/>
    </row>
    <row r="102" spans="1:22" ht="20.100000000000001" customHeight="1" x14ac:dyDescent="0.3">
      <c r="A102" s="44">
        <v>94</v>
      </c>
      <c r="B102" s="22">
        <f>+'Order Details Apr24 - Mar25'!P102</f>
        <v>45514</v>
      </c>
      <c r="C102" s="23"/>
      <c r="D102" s="53" t="str">
        <f>+'Order Details Apr24 - Mar25'!T102</f>
        <v>B V Biocrop, Hitech Division</v>
      </c>
      <c r="E102" s="25"/>
      <c r="F102" s="183" t="str">
        <f>+'Order Details Apr24 - Mar25'!D102</f>
        <v>BV-CLO2 (10 Gram) TAB</v>
      </c>
      <c r="G102" s="184"/>
      <c r="H102" s="26" t="str">
        <f>+'Order Details Apr24 - Mar25'!G102</f>
        <v>Pcs</v>
      </c>
      <c r="I102" s="27">
        <f>+'Order Details Apr24 - Mar25'!I102</f>
        <v>1000</v>
      </c>
      <c r="J102" s="28"/>
      <c r="K102" s="185" t="str">
        <f>+'Order Details Apr24 - Mar25'!R102</f>
        <v>PO / NBF / 100824 / 64</v>
      </c>
      <c r="L102" s="186"/>
      <c r="M102" s="187"/>
      <c r="N102" s="27">
        <f>+'Order Details Apr24 - Mar25'!F102*'Order Details Apr24 - Mar25'!N102</f>
        <v>23600</v>
      </c>
      <c r="O102" s="25"/>
      <c r="P102" s="22"/>
      <c r="Q102" s="26"/>
      <c r="R102" s="82">
        <v>7</v>
      </c>
      <c r="S102" s="22">
        <f t="shared" si="1"/>
        <v>7</v>
      </c>
      <c r="T102" s="22"/>
      <c r="U102" s="31"/>
      <c r="V102" s="51"/>
    </row>
    <row r="103" spans="1:22" ht="20.100000000000001" customHeight="1" x14ac:dyDescent="0.3">
      <c r="A103" s="44">
        <v>95</v>
      </c>
      <c r="B103" s="22">
        <f>+'Order Details Apr24 - Mar25'!P103</f>
        <v>45514</v>
      </c>
      <c r="C103" s="23"/>
      <c r="D103" s="53" t="str">
        <f>+'Order Details Apr24 - Mar25'!T103</f>
        <v>B V Biocrop, Hitech Division</v>
      </c>
      <c r="E103" s="25"/>
      <c r="F103" s="183" t="str">
        <f>+'Order Details Apr24 - Mar25'!D103</f>
        <v>SAFEGARD (BV Biocrop)</v>
      </c>
      <c r="G103" s="184"/>
      <c r="H103" s="26" t="str">
        <f>+'Order Details Apr24 - Mar25'!G103</f>
        <v>Ltr</v>
      </c>
      <c r="I103" s="27">
        <f>+'Order Details Apr24 - Mar25'!I103</f>
        <v>100</v>
      </c>
      <c r="J103" s="28"/>
      <c r="K103" s="185" t="str">
        <f>+'Order Details Apr24 - Mar25'!R103</f>
        <v>PO / NBF / 100824 / 64</v>
      </c>
      <c r="L103" s="186"/>
      <c r="M103" s="187"/>
      <c r="N103" s="27">
        <f>+'Order Details Apr24 - Mar25'!F103*'Order Details Apr24 - Mar25'!N103</f>
        <v>26856.799999999999</v>
      </c>
      <c r="O103" s="25"/>
      <c r="P103" s="22"/>
      <c r="Q103" s="26"/>
      <c r="R103" s="82">
        <v>7</v>
      </c>
      <c r="S103" s="22">
        <f t="shared" si="1"/>
        <v>7</v>
      </c>
      <c r="T103" s="22"/>
      <c r="U103" s="31"/>
      <c r="V103" s="51"/>
    </row>
    <row r="104" spans="1:22" ht="20.100000000000001" customHeight="1" x14ac:dyDescent="0.3">
      <c r="A104" s="44">
        <v>96</v>
      </c>
      <c r="B104" s="22">
        <f>+'Order Details Apr24 - Mar25'!P104</f>
        <v>45514</v>
      </c>
      <c r="C104" s="23"/>
      <c r="D104" s="53" t="str">
        <f>+'Order Details Apr24 - Mar25'!T104</f>
        <v>Das Drug Centre Pvt Ltd, Habra</v>
      </c>
      <c r="E104" s="25"/>
      <c r="F104" s="183" t="str">
        <f>+'Order Details Apr24 - Mar25'!D104</f>
        <v>CADLIV (Zenex-AH)</v>
      </c>
      <c r="G104" s="184"/>
      <c r="H104" s="26" t="str">
        <f>+'Order Details Apr24 - Mar25'!G104</f>
        <v>Ltr</v>
      </c>
      <c r="I104" s="27">
        <f>+'Order Details Apr24 - Mar25'!I104</f>
        <v>100</v>
      </c>
      <c r="J104" s="28"/>
      <c r="K104" s="185" t="str">
        <f>+'Order Details Apr24 - Mar25'!R104</f>
        <v>PO / NBF / 100824 / 65</v>
      </c>
      <c r="L104" s="186"/>
      <c r="M104" s="187"/>
      <c r="N104" s="27">
        <f>+'Order Details Apr24 - Mar25'!F104*'Order Details Apr24 - Mar25'!N104</f>
        <v>20200</v>
      </c>
      <c r="O104" s="25"/>
      <c r="P104" s="22"/>
      <c r="Q104" s="26"/>
      <c r="R104" s="82">
        <v>45</v>
      </c>
      <c r="S104" s="22">
        <f t="shared" si="1"/>
        <v>45</v>
      </c>
      <c r="T104" s="22"/>
      <c r="U104" s="31"/>
      <c r="V104" s="51"/>
    </row>
    <row r="105" spans="1:22" ht="20.100000000000001" customHeight="1" x14ac:dyDescent="0.3">
      <c r="A105" s="44">
        <v>97</v>
      </c>
      <c r="B105" s="22">
        <f>+'Order Details Apr24 - Mar25'!P105</f>
        <v>45514</v>
      </c>
      <c r="C105" s="23"/>
      <c r="D105" s="53" t="str">
        <f>+'Order Details Apr24 - Mar25'!T105</f>
        <v>Das Drug Centre Pvt Ltd, Habra</v>
      </c>
      <c r="E105" s="25"/>
      <c r="F105" s="183" t="str">
        <f>+'Order Details Apr24 - Mar25'!D105</f>
        <v>ENROCIN-10% (Zoetis)</v>
      </c>
      <c r="G105" s="184"/>
      <c r="H105" s="26" t="str">
        <f>+'Order Details Apr24 - Mar25'!G105</f>
        <v>Ltr</v>
      </c>
      <c r="I105" s="27">
        <f>+'Order Details Apr24 - Mar25'!I105</f>
        <v>50</v>
      </c>
      <c r="J105" s="28"/>
      <c r="K105" s="185" t="str">
        <f>+'Order Details Apr24 - Mar25'!R105</f>
        <v>PO / NBF / 100824 / 65</v>
      </c>
      <c r="L105" s="186"/>
      <c r="M105" s="187"/>
      <c r="N105" s="27">
        <f>+'Order Details Apr24 - Mar25'!F105*'Order Details Apr24 - Mar25'!N105</f>
        <v>28974.400000000001</v>
      </c>
      <c r="O105" s="25"/>
      <c r="P105" s="22"/>
      <c r="Q105" s="26"/>
      <c r="R105" s="82">
        <v>45</v>
      </c>
      <c r="S105" s="22">
        <f t="shared" si="1"/>
        <v>45</v>
      </c>
      <c r="T105" s="22"/>
      <c r="U105" s="31"/>
      <c r="V105" s="51"/>
    </row>
    <row r="106" spans="1:22" ht="20.100000000000001" customHeight="1" x14ac:dyDescent="0.3">
      <c r="A106" s="44">
        <v>98</v>
      </c>
      <c r="B106" s="22">
        <f>+'Order Details Apr24 - Mar25'!P106</f>
        <v>45514</v>
      </c>
      <c r="C106" s="23"/>
      <c r="D106" s="53" t="str">
        <f>+'Order Details Apr24 - Mar25'!T106</f>
        <v>Das Drug Centre Pvt Ltd, Habra</v>
      </c>
      <c r="E106" s="25"/>
      <c r="F106" s="183" t="str">
        <f>+'Order Details Apr24 - Mar25'!D106</f>
        <v>LEMASOL-P (Zenex-AH)</v>
      </c>
      <c r="G106" s="184"/>
      <c r="H106" s="26" t="str">
        <f>+'Order Details Apr24 - Mar25'!G106</f>
        <v>Kg</v>
      </c>
      <c r="I106" s="27">
        <f>+'Order Details Apr24 - Mar25'!I106</f>
        <v>20</v>
      </c>
      <c r="J106" s="28"/>
      <c r="K106" s="185" t="str">
        <f>+'Order Details Apr24 - Mar25'!R106</f>
        <v>PO / NBF / 100824 / 65</v>
      </c>
      <c r="L106" s="186"/>
      <c r="M106" s="187"/>
      <c r="N106" s="27">
        <f>+'Order Details Apr24 - Mar25'!F106*'Order Details Apr24 - Mar25'!N106</f>
        <v>76339.199999999997</v>
      </c>
      <c r="O106" s="25"/>
      <c r="P106" s="22"/>
      <c r="Q106" s="26"/>
      <c r="R106" s="82">
        <v>45</v>
      </c>
      <c r="S106" s="22">
        <f t="shared" si="1"/>
        <v>45</v>
      </c>
      <c r="T106" s="22"/>
      <c r="U106" s="31"/>
      <c r="V106" s="51"/>
    </row>
    <row r="107" spans="1:22" ht="20.100000000000001" customHeight="1" x14ac:dyDescent="0.3">
      <c r="A107" s="44">
        <v>99</v>
      </c>
      <c r="B107" s="22">
        <f>+'Order Details Apr24 - Mar25'!P107</f>
        <v>45514</v>
      </c>
      <c r="C107" s="23"/>
      <c r="D107" s="53" t="str">
        <f>+'Order Details Apr24 - Mar25'!T107</f>
        <v>Das Drug Centre Pvt Ltd, Habra</v>
      </c>
      <c r="E107" s="25"/>
      <c r="F107" s="183" t="str">
        <f>+'Order Details Apr24 - Mar25'!D107</f>
        <v>SELVO-BH (Alivira)</v>
      </c>
      <c r="G107" s="184"/>
      <c r="H107" s="26" t="str">
        <f>+'Order Details Apr24 - Mar25'!G107</f>
        <v>Ltr</v>
      </c>
      <c r="I107" s="27">
        <f>+'Order Details Apr24 - Mar25'!I107</f>
        <v>100</v>
      </c>
      <c r="J107" s="28"/>
      <c r="K107" s="185" t="str">
        <f>+'Order Details Apr24 - Mar25'!R107</f>
        <v>PO / NBF / 100824 / 65</v>
      </c>
      <c r="L107" s="186"/>
      <c r="M107" s="187"/>
      <c r="N107" s="27">
        <f>+'Order Details Apr24 - Mar25'!F107*'Order Details Apr24 - Mar25'!N107</f>
        <v>20697.600000000002</v>
      </c>
      <c r="O107" s="25"/>
      <c r="P107" s="22"/>
      <c r="Q107" s="26"/>
      <c r="R107" s="82">
        <v>45</v>
      </c>
      <c r="S107" s="22">
        <f t="shared" si="1"/>
        <v>45</v>
      </c>
      <c r="T107" s="22"/>
      <c r="U107" s="31"/>
      <c r="V107" s="51"/>
    </row>
    <row r="108" spans="1:22" ht="20.100000000000001" customHeight="1" x14ac:dyDescent="0.3">
      <c r="A108" s="44">
        <v>100</v>
      </c>
      <c r="B108" s="22">
        <f>+'Order Details Apr24 - Mar25'!P108</f>
        <v>45514</v>
      </c>
      <c r="C108" s="23"/>
      <c r="D108" s="53" t="str">
        <f>+'Order Details Apr24 - Mar25'!T108</f>
        <v>Das Drug Centre Pvt Ltd, Habra</v>
      </c>
      <c r="E108" s="25"/>
      <c r="F108" s="183" t="str">
        <f>+'Order Details Apr24 - Mar25'!D108</f>
        <v>Oxytetracycline-LA Injection (Zenex)</v>
      </c>
      <c r="G108" s="184"/>
      <c r="H108" s="26" t="str">
        <f>+'Order Details Apr24 - Mar25'!G108</f>
        <v>Ml</v>
      </c>
      <c r="I108" s="27">
        <f>+'Order Details Apr24 - Mar25'!I108</f>
        <v>10000</v>
      </c>
      <c r="J108" s="28"/>
      <c r="K108" s="185" t="str">
        <f>+'Order Details Apr24 - Mar25'!R108</f>
        <v>PO / NBF / 100824 / 65</v>
      </c>
      <c r="L108" s="186"/>
      <c r="M108" s="187"/>
      <c r="N108" s="27">
        <f>+'Order Details Apr24 - Mar25'!F108*'Order Details Apr24 - Mar25'!N108</f>
        <v>43232</v>
      </c>
      <c r="O108" s="25"/>
      <c r="P108" s="22"/>
      <c r="Q108" s="26"/>
      <c r="R108" s="82">
        <v>45</v>
      </c>
      <c r="S108" s="22">
        <f t="shared" si="1"/>
        <v>45</v>
      </c>
      <c r="T108" s="22"/>
      <c r="U108" s="31"/>
      <c r="V108" s="51"/>
    </row>
    <row r="109" spans="1:22" ht="20.100000000000001" customHeight="1" x14ac:dyDescent="0.3">
      <c r="A109" s="44">
        <v>101</v>
      </c>
      <c r="B109" s="22">
        <f>+'Order Details Apr24 - Mar25'!P109</f>
        <v>45514</v>
      </c>
      <c r="C109" s="23"/>
      <c r="D109" s="53" t="str">
        <f>+'Order Details Apr24 - Mar25'!T109</f>
        <v>Das Drug Centre Pvt Ltd, Habra</v>
      </c>
      <c r="E109" s="25"/>
      <c r="F109" s="183" t="str">
        <f>+'Order Details Apr24 - Mar25'!D109</f>
        <v>TAMIK Injection (TTK)</v>
      </c>
      <c r="G109" s="184"/>
      <c r="H109" s="26" t="str">
        <f>+'Order Details Apr24 - Mar25'!G109</f>
        <v>Ml</v>
      </c>
      <c r="I109" s="27">
        <f>+'Order Details Apr24 - Mar25'!I109</f>
        <v>5000</v>
      </c>
      <c r="J109" s="28"/>
      <c r="K109" s="185" t="str">
        <f>+'Order Details Apr24 - Mar25'!R109</f>
        <v>PO / NBF / 100824 / 65</v>
      </c>
      <c r="L109" s="186"/>
      <c r="M109" s="187"/>
      <c r="N109" s="27">
        <f>+'Order Details Apr24 - Mar25'!F109*'Order Details Apr24 - Mar25'!N109</f>
        <v>41048</v>
      </c>
      <c r="O109" s="25"/>
      <c r="P109" s="22"/>
      <c r="Q109" s="26"/>
      <c r="R109" s="82">
        <v>45</v>
      </c>
      <c r="S109" s="22">
        <f t="shared" si="1"/>
        <v>45</v>
      </c>
      <c r="T109" s="22"/>
      <c r="U109" s="31"/>
      <c r="V109" s="51"/>
    </row>
    <row r="110" spans="1:22" ht="20.100000000000001" customHeight="1" x14ac:dyDescent="0.3">
      <c r="A110" s="44">
        <v>102</v>
      </c>
      <c r="B110" s="22">
        <f>+'Order Details Apr24 - Mar25'!P110</f>
        <v>45514</v>
      </c>
      <c r="C110" s="23"/>
      <c r="D110" s="53" t="str">
        <f>+'Order Details Apr24 - Mar25'!T110</f>
        <v>Das Drug Centre Pvt Ltd, Habra</v>
      </c>
      <c r="E110" s="25"/>
      <c r="F110" s="183" t="str">
        <f>+'Order Details Apr24 - Mar25'!D110</f>
        <v>URIMIN Injection (Virbac)</v>
      </c>
      <c r="G110" s="184"/>
      <c r="H110" s="26" t="str">
        <f>+'Order Details Apr24 - Mar25'!G110</f>
        <v>Ml</v>
      </c>
      <c r="I110" s="27">
        <f>+'Order Details Apr24 - Mar25'!I110</f>
        <v>10000</v>
      </c>
      <c r="J110" s="28"/>
      <c r="K110" s="185" t="str">
        <f>+'Order Details Apr24 - Mar25'!R110</f>
        <v>PO / NBF / 100824 / 65</v>
      </c>
      <c r="L110" s="186"/>
      <c r="M110" s="187"/>
      <c r="N110" s="27">
        <f>+'Order Details Apr24 - Mar25'!F110*'Order Details Apr24 - Mar25'!N110</f>
        <v>35754.880000000005</v>
      </c>
      <c r="O110" s="25"/>
      <c r="P110" s="22"/>
      <c r="Q110" s="26"/>
      <c r="R110" s="82">
        <v>45</v>
      </c>
      <c r="S110" s="22">
        <f t="shared" si="1"/>
        <v>45</v>
      </c>
      <c r="T110" s="22"/>
      <c r="U110" s="31"/>
      <c r="V110" s="51"/>
    </row>
    <row r="111" spans="1:22" ht="20.100000000000001" customHeight="1" x14ac:dyDescent="0.3">
      <c r="A111" s="44">
        <v>103</v>
      </c>
      <c r="B111" s="22">
        <f>+'Order Details Apr24 - Mar25'!P111</f>
        <v>45514</v>
      </c>
      <c r="C111" s="23"/>
      <c r="D111" s="53" t="str">
        <f>+'Order Details Apr24 - Mar25'!T111</f>
        <v>Hester Biosciences Limited</v>
      </c>
      <c r="E111" s="25"/>
      <c r="F111" s="183" t="str">
        <f>+'Order Details Apr24 - Mar25'!D111</f>
        <v>INACTIVATED PULLET(LPAI) VAC</v>
      </c>
      <c r="G111" s="184"/>
      <c r="H111" s="26" t="str">
        <f>+'Order Details Apr24 - Mar25'!G111</f>
        <v>Dose</v>
      </c>
      <c r="I111" s="27">
        <f>+'Order Details Apr24 - Mar25'!I111</f>
        <v>65000</v>
      </c>
      <c r="J111" s="28"/>
      <c r="K111" s="185" t="str">
        <f>+'Order Details Apr24 - Mar25'!R111</f>
        <v>PO / NBF / 100824 / 66</v>
      </c>
      <c r="L111" s="186"/>
      <c r="M111" s="187"/>
      <c r="N111" s="27">
        <f>+'Order Details Apr24 - Mar25'!F111*'Order Details Apr24 - Mar25'!N111</f>
        <v>64497.614999999998</v>
      </c>
      <c r="O111" s="25"/>
      <c r="P111" s="22"/>
      <c r="Q111" s="26"/>
      <c r="R111" s="82">
        <v>7</v>
      </c>
      <c r="S111" s="22">
        <f t="shared" si="1"/>
        <v>7</v>
      </c>
      <c r="T111" s="22"/>
      <c r="U111" s="31"/>
      <c r="V111" s="51"/>
    </row>
    <row r="112" spans="1:22" ht="20.100000000000001" customHeight="1" x14ac:dyDescent="0.3">
      <c r="A112" s="44">
        <v>104</v>
      </c>
      <c r="B112" s="22">
        <f>+'Order Details Apr24 - Mar25'!P112</f>
        <v>45514</v>
      </c>
      <c r="C112" s="23"/>
      <c r="D112" s="53" t="str">
        <f>+'Order Details Apr24 - Mar25'!T112</f>
        <v>Izda Healthcare Ambala Cantonment</v>
      </c>
      <c r="E112" s="25"/>
      <c r="F112" s="183" t="str">
        <f>+'Order Details Apr24 - Mar25'!D112</f>
        <v>Deforce Injection (Izda Healthcare)</v>
      </c>
      <c r="G112" s="184"/>
      <c r="H112" s="26" t="str">
        <f>+'Order Details Apr24 - Mar25'!G112</f>
        <v>Ml</v>
      </c>
      <c r="I112" s="27">
        <f>+'Order Details Apr24 - Mar25'!I112</f>
        <v>1000</v>
      </c>
      <c r="J112" s="28"/>
      <c r="K112" s="185" t="str">
        <f>+'Order Details Apr24 - Mar25'!R112</f>
        <v>PO / NBF / 100824 / 67</v>
      </c>
      <c r="L112" s="186"/>
      <c r="M112" s="187"/>
      <c r="N112" s="27">
        <f>+'Order Details Apr24 - Mar25'!F112*'Order Details Apr24 - Mar25'!N112</f>
        <v>84000</v>
      </c>
      <c r="O112" s="25"/>
      <c r="P112" s="22"/>
      <c r="Q112" s="26"/>
      <c r="R112" s="82">
        <v>45</v>
      </c>
      <c r="S112" s="22">
        <f t="shared" si="1"/>
        <v>45</v>
      </c>
      <c r="T112" s="22"/>
      <c r="U112" s="31"/>
      <c r="V112" s="51"/>
    </row>
    <row r="113" spans="1:22" ht="20.100000000000001" customHeight="1" x14ac:dyDescent="0.3">
      <c r="A113" s="44">
        <v>105</v>
      </c>
      <c r="B113" s="22">
        <f>+'Order Details Apr24 - Mar25'!P113</f>
        <v>45514</v>
      </c>
      <c r="C113" s="23"/>
      <c r="D113" s="53" t="str">
        <f>+'Order Details Apr24 - Mar25'!T113</f>
        <v>Tara Enterprises Hyderabad</v>
      </c>
      <c r="E113" s="25"/>
      <c r="F113" s="183" t="str">
        <f>+'Order Details Apr24 - Mar25'!D113</f>
        <v>Hipraviar Clon H-120 (Hipra)</v>
      </c>
      <c r="G113" s="184"/>
      <c r="H113" s="26" t="str">
        <f>+'Order Details Apr24 - Mar25'!G113</f>
        <v>Dose</v>
      </c>
      <c r="I113" s="27">
        <f>+'Order Details Apr24 - Mar25'!I113</f>
        <v>250000</v>
      </c>
      <c r="J113" s="28"/>
      <c r="K113" s="185" t="str">
        <f>+'Order Details Apr24 - Mar25'!R113</f>
        <v>PO / NBF / 100824 / 68</v>
      </c>
      <c r="L113" s="186"/>
      <c r="M113" s="187"/>
      <c r="N113" s="27">
        <f>+'Order Details Apr24 - Mar25'!F113*'Order Details Apr24 - Mar25'!N113</f>
        <v>57750</v>
      </c>
      <c r="O113" s="25"/>
      <c r="P113" s="22"/>
      <c r="Q113" s="26"/>
      <c r="R113" s="82">
        <v>45</v>
      </c>
      <c r="S113" s="22">
        <f t="shared" si="1"/>
        <v>45</v>
      </c>
      <c r="T113" s="22"/>
      <c r="U113" s="31"/>
      <c r="V113" s="51"/>
    </row>
    <row r="114" spans="1:22" ht="20.100000000000001" customHeight="1" x14ac:dyDescent="0.3">
      <c r="A114" s="44">
        <v>106</v>
      </c>
      <c r="B114" s="22">
        <f>+'Order Details Apr24 - Mar25'!P114</f>
        <v>45514</v>
      </c>
      <c r="C114" s="23"/>
      <c r="D114" s="53" t="str">
        <f>+'Order Details Apr24 - Mar25'!T114</f>
        <v>Venkateshwara Hatcheries Ltd</v>
      </c>
      <c r="E114" s="25"/>
      <c r="F114" s="183" t="str">
        <f>+'Order Details Apr24 - Mar25'!D114</f>
        <v>AE KILLED VAC</v>
      </c>
      <c r="G114" s="184"/>
      <c r="H114" s="26" t="str">
        <f>+'Order Details Apr24 - Mar25'!G114</f>
        <v>Dose</v>
      </c>
      <c r="I114" s="27">
        <f>+'Order Details Apr24 - Mar25'!I114</f>
        <v>43000</v>
      </c>
      <c r="J114" s="28"/>
      <c r="K114" s="185" t="str">
        <f>+'Order Details Apr24 - Mar25'!R114</f>
        <v>PO / NBF / 100824 / 69</v>
      </c>
      <c r="L114" s="186"/>
      <c r="M114" s="187"/>
      <c r="N114" s="27">
        <f>+'Order Details Apr24 - Mar25'!F114*'Order Details Apr24 - Mar25'!N114</f>
        <v>90074.25</v>
      </c>
      <c r="O114" s="25"/>
      <c r="P114" s="22"/>
      <c r="Q114" s="26"/>
      <c r="R114" s="82">
        <v>7</v>
      </c>
      <c r="S114" s="22">
        <f t="shared" si="1"/>
        <v>7</v>
      </c>
      <c r="T114" s="22"/>
      <c r="U114" s="31"/>
      <c r="V114" s="51"/>
    </row>
    <row r="115" spans="1:22" ht="20.100000000000001" customHeight="1" x14ac:dyDescent="0.3">
      <c r="A115" s="44">
        <v>107</v>
      </c>
      <c r="B115" s="22">
        <f>+'Order Details Apr24 - Mar25'!P115</f>
        <v>45514</v>
      </c>
      <c r="C115" s="23"/>
      <c r="D115" s="53" t="str">
        <f>+'Order Details Apr24 - Mar25'!T115</f>
        <v>Venkateshwara Hatcheries Ltd</v>
      </c>
      <c r="E115" s="25"/>
      <c r="F115" s="183" t="str">
        <f>+'Order Details Apr24 - Mar25'!D115</f>
        <v>IB ASTRO (AEIBH) KILLED VAC</v>
      </c>
      <c r="G115" s="184"/>
      <c r="H115" s="26" t="str">
        <f>+'Order Details Apr24 - Mar25'!G115</f>
        <v>Dose</v>
      </c>
      <c r="I115" s="27">
        <f>+'Order Details Apr24 - Mar25'!I115</f>
        <v>43000</v>
      </c>
      <c r="J115" s="28"/>
      <c r="K115" s="185" t="str">
        <f>+'Order Details Apr24 - Mar25'!R115</f>
        <v>PO / NBF / 100824 / 69</v>
      </c>
      <c r="L115" s="186"/>
      <c r="M115" s="187"/>
      <c r="N115" s="27">
        <f>+'Order Details Apr24 - Mar25'!F115*'Order Details Apr24 - Mar25'!N115</f>
        <v>146963.25</v>
      </c>
      <c r="O115" s="25"/>
      <c r="P115" s="22"/>
      <c r="Q115" s="26"/>
      <c r="R115" s="82">
        <v>7</v>
      </c>
      <c r="S115" s="22">
        <f t="shared" si="1"/>
        <v>7</v>
      </c>
      <c r="T115" s="22"/>
      <c r="U115" s="31"/>
      <c r="V115" s="51"/>
    </row>
    <row r="116" spans="1:22" ht="20.100000000000001" customHeight="1" x14ac:dyDescent="0.3">
      <c r="A116" s="44">
        <v>108</v>
      </c>
      <c r="B116" s="22">
        <f>+'Order Details Apr24 - Mar25'!P116</f>
        <v>45514</v>
      </c>
      <c r="C116" s="23"/>
      <c r="D116" s="53" t="str">
        <f>+'Order Details Apr24 - Mar25'!T116</f>
        <v>Venkateshwara Hatcheries Ltd</v>
      </c>
      <c r="E116" s="25"/>
      <c r="F116" s="183" t="str">
        <f>+'Order Details Apr24 - Mar25'!D116</f>
        <v>IBH KILLED VAC</v>
      </c>
      <c r="G116" s="184"/>
      <c r="H116" s="26" t="str">
        <f>+'Order Details Apr24 - Mar25'!G116</f>
        <v>Dose</v>
      </c>
      <c r="I116" s="27">
        <f>+'Order Details Apr24 - Mar25'!I116</f>
        <v>30000</v>
      </c>
      <c r="J116" s="28"/>
      <c r="K116" s="185" t="str">
        <f>+'Order Details Apr24 - Mar25'!R116</f>
        <v>PO / NBF / 100824 / 69</v>
      </c>
      <c r="L116" s="186"/>
      <c r="M116" s="187"/>
      <c r="N116" s="27">
        <f>+'Order Details Apr24 - Mar25'!F116*'Order Details Apr24 - Mar25'!N116</f>
        <v>49612.5</v>
      </c>
      <c r="O116" s="25"/>
      <c r="P116" s="22"/>
      <c r="Q116" s="26"/>
      <c r="R116" s="82">
        <v>7</v>
      </c>
      <c r="S116" s="22">
        <f t="shared" si="1"/>
        <v>7</v>
      </c>
      <c r="T116" s="22"/>
      <c r="U116" s="31"/>
      <c r="V116" s="51"/>
    </row>
    <row r="117" spans="1:22" ht="20.100000000000001" customHeight="1" x14ac:dyDescent="0.3">
      <c r="A117" s="44">
        <v>109</v>
      </c>
      <c r="B117" s="22">
        <f>+'Order Details Apr24 - Mar25'!P117</f>
        <v>45514</v>
      </c>
      <c r="C117" s="23"/>
      <c r="D117" s="53" t="str">
        <f>+'Order Details Apr24 - Mar25'!T117</f>
        <v>Venkateshwara Hatcheries Ltd</v>
      </c>
      <c r="E117" s="25"/>
      <c r="F117" s="183" t="str">
        <f>+'Order Details Apr24 - Mar25'!D117</f>
        <v xml:space="preserve">VH V- 4K (4way) KILLED VAC </v>
      </c>
      <c r="G117" s="184"/>
      <c r="H117" s="26" t="str">
        <f>+'Order Details Apr24 - Mar25'!G117</f>
        <v>Dose</v>
      </c>
      <c r="I117" s="27">
        <f>+'Order Details Apr24 - Mar25'!I117</f>
        <v>43000</v>
      </c>
      <c r="J117" s="28"/>
      <c r="K117" s="185" t="str">
        <f>+'Order Details Apr24 - Mar25'!R117</f>
        <v>PO / NBF / 100824 / 69</v>
      </c>
      <c r="L117" s="186"/>
      <c r="M117" s="187"/>
      <c r="N117" s="27">
        <f>+'Order Details Apr24 - Mar25'!F117*'Order Details Apr24 - Mar25'!N117</f>
        <v>237037.5</v>
      </c>
      <c r="O117" s="25"/>
      <c r="P117" s="22"/>
      <c r="Q117" s="26"/>
      <c r="R117" s="82">
        <v>7</v>
      </c>
      <c r="S117" s="22">
        <f t="shared" si="1"/>
        <v>7</v>
      </c>
      <c r="T117" s="22"/>
      <c r="U117" s="31"/>
      <c r="V117" s="51"/>
    </row>
    <row r="118" spans="1:22" ht="20.100000000000001" customHeight="1" x14ac:dyDescent="0.3">
      <c r="A118" s="44">
        <v>110</v>
      </c>
      <c r="B118" s="22">
        <f>+'Order Details Apr24 - Mar25'!P118</f>
        <v>45514</v>
      </c>
      <c r="C118" s="23"/>
      <c r="D118" s="53" t="str">
        <f>+'Order Details Apr24 - Mar25'!T118</f>
        <v>Venkys India Ltd (AHP Division)</v>
      </c>
      <c r="E118" s="25"/>
      <c r="F118" s="183" t="str">
        <f>+'Order Details Apr24 - Mar25'!D118</f>
        <v>SOLUCAL (AHP Division)</v>
      </c>
      <c r="G118" s="184"/>
      <c r="H118" s="26" t="str">
        <f>+'Order Details Apr24 - Mar25'!G118</f>
        <v>Ltr</v>
      </c>
      <c r="I118" s="27">
        <f>+'Order Details Apr24 - Mar25'!I118</f>
        <v>100</v>
      </c>
      <c r="J118" s="28"/>
      <c r="K118" s="185" t="str">
        <f>+'Order Details Apr24 - Mar25'!R118</f>
        <v>PO / NBF / 100824 / 70</v>
      </c>
      <c r="L118" s="186"/>
      <c r="M118" s="187"/>
      <c r="N118" s="27">
        <f>+'Order Details Apr24 - Mar25'!F118*'Order Details Apr24 - Mar25'!N118</f>
        <v>13840</v>
      </c>
      <c r="O118" s="25"/>
      <c r="P118" s="22"/>
      <c r="Q118" s="26"/>
      <c r="R118" s="82">
        <v>7</v>
      </c>
      <c r="S118" s="22">
        <f t="shared" si="1"/>
        <v>7</v>
      </c>
      <c r="T118" s="22"/>
      <c r="U118" s="31"/>
      <c r="V118" s="51"/>
    </row>
    <row r="119" spans="1:22" ht="20.100000000000001" customHeight="1" x14ac:dyDescent="0.3">
      <c r="A119" s="44">
        <v>111</v>
      </c>
      <c r="B119" s="22">
        <f>+'Order Details Apr24 - Mar25'!P119</f>
        <v>45514</v>
      </c>
      <c r="C119" s="23"/>
      <c r="D119" s="53" t="str">
        <f>+'Order Details Apr24 - Mar25'!T119</f>
        <v>We Care Animal Health, Bengal</v>
      </c>
      <c r="E119" s="25"/>
      <c r="F119" s="183" t="str">
        <f>+'Order Details Apr24 - Mar25'!D119</f>
        <v>FLYVIN (We Care Animal Health)</v>
      </c>
      <c r="G119" s="184"/>
      <c r="H119" s="26" t="str">
        <f>+'Order Details Apr24 - Mar25'!G119</f>
        <v>Kg</v>
      </c>
      <c r="I119" s="27">
        <f>+'Order Details Apr24 - Mar25'!I119</f>
        <v>100</v>
      </c>
      <c r="J119" s="28"/>
      <c r="K119" s="185" t="str">
        <f>+'Order Details Apr24 - Mar25'!R119</f>
        <v>PO / NBF / 100824 / 71</v>
      </c>
      <c r="L119" s="186"/>
      <c r="M119" s="187"/>
      <c r="N119" s="27">
        <f>+'Order Details Apr24 - Mar25'!F119*'Order Details Apr24 - Mar25'!N119</f>
        <v>72000</v>
      </c>
      <c r="O119" s="25"/>
      <c r="P119" s="22"/>
      <c r="Q119" s="26"/>
      <c r="R119" s="82">
        <v>7</v>
      </c>
      <c r="S119" s="22">
        <f t="shared" si="1"/>
        <v>7</v>
      </c>
      <c r="T119" s="22"/>
      <c r="U119" s="31"/>
      <c r="V119" s="51"/>
    </row>
    <row r="120" spans="1:22" ht="20.100000000000001" customHeight="1" x14ac:dyDescent="0.3">
      <c r="A120" s="44">
        <v>112</v>
      </c>
      <c r="B120" s="22">
        <f>+'Order Details Apr24 - Mar25'!P120</f>
        <v>45518</v>
      </c>
      <c r="C120" s="23"/>
      <c r="D120" s="53" t="str">
        <f>+'Order Details Apr24 - Mar25'!T120</f>
        <v>Das Drug Centre Pvt Ltd, Habra</v>
      </c>
      <c r="E120" s="25"/>
      <c r="F120" s="183" t="str">
        <f>+'Order Details Apr24 - Mar25'!D120</f>
        <v>STODI (Natural Remedies)</v>
      </c>
      <c r="G120" s="184"/>
      <c r="H120" s="26" t="str">
        <f>+'Order Details Apr24 - Mar25'!G120</f>
        <v>Kg</v>
      </c>
      <c r="I120" s="27">
        <f>+'Order Details Apr24 - Mar25'!I120</f>
        <v>500</v>
      </c>
      <c r="J120" s="28"/>
      <c r="K120" s="185" t="str">
        <f>+'Order Details Apr24 - Mar25'!R120</f>
        <v>PO / NBF / 140824 / 72</v>
      </c>
      <c r="L120" s="186"/>
      <c r="M120" s="187"/>
      <c r="N120" s="27">
        <f>+'Order Details Apr24 - Mar25'!F120*'Order Details Apr24 - Mar25'!N120</f>
        <v>35500</v>
      </c>
      <c r="O120" s="25"/>
      <c r="P120" s="22"/>
      <c r="Q120" s="26"/>
      <c r="R120" s="82">
        <v>45</v>
      </c>
      <c r="S120" s="22">
        <f t="shared" si="1"/>
        <v>45</v>
      </c>
      <c r="T120" s="22"/>
      <c r="U120" s="31"/>
      <c r="V120" s="51"/>
    </row>
    <row r="121" spans="1:22" ht="20.100000000000001" customHeight="1" x14ac:dyDescent="0.3">
      <c r="A121" s="44">
        <v>113</v>
      </c>
      <c r="B121" s="22">
        <f>+'Order Details Apr24 - Mar25'!P121</f>
        <v>45518</v>
      </c>
      <c r="C121" s="23"/>
      <c r="D121" s="53" t="str">
        <f>+'Order Details Apr24 - Mar25'!T121</f>
        <v>Sai Kiran Medical Agencies HYD</v>
      </c>
      <c r="E121" s="25"/>
      <c r="F121" s="183" t="str">
        <f>+'Order Details Apr24 - Mar25'!D121</f>
        <v>SALCOCHEK (Ayurvet)</v>
      </c>
      <c r="G121" s="184"/>
      <c r="H121" s="26" t="str">
        <f>+'Order Details Apr24 - Mar25'!G121</f>
        <v>Kg</v>
      </c>
      <c r="I121" s="27">
        <f>+'Order Details Apr24 - Mar25'!I121</f>
        <v>500</v>
      </c>
      <c r="J121" s="28"/>
      <c r="K121" s="185" t="str">
        <f>+'Order Details Apr24 - Mar25'!R121</f>
        <v>PO / NBF / 140824 / 73</v>
      </c>
      <c r="L121" s="186"/>
      <c r="M121" s="187"/>
      <c r="N121" s="27">
        <f>+'Order Details Apr24 - Mar25'!F121*'Order Details Apr24 - Mar25'!N121</f>
        <v>71680</v>
      </c>
      <c r="O121" s="25"/>
      <c r="P121" s="22"/>
      <c r="Q121" s="26"/>
      <c r="R121" s="82">
        <v>45</v>
      </c>
      <c r="S121" s="22">
        <f t="shared" si="1"/>
        <v>45</v>
      </c>
      <c r="T121" s="22"/>
      <c r="U121" s="31"/>
      <c r="V121" s="51"/>
    </row>
    <row r="122" spans="1:22" ht="20.100000000000001" customHeight="1" x14ac:dyDescent="0.3">
      <c r="A122" s="44">
        <v>114</v>
      </c>
      <c r="B122" s="22">
        <f>+'Order Details Apr24 - Mar25'!P122</f>
        <v>45526</v>
      </c>
      <c r="C122" s="23"/>
      <c r="D122" s="53" t="str">
        <f>+'Order Details Apr24 - Mar25'!T122</f>
        <v>APC Nutrients Limited Hyderabad</v>
      </c>
      <c r="E122" s="25"/>
      <c r="F122" s="183" t="str">
        <f>+'Order Details Apr24 - Mar25'!D122</f>
        <v>VOLAMEL EXTRA (Nukamel)</v>
      </c>
      <c r="G122" s="184"/>
      <c r="H122" s="26" t="str">
        <f>+'Order Details Apr24 - Mar25'!G122</f>
        <v>Kg</v>
      </c>
      <c r="I122" s="27">
        <f>+'Order Details Apr24 - Mar25'!I122</f>
        <v>500</v>
      </c>
      <c r="J122" s="28"/>
      <c r="K122" s="185" t="str">
        <f>+'Order Details Apr24 - Mar25'!R122</f>
        <v>PO / NBF / 220824 / 74</v>
      </c>
      <c r="L122" s="186"/>
      <c r="M122" s="187"/>
      <c r="N122" s="27">
        <f>+'Order Details Apr24 - Mar25'!F122*'Order Details Apr24 - Mar25'!N122</f>
        <v>285000</v>
      </c>
      <c r="O122" s="25"/>
      <c r="P122" s="22"/>
      <c r="Q122" s="26"/>
      <c r="R122" s="82">
        <v>7</v>
      </c>
      <c r="S122" s="22">
        <f t="shared" si="1"/>
        <v>7</v>
      </c>
      <c r="T122" s="22"/>
      <c r="U122" s="31"/>
      <c r="V122" s="51"/>
    </row>
    <row r="123" spans="1:22" ht="20.100000000000001" customHeight="1" x14ac:dyDescent="0.3">
      <c r="A123" s="44">
        <v>115</v>
      </c>
      <c r="B123" s="22">
        <f>+'Order Details Apr24 - Mar25'!P123</f>
        <v>45526</v>
      </c>
      <c r="C123" s="23"/>
      <c r="D123" s="53" t="str">
        <f>+'Order Details Apr24 - Mar25'!T123</f>
        <v>Das Drug Centre Pvt Ltd, Habra</v>
      </c>
      <c r="E123" s="25"/>
      <c r="F123" s="183" t="str">
        <f>+'Order Details Apr24 - Mar25'!D123</f>
        <v>KOLIN PLUS (Natural Remedies)</v>
      </c>
      <c r="G123" s="184"/>
      <c r="H123" s="26" t="str">
        <f>+'Order Details Apr24 - Mar25'!G123</f>
        <v>Kg</v>
      </c>
      <c r="I123" s="27">
        <f>+'Order Details Apr24 - Mar25'!I123</f>
        <v>700</v>
      </c>
      <c r="J123" s="28"/>
      <c r="K123" s="185" t="str">
        <f>+'Order Details Apr24 - Mar25'!R123</f>
        <v>PO / NBF / 220824 / 75</v>
      </c>
      <c r="L123" s="186"/>
      <c r="M123" s="187"/>
      <c r="N123" s="27">
        <f>+'Order Details Apr24 - Mar25'!F123*'Order Details Apr24 - Mar25'!N123</f>
        <v>49000</v>
      </c>
      <c r="O123" s="25"/>
      <c r="P123" s="22"/>
      <c r="Q123" s="26"/>
      <c r="R123" s="82">
        <v>45</v>
      </c>
      <c r="S123" s="22">
        <f t="shared" si="1"/>
        <v>45</v>
      </c>
      <c r="T123" s="22"/>
      <c r="U123" s="31"/>
      <c r="V123" s="51"/>
    </row>
    <row r="124" spans="1:22" ht="20.100000000000001" customHeight="1" x14ac:dyDescent="0.3">
      <c r="A124" s="44">
        <v>116</v>
      </c>
      <c r="B124" s="22">
        <f>+'Order Details Apr24 - Mar25'!P124</f>
        <v>45526</v>
      </c>
      <c r="C124" s="23"/>
      <c r="D124" s="53" t="str">
        <f>+'Order Details Apr24 - Mar25'!T124</f>
        <v>Huvepharma Sea Pune Pvt Ltd</v>
      </c>
      <c r="E124" s="25"/>
      <c r="F124" s="183" t="str">
        <f>+'Order Details Apr24 - Mar25'!D124</f>
        <v>BIO - D 100 (Huvepharma)</v>
      </c>
      <c r="G124" s="184"/>
      <c r="H124" s="26" t="str">
        <f>+'Order Details Apr24 - Mar25'!G124</f>
        <v>Kg</v>
      </c>
      <c r="I124" s="27">
        <f>+'Order Details Apr24 - Mar25'!I124</f>
        <v>300</v>
      </c>
      <c r="J124" s="28"/>
      <c r="K124" s="185" t="str">
        <f>+'Order Details Apr24 - Mar25'!R124</f>
        <v>PO / NBF / 220824 / 76</v>
      </c>
      <c r="L124" s="186"/>
      <c r="M124" s="187"/>
      <c r="N124" s="27">
        <f>+'Order Details Apr24 - Mar25'!F124*'Order Details Apr24 - Mar25'!N124</f>
        <v>465000</v>
      </c>
      <c r="O124" s="25"/>
      <c r="P124" s="22"/>
      <c r="Q124" s="26"/>
      <c r="R124" s="82">
        <v>7</v>
      </c>
      <c r="S124" s="22">
        <f t="shared" si="1"/>
        <v>7</v>
      </c>
      <c r="T124" s="22"/>
      <c r="U124" s="31"/>
      <c r="V124" s="51"/>
    </row>
    <row r="125" spans="1:22" ht="20.100000000000001" customHeight="1" x14ac:dyDescent="0.3">
      <c r="A125" s="44">
        <v>117</v>
      </c>
      <c r="B125" s="22">
        <f>+'Order Details Apr24 - Mar25'!P125</f>
        <v>45526</v>
      </c>
      <c r="C125" s="23"/>
      <c r="D125" s="53" t="str">
        <f>+'Order Details Apr24 - Mar25'!T125</f>
        <v>Kemin Industries South Asia</v>
      </c>
      <c r="E125" s="25"/>
      <c r="F125" s="183" t="str">
        <f>+'Order Details Apr24 - Mar25'!D125</f>
        <v>KEMZYME-XPF (Kemin Indus.)</v>
      </c>
      <c r="G125" s="184"/>
      <c r="H125" s="26" t="str">
        <f>+'Order Details Apr24 - Mar25'!G125</f>
        <v>Kg</v>
      </c>
      <c r="I125" s="27">
        <f>+'Order Details Apr24 - Mar25'!I125</f>
        <v>250</v>
      </c>
      <c r="J125" s="28"/>
      <c r="K125" s="185" t="str">
        <f>+'Order Details Apr24 - Mar25'!R125</f>
        <v>PO / NBF / 220824 / 77</v>
      </c>
      <c r="L125" s="186"/>
      <c r="M125" s="187"/>
      <c r="N125" s="27">
        <f>+'Order Details Apr24 - Mar25'!F125*'Order Details Apr24 - Mar25'!N125</f>
        <v>60500</v>
      </c>
      <c r="O125" s="25"/>
      <c r="P125" s="22"/>
      <c r="Q125" s="26"/>
      <c r="R125" s="82">
        <v>45</v>
      </c>
      <c r="S125" s="22">
        <f t="shared" si="1"/>
        <v>45</v>
      </c>
      <c r="T125" s="22"/>
      <c r="U125" s="31"/>
      <c r="V125" s="51"/>
    </row>
    <row r="126" spans="1:22" ht="20.100000000000001" customHeight="1" x14ac:dyDescent="0.3">
      <c r="A126" s="44">
        <v>118</v>
      </c>
      <c r="B126" s="22">
        <f>+'Order Details Apr24 - Mar25'!P126</f>
        <v>45526</v>
      </c>
      <c r="C126" s="23"/>
      <c r="D126" s="53" t="str">
        <f>+'Order Details Apr24 - Mar25'!T126</f>
        <v>Zeus Biotech Pvt Ltd, Mysore</v>
      </c>
      <c r="E126" s="25"/>
      <c r="F126" s="183" t="str">
        <f>+'Order Details Apr24 - Mar25'!D126</f>
        <v>SELCON FORTE (Zeus Biotech)</v>
      </c>
      <c r="G126" s="184"/>
      <c r="H126" s="26" t="str">
        <f>+'Order Details Apr24 - Mar25'!G126</f>
        <v>Kg</v>
      </c>
      <c r="I126" s="27">
        <f>+'Order Details Apr24 - Mar25'!I126</f>
        <v>300</v>
      </c>
      <c r="J126" s="28"/>
      <c r="K126" s="185" t="str">
        <f>+'Order Details Apr24 - Mar25'!R126</f>
        <v>PO / NBF / 220824 / 78</v>
      </c>
      <c r="L126" s="186"/>
      <c r="M126" s="187"/>
      <c r="N126" s="27">
        <f>+'Order Details Apr24 - Mar25'!F126*'Order Details Apr24 - Mar25'!N126</f>
        <v>120000</v>
      </c>
      <c r="O126" s="25"/>
      <c r="P126" s="22"/>
      <c r="Q126" s="26"/>
      <c r="R126" s="82">
        <v>7</v>
      </c>
      <c r="S126" s="22">
        <f t="shared" si="1"/>
        <v>7</v>
      </c>
      <c r="T126" s="22"/>
      <c r="U126" s="31"/>
      <c r="V126" s="51"/>
    </row>
    <row r="127" spans="1:22" ht="20.100000000000001" customHeight="1" x14ac:dyDescent="0.3">
      <c r="A127" s="44">
        <v>119</v>
      </c>
      <c r="B127" s="22">
        <f>+'Order Details Apr24 - Mar25'!P127</f>
        <v>45531</v>
      </c>
      <c r="C127" s="23"/>
      <c r="D127" s="53" t="str">
        <f>+'Order Details Apr24 - Mar25'!T127</f>
        <v>B V Biocrop, Biotech Division</v>
      </c>
      <c r="E127" s="25"/>
      <c r="F127" s="183" t="str">
        <f>+'Order Details Apr24 - Mar25'!D127</f>
        <v>LEVUCELL-SB (BV Biocrop)</v>
      </c>
      <c r="G127" s="184"/>
      <c r="H127" s="26" t="str">
        <f>+'Order Details Apr24 - Mar25'!G127</f>
        <v>Kg</v>
      </c>
      <c r="I127" s="27">
        <f>+'Order Details Apr24 - Mar25'!I127</f>
        <v>500</v>
      </c>
      <c r="J127" s="28"/>
      <c r="K127" s="185" t="str">
        <f>+'Order Details Apr24 - Mar25'!R127</f>
        <v>PO / NBF / 270824 / 79</v>
      </c>
      <c r="L127" s="186"/>
      <c r="M127" s="187"/>
      <c r="N127" s="27">
        <f>+'Order Details Apr24 - Mar25'!F127*'Order Details Apr24 - Mar25'!N127</f>
        <v>215000</v>
      </c>
      <c r="O127" s="25"/>
      <c r="P127" s="22"/>
      <c r="Q127" s="26"/>
      <c r="R127" s="82">
        <v>7</v>
      </c>
      <c r="S127" s="22">
        <f t="shared" si="1"/>
        <v>7</v>
      </c>
      <c r="T127" s="22"/>
      <c r="U127" s="31"/>
      <c r="V127" s="51"/>
    </row>
    <row r="128" spans="1:22" ht="20.100000000000001" customHeight="1" x14ac:dyDescent="0.3">
      <c r="A128" s="44">
        <v>120</v>
      </c>
      <c r="B128" s="22">
        <f>+'Order Details Apr24 - Mar25'!P128</f>
        <v>45531</v>
      </c>
      <c r="C128" s="23"/>
      <c r="D128" s="53" t="str">
        <f>+'Order Details Apr24 - Mar25'!T128</f>
        <v>Das Drug Centre Pvt Ltd, Habra</v>
      </c>
      <c r="E128" s="25"/>
      <c r="F128" s="183" t="str">
        <f>+'Order Details Apr24 - Mar25'!D128</f>
        <v>PHYTOCEE (Natural Remedies)</v>
      </c>
      <c r="G128" s="184"/>
      <c r="H128" s="26" t="str">
        <f>+'Order Details Apr24 - Mar25'!G128</f>
        <v>Kg</v>
      </c>
      <c r="I128" s="27">
        <f>+'Order Details Apr24 - Mar25'!I128</f>
        <v>500</v>
      </c>
      <c r="J128" s="28"/>
      <c r="K128" s="185" t="str">
        <f>+'Order Details Apr24 - Mar25'!R128</f>
        <v>PO / NBF / 270824 / 80</v>
      </c>
      <c r="L128" s="186"/>
      <c r="M128" s="187"/>
      <c r="N128" s="27">
        <f>+'Order Details Apr24 - Mar25'!F128*'Order Details Apr24 - Mar25'!N128</f>
        <v>97000</v>
      </c>
      <c r="O128" s="25"/>
      <c r="P128" s="22"/>
      <c r="Q128" s="26"/>
      <c r="R128" s="82">
        <v>45</v>
      </c>
      <c r="S128" s="22">
        <f t="shared" si="1"/>
        <v>45</v>
      </c>
      <c r="T128" s="22"/>
      <c r="U128" s="31"/>
      <c r="V128" s="51"/>
    </row>
    <row r="129" spans="1:22" ht="20.100000000000001" customHeight="1" x14ac:dyDescent="0.3">
      <c r="A129" s="44">
        <v>121</v>
      </c>
      <c r="B129" s="22">
        <f>+'Order Details Apr24 - Mar25'!P129</f>
        <v>45531</v>
      </c>
      <c r="C129" s="23"/>
      <c r="D129" s="53" t="str">
        <f>+'Order Details Apr24 - Mar25'!T129</f>
        <v>Izda Healthcare Ambala Cantonment</v>
      </c>
      <c r="E129" s="25"/>
      <c r="F129" s="183" t="str">
        <f>+'Order Details Apr24 - Mar25'!D129</f>
        <v>OVASTIM (Izda Healthcare)</v>
      </c>
      <c r="G129" s="184"/>
      <c r="H129" s="26" t="str">
        <f>+'Order Details Apr24 - Mar25'!G129</f>
        <v>Kg</v>
      </c>
      <c r="I129" s="27">
        <f>+'Order Details Apr24 - Mar25'!I129</f>
        <v>500</v>
      </c>
      <c r="J129" s="28"/>
      <c r="K129" s="185" t="str">
        <f>+'Order Details Apr24 - Mar25'!R129</f>
        <v>PO / NBF / 270824 / 81</v>
      </c>
      <c r="L129" s="186"/>
      <c r="M129" s="187"/>
      <c r="N129" s="27">
        <f>+'Order Details Apr24 - Mar25'!F129*'Order Details Apr24 - Mar25'!N129</f>
        <v>200000</v>
      </c>
      <c r="O129" s="25"/>
      <c r="P129" s="22"/>
      <c r="Q129" s="26"/>
      <c r="R129" s="82">
        <v>45</v>
      </c>
      <c r="S129" s="22">
        <f t="shared" si="1"/>
        <v>45</v>
      </c>
      <c r="T129" s="22"/>
      <c r="U129" s="31"/>
      <c r="V129" s="51"/>
    </row>
    <row r="130" spans="1:22" ht="20.100000000000001" customHeight="1" x14ac:dyDescent="0.3">
      <c r="A130" s="44">
        <v>122</v>
      </c>
      <c r="B130" s="22">
        <f>+'Order Details Apr24 - Mar25'!P130</f>
        <v>45533</v>
      </c>
      <c r="C130" s="23"/>
      <c r="D130" s="53" t="str">
        <f>+'Order Details Apr24 - Mar25'!T130</f>
        <v>Das Drug Centre Pvt Ltd, Habra</v>
      </c>
      <c r="E130" s="25"/>
      <c r="F130" s="183" t="str">
        <f>+'Order Details Apr24 - Mar25'!D130</f>
        <v>ND(G-13)+LPAI (Encivax B-Cap) (Indovax)</v>
      </c>
      <c r="G130" s="184"/>
      <c r="H130" s="26" t="str">
        <f>+'Order Details Apr24 - Mar25'!G130</f>
        <v>Dose</v>
      </c>
      <c r="I130" s="27">
        <f>+'Order Details Apr24 - Mar25'!I130</f>
        <v>46000</v>
      </c>
      <c r="J130" s="28"/>
      <c r="K130" s="185" t="str">
        <f>+'Order Details Apr24 - Mar25'!R130</f>
        <v>PO / NBF / 290824 / 82</v>
      </c>
      <c r="L130" s="186"/>
      <c r="M130" s="187"/>
      <c r="N130" s="27">
        <f>+'Order Details Apr24 - Mar25'!F130*'Order Details Apr24 - Mar25'!N130</f>
        <v>59409</v>
      </c>
      <c r="O130" s="25"/>
      <c r="P130" s="22"/>
      <c r="Q130" s="26"/>
      <c r="R130" s="82">
        <v>45</v>
      </c>
      <c r="S130" s="22">
        <f t="shared" si="1"/>
        <v>45</v>
      </c>
      <c r="T130" s="22"/>
      <c r="U130" s="31"/>
      <c r="V130" s="51"/>
    </row>
    <row r="131" spans="1:22" ht="20.100000000000001" customHeight="1" x14ac:dyDescent="0.3">
      <c r="A131" s="44">
        <v>123</v>
      </c>
      <c r="B131" s="22">
        <f>+'Order Details Apr24 - Mar25'!P131</f>
        <v>45537</v>
      </c>
      <c r="C131" s="23"/>
      <c r="D131" s="53" t="str">
        <f>+'Order Details Apr24 - Mar25'!T131</f>
        <v>Kemin Industries South Asia</v>
      </c>
      <c r="E131" s="25"/>
      <c r="F131" s="183" t="str">
        <f>+'Order Details Apr24 - Mar25'!D131</f>
        <v>CLOSTAT - 365 / 12 DRY (Kemin)</v>
      </c>
      <c r="G131" s="184"/>
      <c r="H131" s="26" t="str">
        <f>+'Order Details Apr24 - Mar25'!G131</f>
        <v>Kg</v>
      </c>
      <c r="I131" s="27">
        <f>+'Order Details Apr24 - Mar25'!I131</f>
        <v>300</v>
      </c>
      <c r="J131" s="28"/>
      <c r="K131" s="185" t="str">
        <f>+'Order Details Apr24 - Mar25'!R131</f>
        <v>PO / NBF / 020924 / 83</v>
      </c>
      <c r="L131" s="186"/>
      <c r="M131" s="187"/>
      <c r="N131" s="27">
        <f>+'Order Details Apr24 - Mar25'!F131*'Order Details Apr24 - Mar25'!N131</f>
        <v>150000</v>
      </c>
      <c r="O131" s="25"/>
      <c r="P131" s="22"/>
      <c r="Q131" s="26"/>
      <c r="R131" s="82">
        <v>45</v>
      </c>
      <c r="S131" s="22">
        <f t="shared" si="1"/>
        <v>45</v>
      </c>
      <c r="T131" s="22"/>
      <c r="U131" s="31"/>
      <c r="V131" s="51"/>
    </row>
    <row r="132" spans="1:22" ht="20.100000000000001" customHeight="1" x14ac:dyDescent="0.3">
      <c r="A132" s="44">
        <v>124</v>
      </c>
      <c r="B132" s="22">
        <f>+'Order Details Apr24 - Mar25'!P132</f>
        <v>45551</v>
      </c>
      <c r="C132" s="23"/>
      <c r="D132" s="53" t="str">
        <f>+'Order Details Apr24 - Mar25'!T132</f>
        <v>Alltech Biotechnology Pvt Ltd</v>
      </c>
      <c r="E132" s="25"/>
      <c r="F132" s="183" t="str">
        <f>+'Order Details Apr24 - Mar25'!D132</f>
        <v>MYCOSORB A+ (Alltech)</v>
      </c>
      <c r="G132" s="184"/>
      <c r="H132" s="26" t="str">
        <f>+'Order Details Apr24 - Mar25'!G132</f>
        <v>Kg</v>
      </c>
      <c r="I132" s="27">
        <f>+'Order Details Apr24 - Mar25'!I132</f>
        <v>500</v>
      </c>
      <c r="J132" s="28"/>
      <c r="K132" s="185" t="str">
        <f>+'Order Details Apr24 - Mar25'!R132</f>
        <v>PO / NBF / 160924 / 84</v>
      </c>
      <c r="L132" s="186"/>
      <c r="M132" s="187"/>
      <c r="N132" s="27">
        <f>+'Order Details Apr24 - Mar25'!F132*'Order Details Apr24 - Mar25'!N132</f>
        <v>125000</v>
      </c>
      <c r="O132" s="25"/>
      <c r="P132" s="22"/>
      <c r="Q132" s="26"/>
      <c r="R132" s="82">
        <v>7</v>
      </c>
      <c r="S132" s="22">
        <f t="shared" si="1"/>
        <v>7</v>
      </c>
      <c r="T132" s="22"/>
      <c r="U132" s="31"/>
      <c r="V132" s="51"/>
    </row>
    <row r="133" spans="1:22" ht="20.100000000000001" customHeight="1" x14ac:dyDescent="0.3">
      <c r="A133" s="44">
        <v>125</v>
      </c>
      <c r="B133" s="22">
        <f>+'Order Details Apr24 - Mar25'!P133</f>
        <v>45551</v>
      </c>
      <c r="C133" s="23"/>
      <c r="D133" s="53" t="str">
        <f>+'Order Details Apr24 - Mar25'!T133</f>
        <v>Jeco Agrovet Pvt Ltd Kolkata</v>
      </c>
      <c r="E133" s="25"/>
      <c r="F133" s="183" t="str">
        <f>+'Order Details Apr24 - Mar25'!D133</f>
        <v>ROVIMIX BREEDER (DSM)</v>
      </c>
      <c r="G133" s="184"/>
      <c r="H133" s="26" t="str">
        <f>+'Order Details Apr24 - Mar25'!G133</f>
        <v>Kg</v>
      </c>
      <c r="I133" s="27">
        <f>+'Order Details Apr24 - Mar25'!I133</f>
        <v>1500</v>
      </c>
      <c r="J133" s="28"/>
      <c r="K133" s="185" t="str">
        <f>+'Order Details Apr24 - Mar25'!R133</f>
        <v>PO / NBF / 160924 / 85</v>
      </c>
      <c r="L133" s="186"/>
      <c r="M133" s="187"/>
      <c r="N133" s="27">
        <f>+'Order Details Apr24 - Mar25'!F133*'Order Details Apr24 - Mar25'!N133</f>
        <v>870000</v>
      </c>
      <c r="O133" s="25"/>
      <c r="P133" s="22"/>
      <c r="Q133" s="26"/>
      <c r="R133" s="82">
        <v>30</v>
      </c>
      <c r="S133" s="22">
        <f t="shared" si="1"/>
        <v>30</v>
      </c>
      <c r="T133" s="22"/>
      <c r="U133" s="31"/>
      <c r="V133" s="51"/>
    </row>
    <row r="134" spans="1:22" ht="20.100000000000001" customHeight="1" x14ac:dyDescent="0.3">
      <c r="A134" s="44">
        <v>126</v>
      </c>
      <c r="B134" s="22">
        <f>+'Order Details Apr24 - Mar25'!P134</f>
        <v>45551</v>
      </c>
      <c r="C134" s="23"/>
      <c r="D134" s="53" t="str">
        <f>+'Order Details Apr24 - Mar25'!T134</f>
        <v>Das Drug Centre Pvt Ltd, Habra</v>
      </c>
      <c r="E134" s="25"/>
      <c r="F134" s="183" t="str">
        <f>+'Order Details Apr24 - Mar25'!D134</f>
        <v>STODI (Natural Remedies)</v>
      </c>
      <c r="G134" s="184"/>
      <c r="H134" s="26" t="str">
        <f>+'Order Details Apr24 - Mar25'!G134</f>
        <v>Kg</v>
      </c>
      <c r="I134" s="27">
        <f>+'Order Details Apr24 - Mar25'!I134</f>
        <v>750</v>
      </c>
      <c r="J134" s="28"/>
      <c r="K134" s="185" t="str">
        <f>+'Order Details Apr24 - Mar25'!R134</f>
        <v>PO / NBF / 160924 / 86</v>
      </c>
      <c r="L134" s="186"/>
      <c r="M134" s="187"/>
      <c r="N134" s="27">
        <f>+'Order Details Apr24 - Mar25'!F134*'Order Details Apr24 - Mar25'!N134</f>
        <v>53250</v>
      </c>
      <c r="O134" s="25"/>
      <c r="P134" s="22"/>
      <c r="Q134" s="26"/>
      <c r="R134" s="82">
        <v>45</v>
      </c>
      <c r="S134" s="22">
        <f t="shared" si="1"/>
        <v>45</v>
      </c>
      <c r="T134" s="22"/>
      <c r="U134" s="31"/>
      <c r="V134" s="51"/>
    </row>
    <row r="135" spans="1:22" ht="20.100000000000001" customHeight="1" x14ac:dyDescent="0.3">
      <c r="A135" s="44">
        <v>127</v>
      </c>
      <c r="B135" s="22">
        <f>+'Order Details Apr24 - Mar25'!P135</f>
        <v>45551</v>
      </c>
      <c r="C135" s="23"/>
      <c r="D135" s="53" t="str">
        <f>+'Order Details Apr24 - Mar25'!T135</f>
        <v>Sai Kiran Medical Agencies HYD</v>
      </c>
      <c r="E135" s="25"/>
      <c r="F135" s="183" t="str">
        <f>+'Order Details Apr24 - Mar25'!D135</f>
        <v>SALCOCHEK (Ayurvet)</v>
      </c>
      <c r="G135" s="184"/>
      <c r="H135" s="26" t="str">
        <f>+'Order Details Apr24 - Mar25'!G135</f>
        <v>Kg</v>
      </c>
      <c r="I135" s="27">
        <f>+'Order Details Apr24 - Mar25'!I135</f>
        <v>500</v>
      </c>
      <c r="J135" s="28"/>
      <c r="K135" s="185" t="str">
        <f>+'Order Details Apr24 - Mar25'!R135</f>
        <v>PO / NBF / 160924 / 87</v>
      </c>
      <c r="L135" s="186"/>
      <c r="M135" s="187"/>
      <c r="N135" s="27">
        <f>+'Order Details Apr24 - Mar25'!F135*'Order Details Apr24 - Mar25'!N135</f>
        <v>71680</v>
      </c>
      <c r="O135" s="25"/>
      <c r="P135" s="22"/>
      <c r="Q135" s="26"/>
      <c r="R135" s="82">
        <v>45</v>
      </c>
      <c r="S135" s="22">
        <f t="shared" si="1"/>
        <v>45</v>
      </c>
      <c r="T135" s="22"/>
      <c r="U135" s="31"/>
      <c r="V135" s="51"/>
    </row>
    <row r="136" spans="1:22" ht="20.100000000000001" customHeight="1" x14ac:dyDescent="0.3">
      <c r="A136" s="44">
        <v>128</v>
      </c>
      <c r="B136" s="22">
        <f>+'Order Details Apr24 - Mar25'!P136</f>
        <v>45554</v>
      </c>
      <c r="C136" s="23"/>
      <c r="D136" s="53" t="str">
        <f>+'Order Details Apr24 - Mar25'!T136</f>
        <v>B V Biocrop, Hitech Division</v>
      </c>
      <c r="E136" s="25"/>
      <c r="F136" s="183" t="str">
        <f>+'Order Details Apr24 - Mar25'!D136</f>
        <v>B-904 (BV Biocrop)</v>
      </c>
      <c r="G136" s="184"/>
      <c r="H136" s="26" t="str">
        <f>+'Order Details Apr24 - Mar25'!G136</f>
        <v>Ltr</v>
      </c>
      <c r="I136" s="27">
        <f>+'Order Details Apr24 - Mar25'!I136</f>
        <v>100</v>
      </c>
      <c r="J136" s="28"/>
      <c r="K136" s="185" t="str">
        <f>+'Order Details Apr24 - Mar25'!R136</f>
        <v>PO / NBF / 190924 / 88</v>
      </c>
      <c r="L136" s="186"/>
      <c r="M136" s="187"/>
      <c r="N136" s="27">
        <f>+'Order Details Apr24 - Mar25'!F136*'Order Details Apr24 - Mar25'!N136</f>
        <v>77242.8</v>
      </c>
      <c r="O136" s="25"/>
      <c r="P136" s="22"/>
      <c r="Q136" s="26"/>
      <c r="R136" s="82">
        <v>7</v>
      </c>
      <c r="S136" s="22">
        <f t="shared" si="1"/>
        <v>7</v>
      </c>
      <c r="T136" s="22"/>
      <c r="U136" s="31"/>
      <c r="V136" s="51"/>
    </row>
    <row r="137" spans="1:22" ht="20.100000000000001" customHeight="1" x14ac:dyDescent="0.3">
      <c r="A137" s="44">
        <v>129</v>
      </c>
      <c r="B137" s="22">
        <f>+'Order Details Apr24 - Mar25'!P137</f>
        <v>45554</v>
      </c>
      <c r="C137" s="23"/>
      <c r="D137" s="53" t="str">
        <f>+'Order Details Apr24 - Mar25'!T137</f>
        <v>B V Biocrop, Hitech Division</v>
      </c>
      <c r="E137" s="25"/>
      <c r="F137" s="183" t="str">
        <f>+'Order Details Apr24 - Mar25'!D137</f>
        <v>SAFEGARD (BV Biocrop)</v>
      </c>
      <c r="G137" s="184"/>
      <c r="H137" s="26" t="str">
        <f>+'Order Details Apr24 - Mar25'!G137</f>
        <v>Ltr</v>
      </c>
      <c r="I137" s="27">
        <f>+'Order Details Apr24 - Mar25'!I137</f>
        <v>100</v>
      </c>
      <c r="J137" s="28"/>
      <c r="K137" s="185" t="str">
        <f>+'Order Details Apr24 - Mar25'!R137</f>
        <v>PO / NBF / 190924 / 88</v>
      </c>
      <c r="L137" s="186"/>
      <c r="M137" s="187"/>
      <c r="N137" s="27">
        <f>+'Order Details Apr24 - Mar25'!F137*'Order Details Apr24 - Mar25'!N137</f>
        <v>27659.200000000001</v>
      </c>
      <c r="O137" s="25"/>
      <c r="P137" s="22"/>
      <c r="Q137" s="26"/>
      <c r="R137" s="82">
        <v>7</v>
      </c>
      <c r="S137" s="22">
        <f t="shared" si="1"/>
        <v>7</v>
      </c>
      <c r="T137" s="22"/>
      <c r="U137" s="31"/>
      <c r="V137" s="51"/>
    </row>
    <row r="138" spans="1:22" ht="20.100000000000001" customHeight="1" x14ac:dyDescent="0.3">
      <c r="A138" s="44">
        <v>130</v>
      </c>
      <c r="B138" s="22">
        <f>+'Order Details Apr24 - Mar25'!P138</f>
        <v>45554</v>
      </c>
      <c r="C138" s="23"/>
      <c r="D138" s="53" t="str">
        <f>+'Order Details Apr24 - Mar25'!T138</f>
        <v>Bhabani Bio Security Odisha</v>
      </c>
      <c r="E138" s="25"/>
      <c r="F138" s="183" t="str">
        <f>+'Order Details Apr24 - Mar25'!D138</f>
        <v>AQUA-SECURE - 888 (Bhabani Bio)</v>
      </c>
      <c r="G138" s="184"/>
      <c r="H138" s="26" t="str">
        <f>+'Order Details Apr24 - Mar25'!G138</f>
        <v>Ltr</v>
      </c>
      <c r="I138" s="27">
        <f>+'Order Details Apr24 - Mar25'!I138</f>
        <v>200</v>
      </c>
      <c r="J138" s="28"/>
      <c r="K138" s="185" t="str">
        <f>+'Order Details Apr24 - Mar25'!R138</f>
        <v>PO / NBF / 190924 / 89</v>
      </c>
      <c r="L138" s="186"/>
      <c r="M138" s="187"/>
      <c r="N138" s="27">
        <f>+'Order Details Apr24 - Mar25'!F138*'Order Details Apr24 - Mar25'!N138</f>
        <v>34030.256000000001</v>
      </c>
      <c r="O138" s="25"/>
      <c r="P138" s="22"/>
      <c r="Q138" s="26"/>
      <c r="R138" s="82">
        <v>45</v>
      </c>
      <c r="S138" s="22">
        <f t="shared" ref="S138:S201" si="2">P138+R138</f>
        <v>45</v>
      </c>
      <c r="T138" s="22"/>
      <c r="U138" s="31"/>
      <c r="V138" s="51"/>
    </row>
    <row r="139" spans="1:22" ht="20.100000000000001" customHeight="1" x14ac:dyDescent="0.3">
      <c r="A139" s="44">
        <v>131</v>
      </c>
      <c r="B139" s="22">
        <f>+'Order Details Apr24 - Mar25'!P139</f>
        <v>45554</v>
      </c>
      <c r="C139" s="23"/>
      <c r="D139" s="53" t="str">
        <f>+'Order Details Apr24 - Mar25'!T139</f>
        <v>Bhabani Bio Security Odisha</v>
      </c>
      <c r="E139" s="25"/>
      <c r="F139" s="183" t="str">
        <f>+'Order Details Apr24 - Mar25'!D139</f>
        <v>K-OXISHIELD + 888 (Bhabani Bio)</v>
      </c>
      <c r="G139" s="184"/>
      <c r="H139" s="26" t="str">
        <f>+'Order Details Apr24 - Mar25'!G139</f>
        <v>Gms</v>
      </c>
      <c r="I139" s="27">
        <f>+'Order Details Apr24 - Mar25'!I139</f>
        <v>80000</v>
      </c>
      <c r="J139" s="28"/>
      <c r="K139" s="185" t="str">
        <f>+'Order Details Apr24 - Mar25'!R139</f>
        <v>PO / NBF / 190924 / 89</v>
      </c>
      <c r="L139" s="186"/>
      <c r="M139" s="187"/>
      <c r="N139" s="27">
        <f>+'Order Details Apr24 - Mar25'!F139*'Order Details Apr24 - Mar25'!N139</f>
        <v>59999.8848</v>
      </c>
      <c r="O139" s="25"/>
      <c r="P139" s="22"/>
      <c r="Q139" s="26"/>
      <c r="R139" s="82">
        <v>45</v>
      </c>
      <c r="S139" s="22">
        <f t="shared" si="2"/>
        <v>45</v>
      </c>
      <c r="T139" s="22"/>
      <c r="U139" s="31"/>
      <c r="V139" s="51"/>
    </row>
    <row r="140" spans="1:22" ht="20.100000000000001" customHeight="1" x14ac:dyDescent="0.3">
      <c r="A140" s="44">
        <v>132</v>
      </c>
      <c r="B140" s="22">
        <f>+'Order Details Apr24 - Mar25'!P140</f>
        <v>45554</v>
      </c>
      <c r="C140" s="23"/>
      <c r="D140" s="53" t="str">
        <f>+'Order Details Apr24 - Mar25'!T140</f>
        <v>Bhabani Bio Security Odisha</v>
      </c>
      <c r="E140" s="25"/>
      <c r="F140" s="183" t="str">
        <f>+'Order Details Apr24 - Mar25'!D140</f>
        <v>QV-SHIELD - 888 (Bhabani Bio)</v>
      </c>
      <c r="G140" s="184"/>
      <c r="H140" s="26" t="str">
        <f>+'Order Details Apr24 - Mar25'!G140</f>
        <v>Ltr</v>
      </c>
      <c r="I140" s="27">
        <f>+'Order Details Apr24 - Mar25'!I140</f>
        <v>100</v>
      </c>
      <c r="J140" s="28"/>
      <c r="K140" s="185" t="str">
        <f>+'Order Details Apr24 - Mar25'!R140</f>
        <v>PO / NBF / 190924 / 89</v>
      </c>
      <c r="L140" s="186"/>
      <c r="M140" s="187"/>
      <c r="N140" s="27">
        <f>+'Order Details Apr24 - Mar25'!F140*'Order Details Apr24 - Mar25'!N140</f>
        <v>77194.655999999988</v>
      </c>
      <c r="O140" s="25"/>
      <c r="P140" s="22"/>
      <c r="Q140" s="26"/>
      <c r="R140" s="82">
        <v>45</v>
      </c>
      <c r="S140" s="22">
        <f t="shared" si="2"/>
        <v>45</v>
      </c>
      <c r="T140" s="22"/>
      <c r="U140" s="31"/>
      <c r="V140" s="51"/>
    </row>
    <row r="141" spans="1:22" ht="20.100000000000001" customHeight="1" x14ac:dyDescent="0.3">
      <c r="A141" s="44">
        <v>133</v>
      </c>
      <c r="B141" s="22">
        <f>+'Order Details Apr24 - Mar25'!P141</f>
        <v>45554</v>
      </c>
      <c r="C141" s="23"/>
      <c r="D141" s="53" t="str">
        <f>+'Order Details Apr24 - Mar25'!T141</f>
        <v>Das Drug Centre Pvt Ltd, Habra</v>
      </c>
      <c r="E141" s="25"/>
      <c r="F141" s="183" t="str">
        <f>+'Order Details Apr24 - Mar25'!D141</f>
        <v>FAMITONE (Zenex-AH)</v>
      </c>
      <c r="G141" s="184"/>
      <c r="H141" s="26" t="str">
        <f>+'Order Details Apr24 - Mar25'!G141</f>
        <v>Ltr</v>
      </c>
      <c r="I141" s="27">
        <f>+'Order Details Apr24 - Mar25'!I141</f>
        <v>96</v>
      </c>
      <c r="J141" s="28"/>
      <c r="K141" s="185" t="str">
        <f>+'Order Details Apr24 - Mar25'!R141</f>
        <v>PO / NBF / 190924 / 90</v>
      </c>
      <c r="L141" s="186"/>
      <c r="M141" s="187"/>
      <c r="N141" s="27">
        <f>+'Order Details Apr24 - Mar25'!F141*'Order Details Apr24 - Mar25'!N141</f>
        <v>55680</v>
      </c>
      <c r="O141" s="25"/>
      <c r="P141" s="22"/>
      <c r="Q141" s="26"/>
      <c r="R141" s="82">
        <v>45</v>
      </c>
      <c r="S141" s="22">
        <f t="shared" si="2"/>
        <v>45</v>
      </c>
      <c r="T141" s="22"/>
      <c r="U141" s="31"/>
      <c r="V141" s="51"/>
    </row>
    <row r="142" spans="1:22" ht="20.100000000000001" customHeight="1" x14ac:dyDescent="0.3">
      <c r="A142" s="44">
        <v>134</v>
      </c>
      <c r="B142" s="22">
        <f>+'Order Details Apr24 - Mar25'!P142</f>
        <v>45554</v>
      </c>
      <c r="C142" s="23"/>
      <c r="D142" s="53" t="str">
        <f>+'Order Details Apr24 - Mar25'!T142</f>
        <v>Das Drug Centre Pvt Ltd, Habra</v>
      </c>
      <c r="E142" s="25"/>
      <c r="F142" s="183" t="str">
        <f>+'Order Details Apr24 - Mar25'!D142</f>
        <v>Oxytetracycline-LA Injection (Zenex)</v>
      </c>
      <c r="G142" s="184"/>
      <c r="H142" s="26" t="str">
        <f>+'Order Details Apr24 - Mar25'!G142</f>
        <v>Ml</v>
      </c>
      <c r="I142" s="27">
        <f>+'Order Details Apr24 - Mar25'!I142</f>
        <v>20000</v>
      </c>
      <c r="J142" s="28"/>
      <c r="K142" s="185" t="str">
        <f>+'Order Details Apr24 - Mar25'!R142</f>
        <v>PO / NBF / 190924 / 90</v>
      </c>
      <c r="L142" s="186"/>
      <c r="M142" s="187"/>
      <c r="N142" s="27">
        <f>+'Order Details Apr24 - Mar25'!F142*'Order Details Apr24 - Mar25'!N142</f>
        <v>51967.999999999993</v>
      </c>
      <c r="O142" s="25"/>
      <c r="P142" s="22"/>
      <c r="Q142" s="26"/>
      <c r="R142" s="82">
        <v>45</v>
      </c>
      <c r="S142" s="22">
        <f t="shared" si="2"/>
        <v>45</v>
      </c>
      <c r="T142" s="22"/>
      <c r="U142" s="31"/>
      <c r="V142" s="51"/>
    </row>
    <row r="143" spans="1:22" ht="20.100000000000001" customHeight="1" x14ac:dyDescent="0.3">
      <c r="A143" s="44">
        <v>135</v>
      </c>
      <c r="B143" s="22">
        <f>+'Order Details Apr24 - Mar25'!P143</f>
        <v>45554</v>
      </c>
      <c r="C143" s="23"/>
      <c r="D143" s="53" t="str">
        <f>+'Order Details Apr24 - Mar25'!T143</f>
        <v>Hester Biosciences Limited</v>
      </c>
      <c r="E143" s="25"/>
      <c r="F143" s="183" t="str">
        <f>+'Order Details Apr24 - Mar25'!D143</f>
        <v>INACTIVATED PULLET(LPAI) VAC</v>
      </c>
      <c r="G143" s="184"/>
      <c r="H143" s="26" t="str">
        <f>+'Order Details Apr24 - Mar25'!G143</f>
        <v>Dose</v>
      </c>
      <c r="I143" s="27">
        <f>+'Order Details Apr24 - Mar25'!I143</f>
        <v>38000</v>
      </c>
      <c r="J143" s="28"/>
      <c r="K143" s="185" t="str">
        <f>+'Order Details Apr24 - Mar25'!R143</f>
        <v>PO / NBF / 190924 / 91</v>
      </c>
      <c r="L143" s="186"/>
      <c r="M143" s="187"/>
      <c r="N143" s="27">
        <f>+'Order Details Apr24 - Mar25'!F143*'Order Details Apr24 - Mar25'!N143</f>
        <v>37706.297999999995</v>
      </c>
      <c r="O143" s="25"/>
      <c r="P143" s="22"/>
      <c r="Q143" s="26"/>
      <c r="R143" s="82">
        <v>7</v>
      </c>
      <c r="S143" s="22">
        <f t="shared" si="2"/>
        <v>7</v>
      </c>
      <c r="T143" s="22"/>
      <c r="U143" s="31"/>
      <c r="V143" s="51"/>
    </row>
    <row r="144" spans="1:22" ht="20.100000000000001" customHeight="1" x14ac:dyDescent="0.3">
      <c r="A144" s="44">
        <v>136</v>
      </c>
      <c r="B144" s="22">
        <f>+'Order Details Apr24 - Mar25'!P144</f>
        <v>45554</v>
      </c>
      <c r="C144" s="23"/>
      <c r="D144" s="53" t="str">
        <f>+'Order Details Apr24 - Mar25'!T144</f>
        <v>Venkys India Ltd (AHP Division)</v>
      </c>
      <c r="E144" s="25"/>
      <c r="F144" s="183" t="str">
        <f>+'Order Details Apr24 - Mar25'!D144</f>
        <v>SOLUCAL (AHP Division)</v>
      </c>
      <c r="G144" s="184"/>
      <c r="H144" s="26" t="str">
        <f>+'Order Details Apr24 - Mar25'!G144</f>
        <v>Ltr</v>
      </c>
      <c r="I144" s="27">
        <f>+'Order Details Apr24 - Mar25'!I144</f>
        <v>100</v>
      </c>
      <c r="J144" s="28"/>
      <c r="K144" s="185" t="str">
        <f>+'Order Details Apr24 - Mar25'!R144</f>
        <v>PO / NBF / 190924 / 92</v>
      </c>
      <c r="L144" s="186"/>
      <c r="M144" s="187"/>
      <c r="N144" s="27">
        <f>+'Order Details Apr24 - Mar25'!F144*'Order Details Apr24 - Mar25'!N144</f>
        <v>13840</v>
      </c>
      <c r="O144" s="25"/>
      <c r="P144" s="22"/>
      <c r="Q144" s="26"/>
      <c r="R144" s="82">
        <v>7</v>
      </c>
      <c r="S144" s="22">
        <f t="shared" si="2"/>
        <v>7</v>
      </c>
      <c r="T144" s="22"/>
      <c r="U144" s="31"/>
      <c r="V144" s="51"/>
    </row>
    <row r="145" spans="1:22" ht="20.100000000000001" customHeight="1" x14ac:dyDescent="0.3">
      <c r="A145" s="44">
        <v>137</v>
      </c>
      <c r="B145" s="22">
        <f>+'Order Details Apr24 - Mar25'!P145</f>
        <v>45555</v>
      </c>
      <c r="C145" s="23"/>
      <c r="D145" s="53" t="str">
        <f>+'Order Details Apr24 - Mar25'!T145</f>
        <v>Alivira Animal Health Ltd Mumbai</v>
      </c>
      <c r="E145" s="25"/>
      <c r="F145" s="183" t="str">
        <f>+'Order Details Apr24 - Mar25'!D145</f>
        <v>TRITYL - 62.5% (Alivira)</v>
      </c>
      <c r="G145" s="184"/>
      <c r="H145" s="26" t="str">
        <f>+'Order Details Apr24 - Mar25'!G145</f>
        <v>Gms</v>
      </c>
      <c r="I145" s="27">
        <f>+'Order Details Apr24 - Mar25'!I145</f>
        <v>12800</v>
      </c>
      <c r="J145" s="28"/>
      <c r="K145" s="185" t="str">
        <f>+'Order Details Apr24 - Mar25'!R145</f>
        <v>PO / NBF / 200924 / 93</v>
      </c>
      <c r="L145" s="186"/>
      <c r="M145" s="187"/>
      <c r="N145" s="27">
        <f>+'Order Details Apr24 - Mar25'!F145*'Order Details Apr24 - Mar25'!N145</f>
        <v>306432</v>
      </c>
      <c r="O145" s="25"/>
      <c r="P145" s="22"/>
      <c r="Q145" s="26"/>
      <c r="R145" s="82">
        <v>45</v>
      </c>
      <c r="S145" s="22">
        <f t="shared" si="2"/>
        <v>45</v>
      </c>
      <c r="T145" s="22"/>
      <c r="U145" s="31"/>
      <c r="V145" s="51"/>
    </row>
    <row r="146" spans="1:22" ht="20.100000000000001" customHeight="1" x14ac:dyDescent="0.3">
      <c r="A146" s="44">
        <v>138</v>
      </c>
      <c r="B146" s="22">
        <f>+'Order Details Apr24 - Mar25'!P146</f>
        <v>45555</v>
      </c>
      <c r="C146" s="23"/>
      <c r="D146" s="53" t="str">
        <f>+'Order Details Apr24 - Mar25'!T146</f>
        <v>Das Drug Centre Pvt Ltd, Habra</v>
      </c>
      <c r="E146" s="25"/>
      <c r="F146" s="183" t="str">
        <f>+'Order Details Apr24 - Mar25'!D146</f>
        <v>CHLORAN-15% (Zenex-AH)</v>
      </c>
      <c r="G146" s="184"/>
      <c r="H146" s="26" t="str">
        <f>+'Order Details Apr24 - Mar25'!G146</f>
        <v>Kg</v>
      </c>
      <c r="I146" s="27">
        <f>+'Order Details Apr24 - Mar25'!I146</f>
        <v>300</v>
      </c>
      <c r="J146" s="28"/>
      <c r="K146" s="185" t="str">
        <f>+'Order Details Apr24 - Mar25'!R146</f>
        <v>PO / NBF / 200924 / 94</v>
      </c>
      <c r="L146" s="186"/>
      <c r="M146" s="187"/>
      <c r="N146" s="27">
        <f>+'Order Details Apr24 - Mar25'!F146*'Order Details Apr24 - Mar25'!N146</f>
        <v>72000</v>
      </c>
      <c r="O146" s="25"/>
      <c r="P146" s="22"/>
      <c r="Q146" s="26"/>
      <c r="R146" s="82">
        <v>45</v>
      </c>
      <c r="S146" s="22">
        <f t="shared" si="2"/>
        <v>45</v>
      </c>
      <c r="T146" s="22"/>
      <c r="U146" s="31"/>
      <c r="V146" s="51"/>
    </row>
    <row r="147" spans="1:22" ht="20.100000000000001" customHeight="1" x14ac:dyDescent="0.3">
      <c r="A147" s="44">
        <v>139</v>
      </c>
      <c r="B147" s="22">
        <f>+'Order Details Apr24 - Mar25'!P147</f>
        <v>45555</v>
      </c>
      <c r="C147" s="23"/>
      <c r="D147" s="53" t="str">
        <f>+'Order Details Apr24 - Mar25'!T147</f>
        <v>Das Drug Centre Pvt Ltd, Habra</v>
      </c>
      <c r="E147" s="25"/>
      <c r="F147" s="183" t="str">
        <f>+'Order Details Apr24 - Mar25'!D147</f>
        <v>E CARE SE (Cargill)</v>
      </c>
      <c r="G147" s="184"/>
      <c r="H147" s="26" t="str">
        <f>+'Order Details Apr24 - Mar25'!G147</f>
        <v>Gms</v>
      </c>
      <c r="I147" s="27">
        <f>+'Order Details Apr24 - Mar25'!I147</f>
        <v>300000</v>
      </c>
      <c r="J147" s="28"/>
      <c r="K147" s="185" t="str">
        <f>+'Order Details Apr24 - Mar25'!R147</f>
        <v>PO / NBF / 200924 / 94</v>
      </c>
      <c r="L147" s="186"/>
      <c r="M147" s="187"/>
      <c r="N147" s="27">
        <f>+'Order Details Apr24 - Mar25'!F147*'Order Details Apr24 - Mar25'!N147</f>
        <v>285000</v>
      </c>
      <c r="O147" s="25"/>
      <c r="P147" s="22"/>
      <c r="Q147" s="26"/>
      <c r="R147" s="82">
        <v>45</v>
      </c>
      <c r="S147" s="22">
        <f t="shared" si="2"/>
        <v>45</v>
      </c>
      <c r="T147" s="22"/>
      <c r="U147" s="31"/>
      <c r="V147" s="51"/>
    </row>
    <row r="148" spans="1:22" ht="20.100000000000001" customHeight="1" x14ac:dyDescent="0.3">
      <c r="A148" s="44">
        <v>140</v>
      </c>
      <c r="B148" s="22">
        <f>+'Order Details Apr24 - Mar25'!P148</f>
        <v>45555</v>
      </c>
      <c r="C148" s="23"/>
      <c r="D148" s="53" t="str">
        <f>+'Order Details Apr24 - Mar25'!T148</f>
        <v>Jeco Agrovet Pvt Ltd Kolkata</v>
      </c>
      <c r="E148" s="25"/>
      <c r="F148" s="183" t="str">
        <f>+'Order Details Apr24 - Mar25'!D148</f>
        <v>MICROVIT-E PROMIX-50 (Adisseo)</v>
      </c>
      <c r="G148" s="184"/>
      <c r="H148" s="26" t="str">
        <f>+'Order Details Apr24 - Mar25'!G148</f>
        <v>Kg</v>
      </c>
      <c r="I148" s="27">
        <f>+'Order Details Apr24 - Mar25'!I148</f>
        <v>400</v>
      </c>
      <c r="J148" s="28"/>
      <c r="K148" s="185" t="str">
        <f>+'Order Details Apr24 - Mar25'!R148</f>
        <v>PO / NBF / 200924 / 95</v>
      </c>
      <c r="L148" s="186"/>
      <c r="M148" s="187"/>
      <c r="N148" s="27">
        <f>+'Order Details Apr24 - Mar25'!F148*'Order Details Apr24 - Mar25'!N148</f>
        <v>796000</v>
      </c>
      <c r="O148" s="25"/>
      <c r="P148" s="22"/>
      <c r="Q148" s="26"/>
      <c r="R148" s="82">
        <v>15</v>
      </c>
      <c r="S148" s="22">
        <f t="shared" si="2"/>
        <v>15</v>
      </c>
      <c r="T148" s="22"/>
      <c r="U148" s="31"/>
      <c r="V148" s="51"/>
    </row>
    <row r="149" spans="1:22" ht="20.100000000000001" customHeight="1" x14ac:dyDescent="0.3">
      <c r="A149" s="44">
        <v>141</v>
      </c>
      <c r="B149" s="22">
        <f>+'Order Details Apr24 - Mar25'!P149</f>
        <v>45555</v>
      </c>
      <c r="C149" s="23"/>
      <c r="D149" s="53" t="str">
        <f>+'Order Details Apr24 - Mar25'!T149</f>
        <v>Ves Spa, Barasat, West Bengal</v>
      </c>
      <c r="E149" s="25"/>
      <c r="F149" s="183" t="str">
        <f>+'Order Details Apr24 - Mar25'!D149</f>
        <v>VES CHOL 60% (Vesper)</v>
      </c>
      <c r="G149" s="184"/>
      <c r="H149" s="26" t="str">
        <f>+'Order Details Apr24 - Mar25'!G149</f>
        <v>Kg</v>
      </c>
      <c r="I149" s="27">
        <f>+'Order Details Apr24 - Mar25'!I149</f>
        <v>1000</v>
      </c>
      <c r="J149" s="28"/>
      <c r="K149" s="185" t="str">
        <f>+'Order Details Apr24 - Mar25'!R149</f>
        <v>PO / NBF / 200924 / 96</v>
      </c>
      <c r="L149" s="186"/>
      <c r="M149" s="187"/>
      <c r="N149" s="27">
        <f>+'Order Details Apr24 - Mar25'!F149*'Order Details Apr24 - Mar25'!N149</f>
        <v>90000</v>
      </c>
      <c r="O149" s="25"/>
      <c r="P149" s="22"/>
      <c r="Q149" s="26"/>
      <c r="R149" s="82">
        <v>45</v>
      </c>
      <c r="S149" s="22">
        <f t="shared" si="2"/>
        <v>45</v>
      </c>
      <c r="T149" s="22"/>
      <c r="U149" s="31"/>
      <c r="V149" s="51"/>
    </row>
    <row r="150" spans="1:22" ht="20.100000000000001" customHeight="1" x14ac:dyDescent="0.3">
      <c r="A150" s="44">
        <v>142</v>
      </c>
      <c r="B150" s="22" t="str">
        <f>+'Order Details Apr24 - Mar25'!P150</f>
        <v>CANCELLED</v>
      </c>
      <c r="C150" s="23"/>
      <c r="D150" s="53" t="str">
        <f>+'Order Details Apr24 - Mar25'!T150</f>
        <v xml:space="preserve">RR Veterianary Health Care </v>
      </c>
      <c r="E150" s="25"/>
      <c r="F150" s="183" t="str">
        <f>+'Order Details Apr24 - Mar25'!D150</f>
        <v>LENEODOX (RRVHC)</v>
      </c>
      <c r="G150" s="184"/>
      <c r="H150" s="26" t="str">
        <f>+'Order Details Apr24 - Mar25'!G150</f>
        <v>Kg</v>
      </c>
      <c r="I150" s="27">
        <f>+'Order Details Apr24 - Mar25'!I150</f>
        <v>500</v>
      </c>
      <c r="J150" s="28"/>
      <c r="K150" s="185" t="str">
        <f>+'Order Details Apr24 - Mar25'!R150</f>
        <v>PO / NBF / 280924 / 97</v>
      </c>
      <c r="L150" s="186"/>
      <c r="M150" s="187"/>
      <c r="N150" s="27">
        <f>+'Order Details Apr24 - Mar25'!F150*'Order Details Apr24 - Mar25'!N150</f>
        <v>230000</v>
      </c>
      <c r="O150" s="25"/>
      <c r="P150" s="22"/>
      <c r="Q150" s="26"/>
      <c r="R150" s="82">
        <v>0</v>
      </c>
      <c r="S150" s="22">
        <f t="shared" si="2"/>
        <v>0</v>
      </c>
      <c r="T150" s="22"/>
      <c r="U150" s="31"/>
      <c r="V150" s="51"/>
    </row>
    <row r="151" spans="1:22" ht="20.100000000000001" customHeight="1" x14ac:dyDescent="0.3">
      <c r="A151" s="44">
        <v>143</v>
      </c>
      <c r="B151" s="22">
        <f>+'Order Details Apr24 - Mar25'!P151</f>
        <v>45563</v>
      </c>
      <c r="C151" s="23"/>
      <c r="D151" s="53" t="str">
        <f>+'Order Details Apr24 - Mar25'!T151</f>
        <v>Das Drug Centre Pvt Ltd, Habra</v>
      </c>
      <c r="E151" s="25"/>
      <c r="F151" s="183" t="str">
        <f>+'Order Details Apr24 - Mar25'!D151</f>
        <v>VALOSIN (Timoeva Wellness)</v>
      </c>
      <c r="G151" s="184"/>
      <c r="H151" s="26" t="str">
        <f>+'Order Details Apr24 - Mar25'!G151</f>
        <v>Kg</v>
      </c>
      <c r="I151" s="27">
        <f>+'Order Details Apr24 - Mar25'!I151</f>
        <v>14</v>
      </c>
      <c r="J151" s="28"/>
      <c r="K151" s="185" t="str">
        <f>+'Order Details Apr24 - Mar25'!R151</f>
        <v>PO / NBF / 280924 / 98</v>
      </c>
      <c r="L151" s="186"/>
      <c r="M151" s="187"/>
      <c r="N151" s="27">
        <f>+'Order Details Apr24 - Mar25'!F151*'Order Details Apr24 - Mar25'!N151</f>
        <v>357280</v>
      </c>
      <c r="O151" s="25"/>
      <c r="P151" s="22"/>
      <c r="Q151" s="26"/>
      <c r="R151" s="82">
        <v>45</v>
      </c>
      <c r="S151" s="22">
        <f t="shared" si="2"/>
        <v>45</v>
      </c>
      <c r="T151" s="22"/>
      <c r="U151" s="31"/>
      <c r="V151" s="51"/>
    </row>
    <row r="152" spans="1:22" ht="20.100000000000001" customHeight="1" x14ac:dyDescent="0.3">
      <c r="A152" s="44">
        <v>144</v>
      </c>
      <c r="B152" s="22">
        <f>+'Order Details Apr24 - Mar25'!P152</f>
        <v>45565</v>
      </c>
      <c r="C152" s="23"/>
      <c r="D152" s="53" t="str">
        <f>+'Order Details Apr24 - Mar25'!T152</f>
        <v>Alltech Biotechnology Pvt Ltd</v>
      </c>
      <c r="E152" s="25"/>
      <c r="F152" s="183" t="str">
        <f>+'Order Details Apr24 - Mar25'!D152</f>
        <v>MYCOSORB A+ (Alltech)</v>
      </c>
      <c r="G152" s="184"/>
      <c r="H152" s="26" t="str">
        <f>+'Order Details Apr24 - Mar25'!G152</f>
        <v>Kg</v>
      </c>
      <c r="I152" s="27">
        <f>+'Order Details Apr24 - Mar25'!I152</f>
        <v>500</v>
      </c>
      <c r="J152" s="28"/>
      <c r="K152" s="185" t="str">
        <f>+'Order Details Apr24 - Mar25'!R152</f>
        <v>PO / NBF / 300924 / 99</v>
      </c>
      <c r="L152" s="186"/>
      <c r="M152" s="187"/>
      <c r="N152" s="27">
        <f>+'Order Details Apr24 - Mar25'!F152*'Order Details Apr24 - Mar25'!N152</f>
        <v>125000</v>
      </c>
      <c r="O152" s="25"/>
      <c r="P152" s="22"/>
      <c r="Q152" s="26"/>
      <c r="R152" s="82">
        <v>7</v>
      </c>
      <c r="S152" s="22">
        <f t="shared" si="2"/>
        <v>7</v>
      </c>
      <c r="T152" s="22"/>
      <c r="U152" s="31"/>
      <c r="V152" s="51"/>
    </row>
    <row r="153" spans="1:22" ht="20.100000000000001" customHeight="1" x14ac:dyDescent="0.3">
      <c r="A153" s="44">
        <v>145</v>
      </c>
      <c r="B153" s="22">
        <f>+'Order Details Apr24 - Mar25'!P153</f>
        <v>45565</v>
      </c>
      <c r="C153" s="23"/>
      <c r="D153" s="53" t="str">
        <f>+'Order Details Apr24 - Mar25'!T153</f>
        <v>Avitech Nutrition Pvt Ltd</v>
      </c>
      <c r="E153" s="25"/>
      <c r="F153" s="183" t="str">
        <f>+'Order Details Apr24 - Mar25'!D153</f>
        <v>GENOLIV (Phygeno)</v>
      </c>
      <c r="G153" s="184"/>
      <c r="H153" s="26" t="str">
        <f>+'Order Details Apr24 - Mar25'!G153</f>
        <v>Kg</v>
      </c>
      <c r="I153" s="27">
        <f>+'Order Details Apr24 - Mar25'!I153</f>
        <v>1000</v>
      </c>
      <c r="J153" s="28"/>
      <c r="K153" s="185" t="str">
        <f>+'Order Details Apr24 - Mar25'!R153</f>
        <v>PO / NBF / 300924 / 100</v>
      </c>
      <c r="L153" s="186"/>
      <c r="M153" s="187"/>
      <c r="N153" s="27">
        <f>+'Order Details Apr24 - Mar25'!F153*'Order Details Apr24 - Mar25'!N153</f>
        <v>75000</v>
      </c>
      <c r="O153" s="25"/>
      <c r="P153" s="22"/>
      <c r="Q153" s="26"/>
      <c r="R153" s="82">
        <v>7</v>
      </c>
      <c r="S153" s="22">
        <f t="shared" si="2"/>
        <v>7</v>
      </c>
      <c r="T153" s="22"/>
      <c r="U153" s="31"/>
      <c r="V153" s="51"/>
    </row>
    <row r="154" spans="1:22" ht="20.100000000000001" customHeight="1" x14ac:dyDescent="0.3">
      <c r="A154" s="44">
        <v>146</v>
      </c>
      <c r="B154" s="22">
        <f>+'Order Details Apr24 - Mar25'!P154</f>
        <v>45565</v>
      </c>
      <c r="C154" s="23"/>
      <c r="D154" s="53" t="str">
        <f>+'Order Details Apr24 - Mar25'!T154</f>
        <v>Crescent Marketing Hyderabad</v>
      </c>
      <c r="E154" s="25"/>
      <c r="F154" s="183" t="str">
        <f>+'Order Details Apr24 - Mar25'!D154</f>
        <v>Hivit Injection (Zene-AH)</v>
      </c>
      <c r="G154" s="184"/>
      <c r="H154" s="26" t="str">
        <f>+'Order Details Apr24 - Mar25'!G154</f>
        <v>Ml</v>
      </c>
      <c r="I154" s="27">
        <f>+'Order Details Apr24 - Mar25'!I154</f>
        <v>20000</v>
      </c>
      <c r="J154" s="28"/>
      <c r="K154" s="185" t="str">
        <f>+'Order Details Apr24 - Mar25'!R154</f>
        <v>PO / NBF / 300924 / 101</v>
      </c>
      <c r="L154" s="186"/>
      <c r="M154" s="187"/>
      <c r="N154" s="27">
        <f>+'Order Details Apr24 - Mar25'!F154*'Order Details Apr24 - Mar25'!N154</f>
        <v>22848</v>
      </c>
      <c r="O154" s="25"/>
      <c r="P154" s="22"/>
      <c r="Q154" s="26"/>
      <c r="R154" s="82">
        <v>45</v>
      </c>
      <c r="S154" s="22">
        <f t="shared" si="2"/>
        <v>45</v>
      </c>
      <c r="T154" s="22"/>
      <c r="U154" s="31"/>
      <c r="V154" s="51"/>
    </row>
    <row r="155" spans="1:22" ht="20.100000000000001" customHeight="1" x14ac:dyDescent="0.3">
      <c r="A155" s="44">
        <v>147</v>
      </c>
      <c r="B155" s="22">
        <f>+'Order Details Apr24 - Mar25'!P155</f>
        <v>45565</v>
      </c>
      <c r="C155" s="23"/>
      <c r="D155" s="53" t="str">
        <f>+'Order Details Apr24 - Mar25'!T155</f>
        <v>Crescent Marketing Hyderabad</v>
      </c>
      <c r="E155" s="25"/>
      <c r="F155" s="183" t="str">
        <f>+'Order Details Apr24 - Mar25'!D155</f>
        <v>Oxytetracycline-LA Injection (Zenex)</v>
      </c>
      <c r="G155" s="184"/>
      <c r="H155" s="26" t="str">
        <f>+'Order Details Apr24 - Mar25'!G155</f>
        <v>Ml</v>
      </c>
      <c r="I155" s="27">
        <f>+'Order Details Apr24 - Mar25'!I155</f>
        <v>30000</v>
      </c>
      <c r="J155" s="28"/>
      <c r="K155" s="185" t="str">
        <f>+'Order Details Apr24 - Mar25'!R155</f>
        <v>PO / NBF / 300924 / 101</v>
      </c>
      <c r="L155" s="186"/>
      <c r="M155" s="187"/>
      <c r="N155" s="27">
        <f>+'Order Details Apr24 - Mar25'!F155*'Order Details Apr24 - Mar25'!N155</f>
        <v>77951.999999999985</v>
      </c>
      <c r="O155" s="25"/>
      <c r="P155" s="22"/>
      <c r="Q155" s="26"/>
      <c r="R155" s="82">
        <v>45</v>
      </c>
      <c r="S155" s="22">
        <f t="shared" si="2"/>
        <v>45</v>
      </c>
      <c r="T155" s="22"/>
      <c r="U155" s="31"/>
      <c r="V155" s="51"/>
    </row>
    <row r="156" spans="1:22" ht="20.100000000000001" customHeight="1" x14ac:dyDescent="0.3">
      <c r="A156" s="44">
        <v>148</v>
      </c>
      <c r="B156" s="22">
        <f>+'Order Details Apr24 - Mar25'!P156</f>
        <v>45565</v>
      </c>
      <c r="C156" s="23"/>
      <c r="D156" s="53" t="str">
        <f>+'Order Details Apr24 - Mar25'!T156</f>
        <v>Healers Associates, Vijayawada</v>
      </c>
      <c r="E156" s="25"/>
      <c r="F156" s="183" t="str">
        <f>+'Order Details Apr24 - Mar25'!D156</f>
        <v>SPERMED (Medichem Product)</v>
      </c>
      <c r="G156" s="184"/>
      <c r="H156" s="26" t="str">
        <f>+'Order Details Apr24 - Mar25'!G156</f>
        <v>Kg</v>
      </c>
      <c r="I156" s="27">
        <f>+'Order Details Apr24 - Mar25'!I156</f>
        <v>30</v>
      </c>
      <c r="J156" s="28"/>
      <c r="K156" s="185" t="str">
        <f>+'Order Details Apr24 - Mar25'!R156</f>
        <v>PO / NBF / 300924 / 102</v>
      </c>
      <c r="L156" s="186"/>
      <c r="M156" s="187"/>
      <c r="N156" s="27">
        <f>+'Order Details Apr24 - Mar25'!F156*'Order Details Apr24 - Mar25'!N156</f>
        <v>105000</v>
      </c>
      <c r="O156" s="25"/>
      <c r="P156" s="22"/>
      <c r="Q156" s="26"/>
      <c r="R156" s="82">
        <v>45</v>
      </c>
      <c r="S156" s="22">
        <f t="shared" si="2"/>
        <v>45</v>
      </c>
      <c r="T156" s="22"/>
      <c r="U156" s="31"/>
      <c r="V156" s="51"/>
    </row>
    <row r="157" spans="1:22" ht="20.100000000000001" customHeight="1" x14ac:dyDescent="0.3">
      <c r="A157" s="44">
        <v>149</v>
      </c>
      <c r="B157" s="22">
        <f>+'Order Details Apr24 - Mar25'!P157</f>
        <v>45565</v>
      </c>
      <c r="C157" s="23"/>
      <c r="D157" s="53" t="str">
        <f>+'Order Details Apr24 - Mar25'!T157</f>
        <v>Tara Enterprises Hyderabad</v>
      </c>
      <c r="E157" s="25"/>
      <c r="F157" s="183" t="str">
        <f>+'Order Details Apr24 - Mar25'!D157</f>
        <v>IMMUTAS PLUS (Intas)</v>
      </c>
      <c r="G157" s="184"/>
      <c r="H157" s="26" t="str">
        <f>+'Order Details Apr24 - Mar25'!G157</f>
        <v>Kg</v>
      </c>
      <c r="I157" s="27">
        <f>+'Order Details Apr24 - Mar25'!I157</f>
        <v>150</v>
      </c>
      <c r="J157" s="28"/>
      <c r="K157" s="185" t="str">
        <f>+'Order Details Apr24 - Mar25'!R157</f>
        <v>PO / NBF / 300924 / 103</v>
      </c>
      <c r="L157" s="186"/>
      <c r="M157" s="187"/>
      <c r="N157" s="27">
        <f>+'Order Details Apr24 - Mar25'!F157*'Order Details Apr24 - Mar25'!N157</f>
        <v>157500</v>
      </c>
      <c r="O157" s="25"/>
      <c r="P157" s="22"/>
      <c r="Q157" s="26"/>
      <c r="R157" s="82">
        <v>45</v>
      </c>
      <c r="S157" s="22">
        <f t="shared" si="2"/>
        <v>45</v>
      </c>
      <c r="T157" s="22"/>
      <c r="U157" s="31"/>
      <c r="V157" s="51"/>
    </row>
    <row r="158" spans="1:22" ht="20.100000000000001" customHeight="1" x14ac:dyDescent="0.3">
      <c r="A158" s="44">
        <v>150</v>
      </c>
      <c r="B158" s="22">
        <f>+'Order Details Apr24 - Mar25'!P158</f>
        <v>45565</v>
      </c>
      <c r="C158" s="23"/>
      <c r="D158" s="53" t="str">
        <f>+'Order Details Apr24 - Mar25'!T158</f>
        <v>Trouw Nutrition India Pvt Ltd</v>
      </c>
      <c r="E158" s="25"/>
      <c r="F158" s="183" t="str">
        <f>+'Order Details Apr24 - Mar25'!D158</f>
        <v>TOXO - XL (Trouw Nutrition)</v>
      </c>
      <c r="G158" s="184"/>
      <c r="H158" s="26" t="str">
        <f>+'Order Details Apr24 - Mar25'!G158</f>
        <v>Kg</v>
      </c>
      <c r="I158" s="27">
        <f>+'Order Details Apr24 - Mar25'!I158</f>
        <v>1000</v>
      </c>
      <c r="J158" s="28"/>
      <c r="K158" s="185" t="str">
        <f>+'Order Details Apr24 - Mar25'!R158</f>
        <v>PO / NBF / 300924 / 104</v>
      </c>
      <c r="L158" s="186"/>
      <c r="M158" s="187"/>
      <c r="N158" s="27">
        <f>+'Order Details Apr24 - Mar25'!F158*'Order Details Apr24 - Mar25'!N158</f>
        <v>170000</v>
      </c>
      <c r="O158" s="25"/>
      <c r="P158" s="22"/>
      <c r="Q158" s="26"/>
      <c r="R158" s="82">
        <v>7</v>
      </c>
      <c r="S158" s="22">
        <f t="shared" si="2"/>
        <v>7</v>
      </c>
      <c r="T158" s="22"/>
      <c r="U158" s="31"/>
      <c r="V158" s="51"/>
    </row>
    <row r="159" spans="1:22" ht="20.100000000000001" customHeight="1" x14ac:dyDescent="0.3">
      <c r="A159" s="44">
        <v>151</v>
      </c>
      <c r="B159" s="22">
        <f>+'Order Details Apr24 - Mar25'!P159</f>
        <v>45573</v>
      </c>
      <c r="C159" s="23"/>
      <c r="D159" s="53" t="str">
        <f>+'Order Details Apr24 - Mar25'!T159</f>
        <v>Provimi Animal Nutrition India</v>
      </c>
      <c r="E159" s="25"/>
      <c r="F159" s="183" t="str">
        <f>+'Order Details Apr24 - Mar25'!D159</f>
        <v>DL Methionine (Evonik)</v>
      </c>
      <c r="G159" s="184"/>
      <c r="H159" s="26" t="str">
        <f>+'Order Details Apr24 - Mar25'!G159</f>
        <v>Kg</v>
      </c>
      <c r="I159" s="27">
        <f>+'Order Details Apr24 - Mar25'!I159</f>
        <v>1000</v>
      </c>
      <c r="J159" s="28"/>
      <c r="K159" s="185" t="str">
        <f>+'Order Details Apr24 - Mar25'!R159</f>
        <v>PO / NBF / 081024 / 105</v>
      </c>
      <c r="L159" s="186"/>
      <c r="M159" s="187"/>
      <c r="N159" s="27">
        <f>+'Order Details Apr24 - Mar25'!F159*'Order Details Apr24 - Mar25'!N159</f>
        <v>259998.83999999997</v>
      </c>
      <c r="O159" s="25"/>
      <c r="P159" s="22"/>
      <c r="Q159" s="26"/>
      <c r="R159" s="82">
        <v>15</v>
      </c>
      <c r="S159" s="22">
        <f t="shared" si="2"/>
        <v>15</v>
      </c>
      <c r="T159" s="22"/>
      <c r="U159" s="31"/>
      <c r="V159" s="51"/>
    </row>
    <row r="160" spans="1:22" ht="20.100000000000001" customHeight="1" x14ac:dyDescent="0.3">
      <c r="A160" s="44">
        <v>152</v>
      </c>
      <c r="B160" s="22">
        <f>+'Order Details Apr24 - Mar25'!P160</f>
        <v>45573</v>
      </c>
      <c r="C160" s="23"/>
      <c r="D160" s="53" t="str">
        <f>+'Order Details Apr24 - Mar25'!T160</f>
        <v>Sai Kiran Medical Agencies HYD</v>
      </c>
      <c r="E160" s="25"/>
      <c r="F160" s="183" t="str">
        <f>+'Order Details Apr24 - Mar25'!D160</f>
        <v>SALCOCHEK (Ayurvet)</v>
      </c>
      <c r="G160" s="184"/>
      <c r="H160" s="26" t="str">
        <f>+'Order Details Apr24 - Mar25'!G160</f>
        <v>Kg</v>
      </c>
      <c r="I160" s="27">
        <f>+'Order Details Apr24 - Mar25'!I160</f>
        <v>500</v>
      </c>
      <c r="J160" s="28"/>
      <c r="K160" s="185" t="str">
        <f>+'Order Details Apr24 - Mar25'!R160</f>
        <v>PO / NBF / 081024 / 106</v>
      </c>
      <c r="L160" s="186"/>
      <c r="M160" s="187"/>
      <c r="N160" s="27">
        <f>+'Order Details Apr24 - Mar25'!F160*'Order Details Apr24 - Mar25'!N160</f>
        <v>71680</v>
      </c>
      <c r="O160" s="25"/>
      <c r="P160" s="22"/>
      <c r="Q160" s="26"/>
      <c r="R160" s="82">
        <v>45</v>
      </c>
      <c r="S160" s="22">
        <f t="shared" si="2"/>
        <v>45</v>
      </c>
      <c r="T160" s="22"/>
      <c r="U160" s="31"/>
      <c r="V160" s="51"/>
    </row>
    <row r="161" spans="1:22" ht="20.100000000000001" customHeight="1" x14ac:dyDescent="0.3">
      <c r="A161" s="44">
        <v>153</v>
      </c>
      <c r="B161" s="22">
        <f>+'Order Details Apr24 - Mar25'!P161</f>
        <v>45579</v>
      </c>
      <c r="C161" s="23"/>
      <c r="D161" s="53" t="str">
        <f>+'Order Details Apr24 - Mar25'!T161</f>
        <v>Venkateshwara Hatcheries Ltd</v>
      </c>
      <c r="E161" s="25"/>
      <c r="F161" s="183" t="str">
        <f>+'Order Details Apr24 - Mar25'!D161</f>
        <v>ND (Lasota) Live Vaccine</v>
      </c>
      <c r="G161" s="184"/>
      <c r="H161" s="26" t="str">
        <f>+'Order Details Apr24 - Mar25'!G161</f>
        <v>Dose</v>
      </c>
      <c r="I161" s="27">
        <f>+'Order Details Apr24 - Mar25'!I161</f>
        <v>70000</v>
      </c>
      <c r="J161" s="28"/>
      <c r="K161" s="185" t="str">
        <f>+'Order Details Apr24 - Mar25'!R161</f>
        <v>PO / NBF / 141024 / 107</v>
      </c>
      <c r="L161" s="186"/>
      <c r="M161" s="187"/>
      <c r="N161" s="27">
        <f>+'Order Details Apr24 - Mar25'!F161*'Order Details Apr24 - Mar25'!N161</f>
        <v>4116</v>
      </c>
      <c r="O161" s="25"/>
      <c r="P161" s="22"/>
      <c r="Q161" s="26"/>
      <c r="R161" s="82">
        <v>7</v>
      </c>
      <c r="S161" s="22">
        <f t="shared" si="2"/>
        <v>7</v>
      </c>
      <c r="T161" s="22"/>
      <c r="U161" s="31"/>
      <c r="V161" s="51"/>
    </row>
    <row r="162" spans="1:22" ht="20.100000000000001" customHeight="1" x14ac:dyDescent="0.3">
      <c r="A162" s="44">
        <v>154</v>
      </c>
      <c r="B162" s="22">
        <f>+'Order Details Apr24 - Mar25'!P162</f>
        <v>45580</v>
      </c>
      <c r="C162" s="23"/>
      <c r="D162" s="53" t="str">
        <f>+'Order Details Apr24 - Mar25'!T162</f>
        <v>B V Biocrop, Hitech Division</v>
      </c>
      <c r="E162" s="25"/>
      <c r="F162" s="183" t="str">
        <f>+'Order Details Apr24 - Mar25'!D162</f>
        <v>BV-CLO2 (10 Gram) TAB</v>
      </c>
      <c r="G162" s="184"/>
      <c r="H162" s="26" t="str">
        <f>+'Order Details Apr24 - Mar25'!G162</f>
        <v>Pcs</v>
      </c>
      <c r="I162" s="27">
        <f>+'Order Details Apr24 - Mar25'!I162</f>
        <v>1500</v>
      </c>
      <c r="J162" s="28"/>
      <c r="K162" s="185" t="str">
        <f>+'Order Details Apr24 - Mar25'!R162</f>
        <v>PO / NBF / 151024 / 108</v>
      </c>
      <c r="L162" s="186"/>
      <c r="M162" s="187"/>
      <c r="N162" s="27">
        <f>+'Order Details Apr24 - Mar25'!F162*'Order Details Apr24 - Mar25'!N162</f>
        <v>35400</v>
      </c>
      <c r="O162" s="25"/>
      <c r="P162" s="22"/>
      <c r="Q162" s="26"/>
      <c r="R162" s="82">
        <v>7</v>
      </c>
      <c r="S162" s="22">
        <f t="shared" si="2"/>
        <v>7</v>
      </c>
      <c r="T162" s="22"/>
      <c r="U162" s="31"/>
      <c r="V162" s="51"/>
    </row>
    <row r="163" spans="1:22" ht="20.100000000000001" customHeight="1" x14ac:dyDescent="0.3">
      <c r="A163" s="44">
        <v>155</v>
      </c>
      <c r="B163" s="22">
        <f>+'Order Details Apr24 - Mar25'!P163</f>
        <v>45580</v>
      </c>
      <c r="C163" s="23"/>
      <c r="D163" s="53" t="str">
        <f>+'Order Details Apr24 - Mar25'!T163</f>
        <v>Bhabani Bio Security Odisha</v>
      </c>
      <c r="E163" s="25"/>
      <c r="F163" s="183" t="str">
        <f>+'Order Details Apr24 - Mar25'!D163</f>
        <v>BB - EVEECT- 8 (Bhabani Bio)</v>
      </c>
      <c r="G163" s="184"/>
      <c r="H163" s="26" t="str">
        <f>+'Order Details Apr24 - Mar25'!G163</f>
        <v>Ltr</v>
      </c>
      <c r="I163" s="27">
        <f>+'Order Details Apr24 - Mar25'!I163</f>
        <v>200</v>
      </c>
      <c r="J163" s="28"/>
      <c r="K163" s="185" t="str">
        <f>+'Order Details Apr24 - Mar25'!R163</f>
        <v>PO / NBF / 151024 / 109</v>
      </c>
      <c r="L163" s="186"/>
      <c r="M163" s="187"/>
      <c r="N163" s="27">
        <f>+'Order Details Apr24 - Mar25'!F163*'Order Details Apr24 - Mar25'!N163</f>
        <v>40480</v>
      </c>
      <c r="O163" s="25"/>
      <c r="P163" s="22"/>
      <c r="Q163" s="26"/>
      <c r="R163" s="82">
        <v>45</v>
      </c>
      <c r="S163" s="22">
        <f t="shared" si="2"/>
        <v>45</v>
      </c>
      <c r="T163" s="22"/>
      <c r="U163" s="31"/>
      <c r="V163" s="51"/>
    </row>
    <row r="164" spans="1:22" ht="20.100000000000001" customHeight="1" x14ac:dyDescent="0.3">
      <c r="A164" s="44">
        <v>156</v>
      </c>
      <c r="B164" s="22">
        <f>+'Order Details Apr24 - Mar25'!P164</f>
        <v>45580</v>
      </c>
      <c r="C164" s="23"/>
      <c r="D164" s="53" t="str">
        <f>+'Order Details Apr24 - Mar25'!T164</f>
        <v>Bhavani Veterianary Medical</v>
      </c>
      <c r="E164" s="25"/>
      <c r="F164" s="183" t="str">
        <f>+'Order Details Apr24 - Mar25'!D164</f>
        <v>RECEPTAL VET (MSD)</v>
      </c>
      <c r="G164" s="184"/>
      <c r="H164" s="26" t="str">
        <f>+'Order Details Apr24 - Mar25'!G164</f>
        <v>Ml</v>
      </c>
      <c r="I164" s="27">
        <f>+'Order Details Apr24 - Mar25'!I164</f>
        <v>2000</v>
      </c>
      <c r="J164" s="28"/>
      <c r="K164" s="185" t="str">
        <f>+'Order Details Apr24 - Mar25'!R164</f>
        <v>PO / NBF / 151024 / 110</v>
      </c>
      <c r="L164" s="186"/>
      <c r="M164" s="187"/>
      <c r="N164" s="27">
        <f>+'Order Details Apr24 - Mar25'!F164*'Order Details Apr24 - Mar25'!N164</f>
        <v>140000</v>
      </c>
      <c r="O164" s="25"/>
      <c r="P164" s="22"/>
      <c r="Q164" s="26"/>
      <c r="R164" s="82">
        <v>30</v>
      </c>
      <c r="S164" s="22">
        <f t="shared" si="2"/>
        <v>30</v>
      </c>
      <c r="T164" s="22"/>
      <c r="U164" s="31"/>
      <c r="V164" s="51"/>
    </row>
    <row r="165" spans="1:22" ht="20.100000000000001" customHeight="1" x14ac:dyDescent="0.3">
      <c r="A165" s="44">
        <v>157</v>
      </c>
      <c r="B165" s="22">
        <f>+'Order Details Apr24 - Mar25'!P165</f>
        <v>45580</v>
      </c>
      <c r="C165" s="23"/>
      <c r="D165" s="53" t="str">
        <f>+'Order Details Apr24 - Mar25'!T165</f>
        <v>Das Drug Centre Pvt Ltd, Habra</v>
      </c>
      <c r="E165" s="25"/>
      <c r="F165" s="183" t="str">
        <f>+'Order Details Apr24 - Mar25'!D165</f>
        <v>ENROCIN-10% (Zoetis)</v>
      </c>
      <c r="G165" s="184"/>
      <c r="H165" s="26" t="str">
        <f>+'Order Details Apr24 - Mar25'!G165</f>
        <v>Ltr</v>
      </c>
      <c r="I165" s="27">
        <f>+'Order Details Apr24 - Mar25'!I165</f>
        <v>100</v>
      </c>
      <c r="J165" s="28"/>
      <c r="K165" s="185" t="str">
        <f>+'Order Details Apr24 - Mar25'!R165</f>
        <v>PO / NBF / 151024 / 111</v>
      </c>
      <c r="L165" s="186"/>
      <c r="M165" s="187"/>
      <c r="N165" s="27">
        <f>+'Order Details Apr24 - Mar25'!F165*'Order Details Apr24 - Mar25'!N165</f>
        <v>57953.279999999999</v>
      </c>
      <c r="O165" s="25"/>
      <c r="P165" s="22"/>
      <c r="Q165" s="26"/>
      <c r="R165" s="82">
        <v>45</v>
      </c>
      <c r="S165" s="22">
        <f t="shared" si="2"/>
        <v>45</v>
      </c>
      <c r="T165" s="22"/>
      <c r="U165" s="31"/>
      <c r="V165" s="51"/>
    </row>
    <row r="166" spans="1:22" ht="20.100000000000001" customHeight="1" x14ac:dyDescent="0.3">
      <c r="A166" s="44">
        <v>158</v>
      </c>
      <c r="B166" s="22">
        <f>+'Order Details Apr24 - Mar25'!P166</f>
        <v>45580</v>
      </c>
      <c r="C166" s="23"/>
      <c r="D166" s="53" t="str">
        <f>+'Order Details Apr24 - Mar25'!T166</f>
        <v>Das Drug Centre Pvt Ltd, Habra</v>
      </c>
      <c r="E166" s="25"/>
      <c r="F166" s="183" t="str">
        <f>+'Order Details Apr24 - Mar25'!D166</f>
        <v>KOHRSOLIN-TH (Virbac)</v>
      </c>
      <c r="G166" s="184"/>
      <c r="H166" s="26" t="str">
        <f>+'Order Details Apr24 - Mar25'!G166</f>
        <v>Ltr</v>
      </c>
      <c r="I166" s="27">
        <f>+'Order Details Apr24 - Mar25'!I166</f>
        <v>100</v>
      </c>
      <c r="J166" s="28"/>
      <c r="K166" s="185" t="str">
        <f>+'Order Details Apr24 - Mar25'!R166</f>
        <v>PO / NBF / 151024 / 111</v>
      </c>
      <c r="L166" s="186"/>
      <c r="M166" s="187"/>
      <c r="N166" s="27">
        <f>+'Order Details Apr24 - Mar25'!F166*'Order Details Apr24 - Mar25'!N166</f>
        <v>116348</v>
      </c>
      <c r="O166" s="25"/>
      <c r="P166" s="22"/>
      <c r="Q166" s="26"/>
      <c r="R166" s="82">
        <v>45</v>
      </c>
      <c r="S166" s="22">
        <f t="shared" si="2"/>
        <v>45</v>
      </c>
      <c r="T166" s="22"/>
      <c r="U166" s="31"/>
      <c r="V166" s="51"/>
    </row>
    <row r="167" spans="1:22" ht="20.100000000000001" customHeight="1" x14ac:dyDescent="0.3">
      <c r="A167" s="44">
        <v>159</v>
      </c>
      <c r="B167" s="22">
        <f>+'Order Details Apr24 - Mar25'!P167</f>
        <v>45580</v>
      </c>
      <c r="C167" s="23"/>
      <c r="D167" s="53" t="str">
        <f>+'Order Details Apr24 - Mar25'!T167</f>
        <v>Das Drug Centre Pvt Ltd, Habra</v>
      </c>
      <c r="E167" s="25"/>
      <c r="F167" s="183" t="str">
        <f>+'Order Details Apr24 - Mar25'!D167</f>
        <v>LEMASOL-P (Zenex-AH)</v>
      </c>
      <c r="G167" s="184"/>
      <c r="H167" s="26" t="str">
        <f>+'Order Details Apr24 - Mar25'!G167</f>
        <v>Kg</v>
      </c>
      <c r="I167" s="27">
        <f>+'Order Details Apr24 - Mar25'!I167</f>
        <v>30</v>
      </c>
      <c r="J167" s="28"/>
      <c r="K167" s="185" t="str">
        <f>+'Order Details Apr24 - Mar25'!R167</f>
        <v>PO / NBF / 151024 / 111</v>
      </c>
      <c r="L167" s="186"/>
      <c r="M167" s="187"/>
      <c r="N167" s="27">
        <f>+'Order Details Apr24 - Mar25'!F167*'Order Details Apr24 - Mar25'!N167</f>
        <v>114508.8</v>
      </c>
      <c r="O167" s="25"/>
      <c r="P167" s="22"/>
      <c r="Q167" s="26"/>
      <c r="R167" s="82">
        <v>45</v>
      </c>
      <c r="S167" s="22">
        <f t="shared" si="2"/>
        <v>45</v>
      </c>
      <c r="T167" s="22"/>
      <c r="U167" s="31"/>
      <c r="V167" s="51"/>
    </row>
    <row r="168" spans="1:22" ht="20.100000000000001" customHeight="1" x14ac:dyDescent="0.3">
      <c r="A168" s="44">
        <v>160</v>
      </c>
      <c r="B168" s="22">
        <f>+'Order Details Apr24 - Mar25'!P168</f>
        <v>45580</v>
      </c>
      <c r="C168" s="23"/>
      <c r="D168" s="53" t="str">
        <f>+'Order Details Apr24 - Mar25'!T168</f>
        <v>Das Drug Centre Pvt Ltd, Habra</v>
      </c>
      <c r="E168" s="25"/>
      <c r="F168" s="183" t="str">
        <f>+'Order Details Apr24 - Mar25'!D168</f>
        <v>Oxytetracycline-LA Injection (Zenex)</v>
      </c>
      <c r="G168" s="184"/>
      <c r="H168" s="26" t="str">
        <f>+'Order Details Apr24 - Mar25'!G168</f>
        <v>Ml</v>
      </c>
      <c r="I168" s="27">
        <f>+'Order Details Apr24 - Mar25'!I168</f>
        <v>20000</v>
      </c>
      <c r="J168" s="28"/>
      <c r="K168" s="185" t="str">
        <f>+'Order Details Apr24 - Mar25'!R168</f>
        <v>PO / NBF / 151024 / 111</v>
      </c>
      <c r="L168" s="186"/>
      <c r="M168" s="187"/>
      <c r="N168" s="27">
        <f>+'Order Details Apr24 - Mar25'!F168*'Order Details Apr24 - Mar25'!N168</f>
        <v>51967.999999999993</v>
      </c>
      <c r="O168" s="25"/>
      <c r="P168" s="22"/>
      <c r="Q168" s="26"/>
      <c r="R168" s="82">
        <v>45</v>
      </c>
      <c r="S168" s="22">
        <f t="shared" si="2"/>
        <v>45</v>
      </c>
      <c r="T168" s="22"/>
      <c r="U168" s="31"/>
      <c r="V168" s="51"/>
    </row>
    <row r="169" spans="1:22" ht="20.100000000000001" customHeight="1" x14ac:dyDescent="0.3">
      <c r="A169" s="44">
        <v>161</v>
      </c>
      <c r="B169" s="22">
        <f>+'Order Details Apr24 - Mar25'!P169</f>
        <v>45580</v>
      </c>
      <c r="C169" s="23"/>
      <c r="D169" s="53" t="str">
        <f>+'Order Details Apr24 - Mar25'!T169</f>
        <v>Das Drug Centre Pvt Ltd, Habra</v>
      </c>
      <c r="E169" s="25"/>
      <c r="F169" s="183" t="str">
        <f>+'Order Details Apr24 - Mar25'!D169</f>
        <v>TAMIK Injection (TTK)</v>
      </c>
      <c r="G169" s="184"/>
      <c r="H169" s="26" t="str">
        <f>+'Order Details Apr24 - Mar25'!G169</f>
        <v>Ml</v>
      </c>
      <c r="I169" s="27">
        <f>+'Order Details Apr24 - Mar25'!I169</f>
        <v>10000</v>
      </c>
      <c r="J169" s="28"/>
      <c r="K169" s="185" t="str">
        <f>+'Order Details Apr24 - Mar25'!R169</f>
        <v>PO / NBF / 151024 / 111</v>
      </c>
      <c r="L169" s="186"/>
      <c r="M169" s="187"/>
      <c r="N169" s="27">
        <f>+'Order Details Apr24 - Mar25'!F169*'Order Details Apr24 - Mar25'!N169</f>
        <v>76965</v>
      </c>
      <c r="O169" s="25"/>
      <c r="P169" s="22"/>
      <c r="Q169" s="26"/>
      <c r="R169" s="82">
        <v>45</v>
      </c>
      <c r="S169" s="22">
        <f t="shared" si="2"/>
        <v>45</v>
      </c>
      <c r="T169" s="22"/>
      <c r="U169" s="31"/>
      <c r="V169" s="51"/>
    </row>
    <row r="170" spans="1:22" ht="20.100000000000001" customHeight="1" x14ac:dyDescent="0.3">
      <c r="A170" s="44">
        <v>162</v>
      </c>
      <c r="B170" s="22">
        <f>+'Order Details Apr24 - Mar25'!P170</f>
        <v>45580</v>
      </c>
      <c r="C170" s="23"/>
      <c r="D170" s="53" t="str">
        <f>+'Order Details Apr24 - Mar25'!T170</f>
        <v>Das Drug Centre Pvt Ltd, Habra</v>
      </c>
      <c r="E170" s="25"/>
      <c r="F170" s="183" t="str">
        <f>+'Order Details Apr24 - Mar25'!D170</f>
        <v>TYLOMAX Injection (Intas)</v>
      </c>
      <c r="G170" s="184"/>
      <c r="H170" s="26" t="str">
        <f>+'Order Details Apr24 - Mar25'!G170</f>
        <v>Ml</v>
      </c>
      <c r="I170" s="27">
        <f>+'Order Details Apr24 - Mar25'!I170</f>
        <v>20000</v>
      </c>
      <c r="J170" s="28"/>
      <c r="K170" s="185" t="str">
        <f>+'Order Details Apr24 - Mar25'!R170</f>
        <v>PO / NBF / 151024 / 111</v>
      </c>
      <c r="L170" s="186"/>
      <c r="M170" s="187"/>
      <c r="N170" s="27">
        <f>+'Order Details Apr24 - Mar25'!F170*'Order Details Apr24 - Mar25'!N170</f>
        <v>50400</v>
      </c>
      <c r="O170" s="25"/>
      <c r="P170" s="22"/>
      <c r="Q170" s="26"/>
      <c r="R170" s="82">
        <v>45</v>
      </c>
      <c r="S170" s="22">
        <f t="shared" si="2"/>
        <v>45</v>
      </c>
      <c r="T170" s="22"/>
      <c r="U170" s="31"/>
      <c r="V170" s="51"/>
    </row>
    <row r="171" spans="1:22" ht="20.100000000000001" customHeight="1" x14ac:dyDescent="0.3">
      <c r="A171" s="44">
        <v>163</v>
      </c>
      <c r="B171" s="22">
        <f>+'Order Details Apr24 - Mar25'!P171</f>
        <v>45580</v>
      </c>
      <c r="C171" s="23"/>
      <c r="D171" s="53" t="str">
        <f>+'Order Details Apr24 - Mar25'!T171</f>
        <v>Hester Biosciences Limited</v>
      </c>
      <c r="E171" s="25"/>
      <c r="F171" s="183" t="str">
        <f>+'Order Details Apr24 - Mar25'!D171</f>
        <v>INACTIVATED PULLET(HPAI) VAC</v>
      </c>
      <c r="G171" s="184"/>
      <c r="H171" s="26" t="str">
        <f>+'Order Details Apr24 - Mar25'!G171</f>
        <v>Dose</v>
      </c>
      <c r="I171" s="27">
        <f>+'Order Details Apr24 - Mar25'!I171</f>
        <v>9000</v>
      </c>
      <c r="J171" s="28"/>
      <c r="K171" s="185" t="str">
        <f>+'Order Details Apr24 - Mar25'!R171</f>
        <v>PO / NBF / 151024 / 112</v>
      </c>
      <c r="L171" s="186"/>
      <c r="M171" s="187"/>
      <c r="N171" s="27">
        <f>+'Order Details Apr24 - Mar25'!F171*'Order Details Apr24 - Mar25'!N171</f>
        <v>23618.479499999998</v>
      </c>
      <c r="O171" s="25"/>
      <c r="P171" s="22"/>
      <c r="Q171" s="26"/>
      <c r="R171" s="82">
        <v>7</v>
      </c>
      <c r="S171" s="22">
        <f t="shared" si="2"/>
        <v>7</v>
      </c>
      <c r="T171" s="22"/>
      <c r="U171" s="31"/>
      <c r="V171" s="51"/>
    </row>
    <row r="172" spans="1:22" ht="20.100000000000001" customHeight="1" x14ac:dyDescent="0.3">
      <c r="A172" s="44">
        <v>164</v>
      </c>
      <c r="B172" s="22">
        <f>+'Order Details Apr24 - Mar25'!P172</f>
        <v>45580</v>
      </c>
      <c r="C172" s="23"/>
      <c r="D172" s="53" t="str">
        <f>+'Order Details Apr24 - Mar25'!T172</f>
        <v>Izda Healthcare Ambala Cantonment</v>
      </c>
      <c r="E172" s="25"/>
      <c r="F172" s="183" t="str">
        <f>+'Order Details Apr24 - Mar25'!D172</f>
        <v>Deforce Injection (Izda Healthcare)</v>
      </c>
      <c r="G172" s="184"/>
      <c r="H172" s="26" t="str">
        <f>+'Order Details Apr24 - Mar25'!G172</f>
        <v>Ml</v>
      </c>
      <c r="I172" s="27">
        <f>+'Order Details Apr24 - Mar25'!I172</f>
        <v>1000</v>
      </c>
      <c r="J172" s="28"/>
      <c r="K172" s="185" t="str">
        <f>+'Order Details Apr24 - Mar25'!R172</f>
        <v>PO / NBF / 151024 / 113</v>
      </c>
      <c r="L172" s="186"/>
      <c r="M172" s="187"/>
      <c r="N172" s="27">
        <f>+'Order Details Apr24 - Mar25'!F172*'Order Details Apr24 - Mar25'!N172</f>
        <v>84000</v>
      </c>
      <c r="O172" s="25"/>
      <c r="P172" s="22"/>
      <c r="Q172" s="26"/>
      <c r="R172" s="82">
        <v>45</v>
      </c>
      <c r="S172" s="22">
        <f t="shared" si="2"/>
        <v>45</v>
      </c>
      <c r="T172" s="22"/>
      <c r="U172" s="31"/>
      <c r="V172" s="51"/>
    </row>
    <row r="173" spans="1:22" ht="20.100000000000001" customHeight="1" x14ac:dyDescent="0.3">
      <c r="A173" s="44">
        <v>165</v>
      </c>
      <c r="B173" s="22">
        <f>+'Order Details Apr24 - Mar25'!P173</f>
        <v>45580</v>
      </c>
      <c r="C173" s="23"/>
      <c r="D173" s="53" t="str">
        <f>+'Order Details Apr24 - Mar25'!T173</f>
        <v>Mitra Agencies Hyderabad</v>
      </c>
      <c r="E173" s="25"/>
      <c r="F173" s="183" t="str">
        <f>+'Order Details Apr24 - Mar25'!D173</f>
        <v>PROMIX-Y PLUS (Alembic)</v>
      </c>
      <c r="G173" s="184"/>
      <c r="H173" s="26" t="str">
        <f>+'Order Details Apr24 - Mar25'!G173</f>
        <v>Kg</v>
      </c>
      <c r="I173" s="27">
        <f>+'Order Details Apr24 - Mar25'!I173</f>
        <v>20</v>
      </c>
      <c r="J173" s="28"/>
      <c r="K173" s="185" t="str">
        <f>+'Order Details Apr24 - Mar25'!R173</f>
        <v>PO / NBF / 151024 / 114</v>
      </c>
      <c r="L173" s="186"/>
      <c r="M173" s="187"/>
      <c r="N173" s="27">
        <f>+'Order Details Apr24 - Mar25'!F173*'Order Details Apr24 - Mar25'!N173</f>
        <v>19200</v>
      </c>
      <c r="O173" s="25"/>
      <c r="P173" s="22"/>
      <c r="Q173" s="26"/>
      <c r="R173" s="82">
        <v>7</v>
      </c>
      <c r="S173" s="22">
        <f t="shared" si="2"/>
        <v>7</v>
      </c>
      <c r="T173" s="22"/>
      <c r="U173" s="31"/>
      <c r="V173" s="51"/>
    </row>
    <row r="174" spans="1:22" ht="20.100000000000001" customHeight="1" x14ac:dyDescent="0.3">
      <c r="A174" s="44">
        <v>166</v>
      </c>
      <c r="B174" s="22">
        <f>+'Order Details Apr24 - Mar25'!P174</f>
        <v>45583</v>
      </c>
      <c r="C174" s="23"/>
      <c r="D174" s="53" t="str">
        <f>+'Order Details Apr24 - Mar25'!T174</f>
        <v>Venkateshwara Hatcheries Ltd</v>
      </c>
      <c r="E174" s="25"/>
      <c r="F174" s="183" t="str">
        <f>+'Order Details Apr24 - Mar25'!D174</f>
        <v>IB (Mass Type) Live Vaccine</v>
      </c>
      <c r="G174" s="184"/>
      <c r="H174" s="26" t="str">
        <f>+'Order Details Apr24 - Mar25'!G174</f>
        <v>Dose</v>
      </c>
      <c r="I174" s="27">
        <f>+'Order Details Apr24 - Mar25'!I174</f>
        <v>90000</v>
      </c>
      <c r="J174" s="28"/>
      <c r="K174" s="185" t="str">
        <f>+'Order Details Apr24 - Mar25'!R174</f>
        <v>PO / NBF / 181024 / 115</v>
      </c>
      <c r="L174" s="186"/>
      <c r="M174" s="187"/>
      <c r="N174" s="27">
        <f>+'Order Details Apr24 - Mar25'!F174*'Order Details Apr24 - Mar25'!N174</f>
        <v>10017</v>
      </c>
      <c r="O174" s="25"/>
      <c r="P174" s="22"/>
      <c r="Q174" s="26"/>
      <c r="R174" s="82">
        <v>7</v>
      </c>
      <c r="S174" s="22">
        <f t="shared" si="2"/>
        <v>7</v>
      </c>
      <c r="T174" s="22"/>
      <c r="U174" s="31"/>
      <c r="V174" s="51"/>
    </row>
    <row r="175" spans="1:22" ht="20.100000000000001" customHeight="1" x14ac:dyDescent="0.3">
      <c r="A175" s="44">
        <v>167</v>
      </c>
      <c r="B175" s="22">
        <f>+'Order Details Apr24 - Mar25'!P175</f>
        <v>45583</v>
      </c>
      <c r="C175" s="23"/>
      <c r="D175" s="53" t="str">
        <f>+'Order Details Apr24 - Mar25'!T175</f>
        <v>Venkateshwara Hatcheries Ltd</v>
      </c>
      <c r="E175" s="25"/>
      <c r="F175" s="183" t="str">
        <f>+'Order Details Apr24 - Mar25'!D175</f>
        <v>ND (Lasota) Live Vaccine</v>
      </c>
      <c r="G175" s="184"/>
      <c r="H175" s="26" t="str">
        <f>+'Order Details Apr24 - Mar25'!G175</f>
        <v>Dose</v>
      </c>
      <c r="I175" s="27">
        <f>+'Order Details Apr24 - Mar25'!I175</f>
        <v>90000</v>
      </c>
      <c r="J175" s="28"/>
      <c r="K175" s="185" t="str">
        <f>+'Order Details Apr24 - Mar25'!R175</f>
        <v>PO / NBF / 181024 / 115</v>
      </c>
      <c r="L175" s="186"/>
      <c r="M175" s="187"/>
      <c r="N175" s="27">
        <f>+'Order Details Apr24 - Mar25'!F175*'Order Details Apr24 - Mar25'!N175</f>
        <v>5292</v>
      </c>
      <c r="O175" s="25"/>
      <c r="P175" s="22"/>
      <c r="Q175" s="26"/>
      <c r="R175" s="82">
        <v>7</v>
      </c>
      <c r="S175" s="22">
        <f t="shared" si="2"/>
        <v>7</v>
      </c>
      <c r="T175" s="22"/>
      <c r="U175" s="31"/>
      <c r="V175" s="51"/>
    </row>
    <row r="176" spans="1:22" ht="20.100000000000001" customHeight="1" x14ac:dyDescent="0.3">
      <c r="A176" s="44">
        <v>168</v>
      </c>
      <c r="B176" s="22" t="str">
        <f>+'Order Details Apr24 - Mar25'!P176</f>
        <v>CANCELLED</v>
      </c>
      <c r="C176" s="23"/>
      <c r="D176" s="53" t="str">
        <f>+'Order Details Apr24 - Mar25'!T176</f>
        <v>P P &amp; B Mart Pvt Ltd Habra WB</v>
      </c>
      <c r="E176" s="25"/>
      <c r="F176" s="183" t="str">
        <f>+'Order Details Apr24 - Mar25'!D176</f>
        <v>TOXOL LIQUID (Vesper)</v>
      </c>
      <c r="G176" s="184"/>
      <c r="H176" s="26" t="str">
        <f>+'Order Details Apr24 - Mar25'!G176</f>
        <v>Ltr</v>
      </c>
      <c r="I176" s="27">
        <f>+'Order Details Apr24 - Mar25'!I176</f>
        <v>200</v>
      </c>
      <c r="J176" s="28"/>
      <c r="K176" s="185" t="str">
        <f>+'Order Details Apr24 - Mar25'!R176</f>
        <v>PO / NBF / 211024 / 116</v>
      </c>
      <c r="L176" s="186"/>
      <c r="M176" s="187"/>
      <c r="N176" s="27">
        <f>+'Order Details Apr24 - Mar25'!F176*'Order Details Apr24 - Mar25'!N176</f>
        <v>38000</v>
      </c>
      <c r="O176" s="25"/>
      <c r="P176" s="22"/>
      <c r="Q176" s="26"/>
      <c r="R176" s="83" t="s">
        <v>739</v>
      </c>
      <c r="S176" s="22" t="e">
        <f t="shared" si="2"/>
        <v>#VALUE!</v>
      </c>
      <c r="T176" s="22"/>
      <c r="U176" s="31"/>
      <c r="V176" s="51"/>
    </row>
    <row r="177" spans="1:22" ht="20.100000000000001" customHeight="1" x14ac:dyDescent="0.3">
      <c r="A177" s="44">
        <v>169</v>
      </c>
      <c r="B177" s="22">
        <f>+'Order Details Apr24 - Mar25'!P177</f>
        <v>45591</v>
      </c>
      <c r="C177" s="23"/>
      <c r="D177" s="53" t="str">
        <f>+'Order Details Apr24 - Mar25'!T177</f>
        <v>Alivira Animal Health Ltd Mumbai</v>
      </c>
      <c r="E177" s="25"/>
      <c r="F177" s="183" t="str">
        <f>+'Order Details Apr24 - Mar25'!D177</f>
        <v>ALVIBAC - MD (Alivira)</v>
      </c>
      <c r="G177" s="184"/>
      <c r="H177" s="26" t="str">
        <f>+'Order Details Apr24 - Mar25'!G177</f>
        <v>Kg</v>
      </c>
      <c r="I177" s="27">
        <f>+'Order Details Apr24 - Mar25'!I177</f>
        <v>500</v>
      </c>
      <c r="J177" s="28"/>
      <c r="K177" s="185" t="str">
        <f>+'Order Details Apr24 - Mar25'!R177</f>
        <v>PO / NBF / 261024 / 117</v>
      </c>
      <c r="L177" s="186"/>
      <c r="M177" s="187"/>
      <c r="N177" s="27">
        <f>+'Order Details Apr24 - Mar25'!F177*'Order Details Apr24 - Mar25'!N177</f>
        <v>125000</v>
      </c>
      <c r="O177" s="25"/>
      <c r="P177" s="22"/>
      <c r="Q177" s="26"/>
      <c r="R177" s="82">
        <v>45</v>
      </c>
      <c r="S177" s="22">
        <f t="shared" si="2"/>
        <v>45</v>
      </c>
      <c r="T177" s="22"/>
      <c r="U177" s="31"/>
      <c r="V177" s="51"/>
    </row>
    <row r="178" spans="1:22" ht="20.100000000000001" customHeight="1" x14ac:dyDescent="0.3">
      <c r="A178" s="44">
        <v>170</v>
      </c>
      <c r="B178" s="22">
        <f>+'Order Details Apr24 - Mar25'!P178</f>
        <v>45591</v>
      </c>
      <c r="C178" s="23"/>
      <c r="D178" s="53" t="str">
        <f>+'Order Details Apr24 - Mar25'!T178</f>
        <v>Alltech Biotechnology Pvt Ltd</v>
      </c>
      <c r="E178" s="25"/>
      <c r="F178" s="183" t="str">
        <f>+'Order Details Apr24 - Mar25'!D178</f>
        <v>BIOPLEX PRIME (Alltech)</v>
      </c>
      <c r="G178" s="184"/>
      <c r="H178" s="26" t="str">
        <f>+'Order Details Apr24 - Mar25'!G178</f>
        <v>Kg</v>
      </c>
      <c r="I178" s="27">
        <f>+'Order Details Apr24 - Mar25'!I178</f>
        <v>500</v>
      </c>
      <c r="J178" s="28"/>
      <c r="K178" s="185" t="str">
        <f>+'Order Details Apr24 - Mar25'!R178</f>
        <v>PO / NBF / 261024 / 118</v>
      </c>
      <c r="L178" s="186"/>
      <c r="M178" s="187"/>
      <c r="N178" s="27">
        <f>+'Order Details Apr24 - Mar25'!F178*'Order Details Apr24 - Mar25'!N178</f>
        <v>120000</v>
      </c>
      <c r="O178" s="25"/>
      <c r="P178" s="22"/>
      <c r="Q178" s="26"/>
      <c r="R178" s="82">
        <v>7</v>
      </c>
      <c r="S178" s="22">
        <f t="shared" si="2"/>
        <v>7</v>
      </c>
      <c r="T178" s="22"/>
      <c r="U178" s="31"/>
      <c r="V178" s="51"/>
    </row>
    <row r="179" spans="1:22" ht="20.100000000000001" customHeight="1" x14ac:dyDescent="0.3">
      <c r="A179" s="44">
        <v>171</v>
      </c>
      <c r="B179" s="22">
        <f>+'Order Details Apr24 - Mar25'!P179</f>
        <v>45595</v>
      </c>
      <c r="C179" s="23"/>
      <c r="D179" s="53" t="str">
        <f>+'Order Details Apr24 - Mar25'!T179</f>
        <v>Trouw Nutrition India Pvt Ltd</v>
      </c>
      <c r="E179" s="25"/>
      <c r="F179" s="183" t="str">
        <f>+'Order Details Apr24 - Mar25'!D179</f>
        <v>INORGANIC TRACE MINERALS (Trouw)</v>
      </c>
      <c r="G179" s="184"/>
      <c r="H179" s="26" t="str">
        <f>+'Order Details Apr24 - Mar25'!G179</f>
        <v>Kg</v>
      </c>
      <c r="I179" s="27">
        <f>+'Order Details Apr24 - Mar25'!I179</f>
        <v>350</v>
      </c>
      <c r="J179" s="28"/>
      <c r="K179" s="185" t="str">
        <f>+'Order Details Apr24 - Mar25'!R179</f>
        <v>PO / NBF / 301024 / 119</v>
      </c>
      <c r="L179" s="186"/>
      <c r="M179" s="187"/>
      <c r="N179" s="27">
        <f>+'Order Details Apr24 - Mar25'!F179*'Order Details Apr24 - Mar25'!N179</f>
        <v>38500</v>
      </c>
      <c r="O179" s="25"/>
      <c r="P179" s="22"/>
      <c r="Q179" s="26"/>
      <c r="R179" s="82">
        <v>45</v>
      </c>
      <c r="S179" s="22">
        <f t="shared" si="2"/>
        <v>45</v>
      </c>
      <c r="T179" s="22"/>
      <c r="U179" s="31"/>
      <c r="V179" s="51"/>
    </row>
    <row r="180" spans="1:22" ht="20.100000000000001" customHeight="1" x14ac:dyDescent="0.3">
      <c r="A180" s="44">
        <v>172</v>
      </c>
      <c r="B180" s="22">
        <f>+'Order Details Apr24 - Mar25'!P180</f>
        <v>45608</v>
      </c>
      <c r="C180" s="23"/>
      <c r="D180" s="53" t="str">
        <f>+'Order Details Apr24 - Mar25'!T180</f>
        <v>Sneha Farms Pvt Ltd Hyderabad</v>
      </c>
      <c r="E180" s="25"/>
      <c r="F180" s="183" t="str">
        <f>+'Order Details Apr24 - Mar25'!D180</f>
        <v>ALKAKARB (Tata Chemicals)</v>
      </c>
      <c r="G180" s="184"/>
      <c r="H180" s="26" t="str">
        <f>+'Order Details Apr24 - Mar25'!G180</f>
        <v>Kg</v>
      </c>
      <c r="I180" s="27">
        <f>+'Order Details Apr24 - Mar25'!I180</f>
        <v>2000</v>
      </c>
      <c r="J180" s="28"/>
      <c r="K180" s="185" t="str">
        <f>+'Order Details Apr24 - Mar25'!R180</f>
        <v>PO / NBF / 301024 / 120</v>
      </c>
      <c r="L180" s="186"/>
      <c r="M180" s="187"/>
      <c r="N180" s="27">
        <f>+'Order Details Apr24 - Mar25'!F180*'Order Details Apr24 - Mar25'!N180</f>
        <v>90000.959999999992</v>
      </c>
      <c r="O180" s="25"/>
      <c r="P180" s="22"/>
      <c r="Q180" s="26"/>
      <c r="R180" s="82">
        <v>7</v>
      </c>
      <c r="S180" s="22">
        <f t="shared" si="2"/>
        <v>7</v>
      </c>
      <c r="T180" s="22"/>
      <c r="U180" s="31"/>
      <c r="V180" s="51"/>
    </row>
    <row r="181" spans="1:22" ht="20.100000000000001" customHeight="1" x14ac:dyDescent="0.3">
      <c r="A181" s="44">
        <v>173</v>
      </c>
      <c r="B181" s="22">
        <f>+'Order Details Apr24 - Mar25'!P181</f>
        <v>45608</v>
      </c>
      <c r="C181" s="23"/>
      <c r="D181" s="53" t="str">
        <f>+'Order Details Apr24 - Mar25'!T181</f>
        <v>Venkateshwara Marketing Hyd</v>
      </c>
      <c r="E181" s="25"/>
      <c r="F181" s="183" t="str">
        <f>+'Order Details Apr24 - Mar25'!D181</f>
        <v>Nobilis IB MA-5+Clone-30 Live Vac (MSD)</v>
      </c>
      <c r="G181" s="184"/>
      <c r="H181" s="26" t="str">
        <f>+'Order Details Apr24 - Mar25'!G181</f>
        <v>Dose</v>
      </c>
      <c r="I181" s="27">
        <f>+'Order Details Apr24 - Mar25'!I181</f>
        <v>250000</v>
      </c>
      <c r="J181" s="28"/>
      <c r="K181" s="185" t="str">
        <f>+'Order Details Apr24 - Mar25'!R181</f>
        <v>PO / NBF / 301024 / 121</v>
      </c>
      <c r="L181" s="186"/>
      <c r="M181" s="187"/>
      <c r="N181" s="27">
        <f>+'Order Details Apr24 - Mar25'!F181*'Order Details Apr24 - Mar25'!N181</f>
        <v>91875</v>
      </c>
      <c r="O181" s="25"/>
      <c r="P181" s="22"/>
      <c r="Q181" s="26"/>
      <c r="R181" s="82">
        <v>45</v>
      </c>
      <c r="S181" s="22">
        <f t="shared" si="2"/>
        <v>45</v>
      </c>
      <c r="T181" s="22"/>
      <c r="U181" s="31"/>
      <c r="V181" s="51"/>
    </row>
    <row r="182" spans="1:22" ht="20.100000000000001" customHeight="1" x14ac:dyDescent="0.3">
      <c r="A182" s="44">
        <v>174</v>
      </c>
      <c r="B182" s="22">
        <f>+'Order Details Apr24 - Mar25'!P182</f>
        <v>45611</v>
      </c>
      <c r="C182" s="23"/>
      <c r="D182" s="53" t="str">
        <f>+'Order Details Apr24 - Mar25'!T182</f>
        <v>Das Drug Centre Pvt Ltd, Habra</v>
      </c>
      <c r="E182" s="25"/>
      <c r="F182" s="183" t="str">
        <f>+'Order Details Apr24 - Mar25'!D182</f>
        <v>VALOSIN (Timoeva Wellness)</v>
      </c>
      <c r="G182" s="184"/>
      <c r="H182" s="26" t="str">
        <f>+'Order Details Apr24 - Mar25'!G182</f>
        <v>Kg</v>
      </c>
      <c r="I182" s="27">
        <f>+'Order Details Apr24 - Mar25'!I182</f>
        <v>14</v>
      </c>
      <c r="J182" s="28"/>
      <c r="K182" s="185" t="str">
        <f>+'Order Details Apr24 - Mar25'!R182</f>
        <v>PO / NBF / 151124 / 122</v>
      </c>
      <c r="L182" s="186"/>
      <c r="M182" s="187"/>
      <c r="N182" s="27">
        <f>+'Order Details Apr24 - Mar25'!F182*'Order Details Apr24 - Mar25'!N182</f>
        <v>357280</v>
      </c>
      <c r="O182" s="25"/>
      <c r="P182" s="22"/>
      <c r="Q182" s="26"/>
      <c r="R182" s="82">
        <v>45</v>
      </c>
      <c r="S182" s="22">
        <f t="shared" si="2"/>
        <v>45</v>
      </c>
      <c r="T182" s="22"/>
      <c r="U182" s="31"/>
      <c r="V182" s="51"/>
    </row>
    <row r="183" spans="1:22" ht="20.100000000000001" customHeight="1" x14ac:dyDescent="0.3">
      <c r="A183" s="44">
        <v>175</v>
      </c>
      <c r="B183" s="22">
        <f>+'Order Details Apr24 - Mar25'!P183</f>
        <v>45625</v>
      </c>
      <c r="C183" s="23"/>
      <c r="D183" s="53" t="str">
        <f>+'Order Details Apr24 - Mar25'!T183</f>
        <v>Alivira Animal Health Ltd Mumbai</v>
      </c>
      <c r="E183" s="25"/>
      <c r="F183" s="183" t="str">
        <f>+'Order Details Apr24 - Mar25'!D183</f>
        <v>CITRINAL (Alivira)</v>
      </c>
      <c r="G183" s="184"/>
      <c r="H183" s="26" t="str">
        <f>+'Order Details Apr24 - Mar25'!G183</f>
        <v>Kg</v>
      </c>
      <c r="I183" s="27">
        <f>+'Order Details Apr24 - Mar25'!I183</f>
        <v>500</v>
      </c>
      <c r="J183" s="28"/>
      <c r="K183" s="185" t="str">
        <f>+'Order Details Apr24 - Mar25'!R183</f>
        <v>PO / NBF / 291124 / 123</v>
      </c>
      <c r="L183" s="186"/>
      <c r="M183" s="187"/>
      <c r="N183" s="27">
        <f>+'Order Details Apr24 - Mar25'!F183*'Order Details Apr24 - Mar25'!N183</f>
        <v>72500</v>
      </c>
      <c r="O183" s="25"/>
      <c r="P183" s="22"/>
      <c r="Q183" s="26"/>
      <c r="R183" s="82">
        <v>7</v>
      </c>
      <c r="S183" s="22">
        <f t="shared" si="2"/>
        <v>7</v>
      </c>
      <c r="T183" s="22"/>
      <c r="U183" s="31"/>
      <c r="V183" s="51"/>
    </row>
    <row r="184" spans="1:22" ht="20.100000000000001" customHeight="1" x14ac:dyDescent="0.3">
      <c r="A184" s="44">
        <v>176</v>
      </c>
      <c r="B184" s="22">
        <f>+'Order Details Apr24 - Mar25'!P184</f>
        <v>45625</v>
      </c>
      <c r="C184" s="23"/>
      <c r="D184" s="53" t="str">
        <f>+'Order Details Apr24 - Mar25'!T184</f>
        <v>APC Nutrients Limited Hyderabad</v>
      </c>
      <c r="E184" s="25"/>
      <c r="F184" s="183" t="str">
        <f>+'Order Details Apr24 - Mar25'!D184</f>
        <v>VOLAMEL EXTRA (Nukamel)</v>
      </c>
      <c r="G184" s="184"/>
      <c r="H184" s="26" t="str">
        <f>+'Order Details Apr24 - Mar25'!G184</f>
        <v>Kg</v>
      </c>
      <c r="I184" s="27">
        <f>+'Order Details Apr24 - Mar25'!I184</f>
        <v>500</v>
      </c>
      <c r="J184" s="28"/>
      <c r="K184" s="185" t="str">
        <f>+'Order Details Apr24 - Mar25'!R184</f>
        <v>PO / NBF / 291124 / 124</v>
      </c>
      <c r="L184" s="186"/>
      <c r="M184" s="187"/>
      <c r="N184" s="27">
        <f>+'Order Details Apr24 - Mar25'!F184*'Order Details Apr24 - Mar25'!N184</f>
        <v>285000</v>
      </c>
      <c r="O184" s="25"/>
      <c r="P184" s="22"/>
      <c r="Q184" s="26"/>
      <c r="R184" s="82">
        <v>7</v>
      </c>
      <c r="S184" s="22">
        <f t="shared" si="2"/>
        <v>7</v>
      </c>
      <c r="T184" s="22"/>
      <c r="U184" s="31"/>
      <c r="V184" s="51"/>
    </row>
    <row r="185" spans="1:22" ht="20.100000000000001" customHeight="1" x14ac:dyDescent="0.3">
      <c r="A185" s="44">
        <v>177</v>
      </c>
      <c r="B185" s="22">
        <f>+'Order Details Apr24 - Mar25'!P185</f>
        <v>45630</v>
      </c>
      <c r="C185" s="23"/>
      <c r="D185" s="53" t="str">
        <f>+'Order Details Apr24 - Mar25'!T185</f>
        <v>Das Drug Centre Pvt Ltd, Habra</v>
      </c>
      <c r="E185" s="25"/>
      <c r="F185" s="183" t="str">
        <f>+'Order Details Apr24 - Mar25'!D185</f>
        <v>VALOSIN (Timoeva Wellness)</v>
      </c>
      <c r="G185" s="184"/>
      <c r="H185" s="26" t="str">
        <f>+'Order Details Apr24 - Mar25'!G185</f>
        <v>Kg</v>
      </c>
      <c r="I185" s="27">
        <f>+'Order Details Apr24 - Mar25'!I185</f>
        <v>14</v>
      </c>
      <c r="J185" s="28"/>
      <c r="K185" s="185" t="str">
        <f>+'Order Details Apr24 - Mar25'!R185</f>
        <v>PO / NBF / 041224 / 125</v>
      </c>
      <c r="L185" s="186"/>
      <c r="M185" s="187"/>
      <c r="N185" s="27">
        <f>+'Order Details Apr24 - Mar25'!F185*'Order Details Apr24 - Mar25'!N185</f>
        <v>357280</v>
      </c>
      <c r="O185" s="25"/>
      <c r="P185" s="22"/>
      <c r="Q185" s="26"/>
      <c r="R185" s="82">
        <v>45</v>
      </c>
      <c r="S185" s="22">
        <f t="shared" si="2"/>
        <v>45</v>
      </c>
      <c r="T185" s="22"/>
      <c r="U185" s="31"/>
      <c r="V185" s="51"/>
    </row>
    <row r="186" spans="1:22" ht="20.100000000000001" customHeight="1" x14ac:dyDescent="0.3">
      <c r="A186" s="44">
        <v>178</v>
      </c>
      <c r="B186" s="22">
        <f>+'Order Details Apr24 - Mar25'!P186</f>
        <v>45630</v>
      </c>
      <c r="C186" s="23"/>
      <c r="D186" s="53" t="str">
        <f>+'Order Details Apr24 - Mar25'!T186</f>
        <v>Healers Associates, Vijayawada</v>
      </c>
      <c r="E186" s="25"/>
      <c r="F186" s="183" t="str">
        <f>+'Order Details Apr24 - Mar25'!D186</f>
        <v>SPERMED-M (Medichem Product)</v>
      </c>
      <c r="G186" s="184"/>
      <c r="H186" s="26" t="str">
        <f>+'Order Details Apr24 - Mar25'!G186</f>
        <v>Kg</v>
      </c>
      <c r="I186" s="27">
        <f>+'Order Details Apr24 - Mar25'!I186</f>
        <v>40</v>
      </c>
      <c r="J186" s="28"/>
      <c r="K186" s="185" t="str">
        <f>+'Order Details Apr24 - Mar25'!R186</f>
        <v>PO / NBF / 041224 / 126</v>
      </c>
      <c r="L186" s="186"/>
      <c r="M186" s="187"/>
      <c r="N186" s="27">
        <f>+'Order Details Apr24 - Mar25'!F186*'Order Details Apr24 - Mar25'!N186</f>
        <v>140000</v>
      </c>
      <c r="O186" s="25"/>
      <c r="P186" s="22"/>
      <c r="Q186" s="26"/>
      <c r="R186" s="82">
        <v>45</v>
      </c>
      <c r="S186" s="22">
        <f t="shared" si="2"/>
        <v>45</v>
      </c>
      <c r="T186" s="22"/>
      <c r="U186" s="31"/>
      <c r="V186" s="51"/>
    </row>
    <row r="187" spans="1:22" ht="20.100000000000001" customHeight="1" x14ac:dyDescent="0.3">
      <c r="A187" s="44">
        <v>179</v>
      </c>
      <c r="B187" s="22">
        <f>+'Order Details Apr24 - Mar25'!P187</f>
        <v>45630</v>
      </c>
      <c r="C187" s="23"/>
      <c r="D187" s="53" t="str">
        <f>+'Order Details Apr24 - Mar25'!T187</f>
        <v>Hester Biosciences Limited</v>
      </c>
      <c r="E187" s="25"/>
      <c r="F187" s="183" t="str">
        <f>+'Order Details Apr24 - Mar25'!D187</f>
        <v>INACTIVATED PULLET(LPAI) VAC</v>
      </c>
      <c r="G187" s="184"/>
      <c r="H187" s="26" t="str">
        <f>+'Order Details Apr24 - Mar25'!G187</f>
        <v>Dose</v>
      </c>
      <c r="I187" s="27">
        <f>+'Order Details Apr24 - Mar25'!I187</f>
        <v>35000</v>
      </c>
      <c r="J187" s="28"/>
      <c r="K187" s="185" t="str">
        <f>+'Order Details Apr24 - Mar25'!R187</f>
        <v>PO / NBF / 041224 / 127</v>
      </c>
      <c r="L187" s="186"/>
      <c r="M187" s="187"/>
      <c r="N187" s="27">
        <f>+'Order Details Apr24 - Mar25'!F187*'Order Details Apr24 - Mar25'!N187</f>
        <v>34729.485000000001</v>
      </c>
      <c r="O187" s="25"/>
      <c r="P187" s="22"/>
      <c r="Q187" s="26"/>
      <c r="R187" s="82">
        <v>7</v>
      </c>
      <c r="S187" s="22">
        <f t="shared" si="2"/>
        <v>7</v>
      </c>
      <c r="T187" s="22"/>
      <c r="U187" s="31"/>
      <c r="V187" s="51"/>
    </row>
    <row r="188" spans="1:22" ht="20.100000000000001" customHeight="1" x14ac:dyDescent="0.3">
      <c r="A188" s="44">
        <v>180</v>
      </c>
      <c r="B188" s="22">
        <f>+'Order Details Apr24 - Mar25'!P188</f>
        <v>45630</v>
      </c>
      <c r="C188" s="23"/>
      <c r="D188" s="53" t="str">
        <f>+'Order Details Apr24 - Mar25'!T188</f>
        <v>Venkateshwara Hatcheries Ltd</v>
      </c>
      <c r="E188" s="25"/>
      <c r="F188" s="183" t="str">
        <f>+'Order Details Apr24 - Mar25'!D188</f>
        <v>AE KILLED VAC</v>
      </c>
      <c r="G188" s="184"/>
      <c r="H188" s="26" t="str">
        <f>+'Order Details Apr24 - Mar25'!G188</f>
        <v>Dose</v>
      </c>
      <c r="I188" s="27">
        <f>+'Order Details Apr24 - Mar25'!I188</f>
        <v>29000</v>
      </c>
      <c r="J188" s="28"/>
      <c r="K188" s="185" t="str">
        <f>+'Order Details Apr24 - Mar25'!R188</f>
        <v>PO / NBF / 041224 / 128</v>
      </c>
      <c r="L188" s="186"/>
      <c r="M188" s="187"/>
      <c r="N188" s="27">
        <f>+'Order Details Apr24 - Mar25'!F188*'Order Details Apr24 - Mar25'!N188</f>
        <v>60747.75</v>
      </c>
      <c r="O188" s="25"/>
      <c r="P188" s="22"/>
      <c r="Q188" s="26"/>
      <c r="R188" s="82">
        <v>7</v>
      </c>
      <c r="S188" s="22">
        <f t="shared" si="2"/>
        <v>7</v>
      </c>
      <c r="T188" s="22"/>
      <c r="U188" s="31"/>
      <c r="V188" s="51"/>
    </row>
    <row r="189" spans="1:22" ht="20.100000000000001" customHeight="1" x14ac:dyDescent="0.3">
      <c r="A189" s="44">
        <v>181</v>
      </c>
      <c r="B189" s="22">
        <f>+'Order Details Apr24 - Mar25'!P189</f>
        <v>45630</v>
      </c>
      <c r="C189" s="23"/>
      <c r="D189" s="53" t="str">
        <f>+'Order Details Apr24 - Mar25'!T189</f>
        <v>Venkateshwara Hatcheries Ltd</v>
      </c>
      <c r="E189" s="25"/>
      <c r="F189" s="183" t="str">
        <f>+'Order Details Apr24 - Mar25'!D189</f>
        <v>IB ASTRO (AEIBH) KILLED VAC</v>
      </c>
      <c r="G189" s="184"/>
      <c r="H189" s="26" t="str">
        <f>+'Order Details Apr24 - Mar25'!G189</f>
        <v>Dose</v>
      </c>
      <c r="I189" s="27">
        <f>+'Order Details Apr24 - Mar25'!I189</f>
        <v>36000</v>
      </c>
      <c r="J189" s="28"/>
      <c r="K189" s="185" t="str">
        <f>+'Order Details Apr24 - Mar25'!R189</f>
        <v>PO / NBF / 041224 / 128</v>
      </c>
      <c r="L189" s="186"/>
      <c r="M189" s="187"/>
      <c r="N189" s="27">
        <f>+'Order Details Apr24 - Mar25'!F189*'Order Details Apr24 - Mar25'!N189</f>
        <v>123039</v>
      </c>
      <c r="O189" s="25"/>
      <c r="P189" s="22"/>
      <c r="Q189" s="26"/>
      <c r="R189" s="82">
        <v>7</v>
      </c>
      <c r="S189" s="22">
        <f t="shared" si="2"/>
        <v>7</v>
      </c>
      <c r="T189" s="22"/>
      <c r="U189" s="31"/>
      <c r="V189" s="51"/>
    </row>
    <row r="190" spans="1:22" ht="20.100000000000001" customHeight="1" x14ac:dyDescent="0.3">
      <c r="A190" s="44">
        <v>182</v>
      </c>
      <c r="B190" s="22">
        <f>+'Order Details Apr24 - Mar25'!P190</f>
        <v>45630</v>
      </c>
      <c r="C190" s="23"/>
      <c r="D190" s="53" t="str">
        <f>+'Order Details Apr24 - Mar25'!T190</f>
        <v>Venkateshwara Hatcheries Ltd</v>
      </c>
      <c r="E190" s="25"/>
      <c r="F190" s="183" t="str">
        <f>+'Order Details Apr24 - Mar25'!D190</f>
        <v>IBH KILLED VAC</v>
      </c>
      <c r="G190" s="184"/>
      <c r="H190" s="26" t="str">
        <f>+'Order Details Apr24 - Mar25'!G190</f>
        <v>Dose</v>
      </c>
      <c r="I190" s="27">
        <f>+'Order Details Apr24 - Mar25'!I190</f>
        <v>79000</v>
      </c>
      <c r="J190" s="28"/>
      <c r="K190" s="185" t="str">
        <f>+'Order Details Apr24 - Mar25'!R190</f>
        <v>PO / NBF / 041224 / 128</v>
      </c>
      <c r="L190" s="186"/>
      <c r="M190" s="187"/>
      <c r="N190" s="27">
        <f>+'Order Details Apr24 - Mar25'!F190*'Order Details Apr24 - Mar25'!N190</f>
        <v>130646.25</v>
      </c>
      <c r="O190" s="25"/>
      <c r="P190" s="22"/>
      <c r="Q190" s="26"/>
      <c r="R190" s="82">
        <v>7</v>
      </c>
      <c r="S190" s="22">
        <f t="shared" si="2"/>
        <v>7</v>
      </c>
      <c r="T190" s="22"/>
      <c r="U190" s="31"/>
      <c r="V190" s="51"/>
    </row>
    <row r="191" spans="1:22" ht="20.100000000000001" customHeight="1" x14ac:dyDescent="0.3">
      <c r="A191" s="44">
        <v>183</v>
      </c>
      <c r="B191" s="22">
        <f>+'Order Details Apr24 - Mar25'!P191</f>
        <v>45630</v>
      </c>
      <c r="C191" s="23"/>
      <c r="D191" s="53" t="str">
        <f>+'Order Details Apr24 - Mar25'!T191</f>
        <v>Venkateshwara Hatcheries Ltd</v>
      </c>
      <c r="E191" s="25"/>
      <c r="F191" s="183" t="str">
        <f>+'Order Details Apr24 - Mar25'!D191</f>
        <v>ND+IBD KILLED VAC</v>
      </c>
      <c r="G191" s="184"/>
      <c r="H191" s="26" t="str">
        <f>+'Order Details Apr24 - Mar25'!G191</f>
        <v>Dose</v>
      </c>
      <c r="I191" s="27">
        <f>+'Order Details Apr24 - Mar25'!I191</f>
        <v>42000</v>
      </c>
      <c r="J191" s="28"/>
      <c r="K191" s="185" t="str">
        <f>+'Order Details Apr24 - Mar25'!R191</f>
        <v>PO / NBF / 041224 / 128</v>
      </c>
      <c r="L191" s="186"/>
      <c r="M191" s="187"/>
      <c r="N191" s="27">
        <f>+'Order Details Apr24 - Mar25'!F191*'Order Details Apr24 - Mar25'!N191</f>
        <v>120393</v>
      </c>
      <c r="O191" s="25"/>
      <c r="P191" s="22"/>
      <c r="Q191" s="26"/>
      <c r="R191" s="82">
        <v>7</v>
      </c>
      <c r="S191" s="22">
        <f t="shared" si="2"/>
        <v>7</v>
      </c>
      <c r="T191" s="22"/>
      <c r="U191" s="31"/>
      <c r="V191" s="51"/>
    </row>
    <row r="192" spans="1:22" ht="20.100000000000001" customHeight="1" x14ac:dyDescent="0.3">
      <c r="A192" s="44">
        <v>184</v>
      </c>
      <c r="B192" s="22">
        <f>+'Order Details Apr24 - Mar25'!P192</f>
        <v>45630</v>
      </c>
      <c r="C192" s="23"/>
      <c r="D192" s="53" t="str">
        <f>+'Order Details Apr24 - Mar25'!T192</f>
        <v>Venkateshwara Hatcheries Ltd</v>
      </c>
      <c r="E192" s="25"/>
      <c r="F192" s="183" t="str">
        <f>+'Order Details Apr24 - Mar25'!D192</f>
        <v xml:space="preserve">VH V- 4K (4way) KILLED VAC </v>
      </c>
      <c r="G192" s="184"/>
      <c r="H192" s="26" t="str">
        <f>+'Order Details Apr24 - Mar25'!G192</f>
        <v>Dose</v>
      </c>
      <c r="I192" s="27">
        <f>+'Order Details Apr24 - Mar25'!I192</f>
        <v>79000</v>
      </c>
      <c r="J192" s="28"/>
      <c r="K192" s="185" t="str">
        <f>+'Order Details Apr24 - Mar25'!R192</f>
        <v>PO / NBF / 041224 / 128</v>
      </c>
      <c r="L192" s="186"/>
      <c r="M192" s="187"/>
      <c r="N192" s="27">
        <f>+'Order Details Apr24 - Mar25'!F192*'Order Details Apr24 - Mar25'!N192</f>
        <v>435487.5</v>
      </c>
      <c r="O192" s="25"/>
      <c r="P192" s="22"/>
      <c r="Q192" s="26"/>
      <c r="R192" s="82">
        <v>7</v>
      </c>
      <c r="S192" s="22">
        <f t="shared" si="2"/>
        <v>7</v>
      </c>
      <c r="T192" s="22"/>
      <c r="U192" s="31"/>
      <c r="V192" s="51"/>
    </row>
    <row r="193" spans="1:22" ht="20.100000000000001" customHeight="1" x14ac:dyDescent="0.3">
      <c r="A193" s="44">
        <v>185</v>
      </c>
      <c r="B193" s="22">
        <f>+'Order Details Apr24 - Mar25'!P193</f>
        <v>45642</v>
      </c>
      <c r="C193" s="23"/>
      <c r="D193" s="53" t="str">
        <f>+'Order Details Apr24 - Mar25'!T193</f>
        <v>B V Biocrop, Hitech Division</v>
      </c>
      <c r="E193" s="25"/>
      <c r="F193" s="183" t="str">
        <f>+'Order Details Apr24 - Mar25'!D193</f>
        <v>AQUAMAX (BV Biocrop)</v>
      </c>
      <c r="G193" s="184"/>
      <c r="H193" s="26" t="str">
        <f>+'Order Details Apr24 - Mar25'!G193</f>
        <v>Ltr</v>
      </c>
      <c r="I193" s="27">
        <f>+'Order Details Apr24 - Mar25'!I193</f>
        <v>100</v>
      </c>
      <c r="J193" s="28"/>
      <c r="K193" s="185" t="str">
        <f>+'Order Details Apr24 - Mar25'!R193</f>
        <v>PO / NBF / 161224 / 129</v>
      </c>
      <c r="L193" s="186"/>
      <c r="M193" s="187"/>
      <c r="N193" s="27">
        <f>+'Order Details Apr24 - Mar25'!F193*'Order Details Apr24 - Mar25'!N193</f>
        <v>10785.2</v>
      </c>
      <c r="O193" s="25"/>
      <c r="P193" s="22"/>
      <c r="Q193" s="26"/>
      <c r="R193" s="82">
        <v>7</v>
      </c>
      <c r="S193" s="22">
        <f t="shared" si="2"/>
        <v>7</v>
      </c>
      <c r="T193" s="22"/>
      <c r="U193" s="31"/>
      <c r="V193" s="51"/>
    </row>
    <row r="194" spans="1:22" ht="20.100000000000001" customHeight="1" x14ac:dyDescent="0.3">
      <c r="A194" s="44">
        <v>186</v>
      </c>
      <c r="B194" s="22">
        <f>+'Order Details Apr24 - Mar25'!P194</f>
        <v>45642</v>
      </c>
      <c r="C194" s="23"/>
      <c r="D194" s="53" t="str">
        <f>+'Order Details Apr24 - Mar25'!T194</f>
        <v>B V Biocrop, Hitech Division</v>
      </c>
      <c r="E194" s="25"/>
      <c r="F194" s="183" t="str">
        <f>+'Order Details Apr24 - Mar25'!D194</f>
        <v>B-904 (BV Biocrop)</v>
      </c>
      <c r="G194" s="184"/>
      <c r="H194" s="26" t="str">
        <f>+'Order Details Apr24 - Mar25'!G194</f>
        <v>Ltr</v>
      </c>
      <c r="I194" s="27">
        <f>+'Order Details Apr24 - Mar25'!I194</f>
        <v>100</v>
      </c>
      <c r="J194" s="28"/>
      <c r="K194" s="185" t="str">
        <f>+'Order Details Apr24 - Mar25'!R194</f>
        <v>PO / NBF / 161224 / 129</v>
      </c>
      <c r="L194" s="186"/>
      <c r="M194" s="187"/>
      <c r="N194" s="27">
        <f>+'Order Details Apr24 - Mar25'!F194*'Order Details Apr24 - Mar25'!N194</f>
        <v>77242.8</v>
      </c>
      <c r="O194" s="25"/>
      <c r="P194" s="22"/>
      <c r="Q194" s="26"/>
      <c r="R194" s="82">
        <v>7</v>
      </c>
      <c r="S194" s="22">
        <f t="shared" si="2"/>
        <v>7</v>
      </c>
      <c r="T194" s="22"/>
      <c r="U194" s="31"/>
      <c r="V194" s="51"/>
    </row>
    <row r="195" spans="1:22" ht="20.100000000000001" customHeight="1" x14ac:dyDescent="0.3">
      <c r="A195" s="44">
        <v>187</v>
      </c>
      <c r="B195" s="22">
        <f>+'Order Details Apr24 - Mar25'!P195</f>
        <v>45642</v>
      </c>
      <c r="C195" s="23"/>
      <c r="D195" s="53" t="str">
        <f>+'Order Details Apr24 - Mar25'!T195</f>
        <v>B V Biocrop, Hitech Division</v>
      </c>
      <c r="E195" s="25"/>
      <c r="F195" s="183" t="str">
        <f>+'Order Details Apr24 - Mar25'!D195</f>
        <v>SAFEGARD (BV Biocrop)</v>
      </c>
      <c r="G195" s="184"/>
      <c r="H195" s="26" t="str">
        <f>+'Order Details Apr24 - Mar25'!G195</f>
        <v>Ltr</v>
      </c>
      <c r="I195" s="27">
        <f>+'Order Details Apr24 - Mar25'!I195</f>
        <v>100</v>
      </c>
      <c r="J195" s="28"/>
      <c r="K195" s="185" t="str">
        <f>+'Order Details Apr24 - Mar25'!R195</f>
        <v>PO / NBF / 161224 / 129</v>
      </c>
      <c r="L195" s="186"/>
      <c r="M195" s="187"/>
      <c r="N195" s="27">
        <f>+'Order Details Apr24 - Mar25'!F195*'Order Details Apr24 - Mar25'!N195</f>
        <v>27659.200000000001</v>
      </c>
      <c r="O195" s="25"/>
      <c r="P195" s="22"/>
      <c r="Q195" s="26"/>
      <c r="R195" s="82">
        <v>7</v>
      </c>
      <c r="S195" s="22">
        <f t="shared" si="2"/>
        <v>7</v>
      </c>
      <c r="T195" s="22"/>
      <c r="U195" s="31"/>
      <c r="V195" s="51"/>
    </row>
    <row r="196" spans="1:22" ht="20.100000000000001" customHeight="1" x14ac:dyDescent="0.3">
      <c r="A196" s="44">
        <v>188</v>
      </c>
      <c r="B196" s="22">
        <f>+'Order Details Apr24 - Mar25'!P196</f>
        <v>45642</v>
      </c>
      <c r="C196" s="23"/>
      <c r="D196" s="53" t="str">
        <f>+'Order Details Apr24 - Mar25'!T196</f>
        <v>B V Biocrop, Hitech Division</v>
      </c>
      <c r="E196" s="25"/>
      <c r="F196" s="183" t="str">
        <f>+'Order Details Apr24 - Mar25'!D196</f>
        <v>VACCSURE (20 Gram) TAB</v>
      </c>
      <c r="G196" s="184"/>
      <c r="H196" s="26" t="str">
        <f>+'Order Details Apr24 - Mar25'!G196</f>
        <v>Pcs</v>
      </c>
      <c r="I196" s="27">
        <f>+'Order Details Apr24 - Mar25'!I196</f>
        <v>600</v>
      </c>
      <c r="J196" s="28"/>
      <c r="K196" s="185" t="str">
        <f>+'Order Details Apr24 - Mar25'!R196</f>
        <v>PO / NBF / 161224 / 129</v>
      </c>
      <c r="L196" s="186"/>
      <c r="M196" s="187"/>
      <c r="N196" s="27">
        <f>+'Order Details Apr24 - Mar25'!F196*'Order Details Apr24 - Mar25'!N196</f>
        <v>38250</v>
      </c>
      <c r="O196" s="25"/>
      <c r="P196" s="22"/>
      <c r="Q196" s="26"/>
      <c r="R196" s="82">
        <v>7</v>
      </c>
      <c r="S196" s="22">
        <f t="shared" si="2"/>
        <v>7</v>
      </c>
      <c r="T196" s="22"/>
      <c r="U196" s="31"/>
      <c r="V196" s="51"/>
    </row>
    <row r="197" spans="1:22" ht="20.100000000000001" customHeight="1" x14ac:dyDescent="0.3">
      <c r="A197" s="44">
        <v>189</v>
      </c>
      <c r="B197" s="22">
        <f>+'Order Details Apr24 - Mar25'!P197</f>
        <v>45642</v>
      </c>
      <c r="C197" s="23"/>
      <c r="D197" s="53" t="str">
        <f>+'Order Details Apr24 - Mar25'!T197</f>
        <v>Das Drug Centre Pvt Ltd, Habra</v>
      </c>
      <c r="E197" s="25"/>
      <c r="F197" s="183" t="str">
        <f>+'Order Details Apr24 - Mar25'!D197</f>
        <v>AMBIPLEX (Brihans)</v>
      </c>
      <c r="G197" s="184"/>
      <c r="H197" s="26" t="str">
        <f>+'Order Details Apr24 - Mar25'!G197</f>
        <v>Ltr</v>
      </c>
      <c r="I197" s="27">
        <f>+'Order Details Apr24 - Mar25'!I197</f>
        <v>200</v>
      </c>
      <c r="J197" s="28"/>
      <c r="K197" s="185" t="str">
        <f>+'Order Details Apr24 - Mar25'!R197</f>
        <v>PO / NBF / 161224 / 130</v>
      </c>
      <c r="L197" s="186"/>
      <c r="M197" s="187"/>
      <c r="N197" s="27">
        <f>+'Order Details Apr24 - Mar25'!F197*'Order Details Apr24 - Mar25'!N197</f>
        <v>20600</v>
      </c>
      <c r="O197" s="25"/>
      <c r="P197" s="22"/>
      <c r="Q197" s="26"/>
      <c r="R197" s="82">
        <v>45</v>
      </c>
      <c r="S197" s="22">
        <f t="shared" si="2"/>
        <v>45</v>
      </c>
      <c r="T197" s="22"/>
      <c r="U197" s="31"/>
      <c r="V197" s="51"/>
    </row>
    <row r="198" spans="1:22" ht="20.100000000000001" customHeight="1" x14ac:dyDescent="0.3">
      <c r="A198" s="44">
        <v>190</v>
      </c>
      <c r="B198" s="22">
        <f>+'Order Details Apr24 - Mar25'!P198</f>
        <v>45642</v>
      </c>
      <c r="C198" s="23"/>
      <c r="D198" s="53" t="str">
        <f>+'Order Details Apr24 - Mar25'!T198</f>
        <v>Das Drug Centre Pvt Ltd, Habra</v>
      </c>
      <c r="E198" s="25"/>
      <c r="F198" s="183" t="str">
        <f>+'Order Details Apr24 - Mar25'!D198</f>
        <v>FAMITONE (Zenex-AH)</v>
      </c>
      <c r="G198" s="184"/>
      <c r="H198" s="26" t="str">
        <f>+'Order Details Apr24 - Mar25'!G198</f>
        <v>Ltr</v>
      </c>
      <c r="I198" s="27">
        <f>+'Order Details Apr24 - Mar25'!I198</f>
        <v>480</v>
      </c>
      <c r="J198" s="28"/>
      <c r="K198" s="185" t="str">
        <f>+'Order Details Apr24 - Mar25'!R198</f>
        <v>PO / NBF / 161224 / 130</v>
      </c>
      <c r="L198" s="186"/>
      <c r="M198" s="187"/>
      <c r="N198" s="27">
        <f>+'Order Details Apr24 - Mar25'!F198*'Order Details Apr24 - Mar25'!N198</f>
        <v>55680</v>
      </c>
      <c r="O198" s="25"/>
      <c r="P198" s="22"/>
      <c r="Q198" s="26"/>
      <c r="R198" s="82">
        <v>45</v>
      </c>
      <c r="S198" s="22">
        <f t="shared" si="2"/>
        <v>45</v>
      </c>
      <c r="T198" s="22"/>
      <c r="U198" s="31"/>
      <c r="V198" s="51"/>
    </row>
    <row r="199" spans="1:22" ht="20.100000000000001" customHeight="1" x14ac:dyDescent="0.3">
      <c r="A199" s="44">
        <v>191</v>
      </c>
      <c r="B199" s="22">
        <f>+'Order Details Apr24 - Mar25'!P199</f>
        <v>45642</v>
      </c>
      <c r="C199" s="23"/>
      <c r="D199" s="53" t="str">
        <f>+'Order Details Apr24 - Mar25'!T199</f>
        <v>Das Drug Centre Pvt Ltd, Habra</v>
      </c>
      <c r="E199" s="25"/>
      <c r="F199" s="183" t="str">
        <f>+'Order Details Apr24 - Mar25'!D199</f>
        <v>KAYSOL FORTE (Cargill)</v>
      </c>
      <c r="G199" s="184"/>
      <c r="H199" s="26" t="str">
        <f>+'Order Details Apr24 - Mar25'!G199</f>
        <v>Gms</v>
      </c>
      <c r="I199" s="27">
        <f>+'Order Details Apr24 - Mar25'!I199</f>
        <v>10000</v>
      </c>
      <c r="J199" s="28"/>
      <c r="K199" s="185" t="str">
        <f>+'Order Details Apr24 - Mar25'!R199</f>
        <v>PO / NBF / 161224 / 130</v>
      </c>
      <c r="L199" s="186"/>
      <c r="M199" s="187"/>
      <c r="N199" s="27">
        <f>+'Order Details Apr24 - Mar25'!F199*'Order Details Apr24 - Mar25'!N199</f>
        <v>14300</v>
      </c>
      <c r="O199" s="25"/>
      <c r="P199" s="22"/>
      <c r="Q199" s="26"/>
      <c r="R199" s="82">
        <v>45</v>
      </c>
      <c r="S199" s="22">
        <f t="shared" si="2"/>
        <v>45</v>
      </c>
      <c r="T199" s="22"/>
      <c r="U199" s="31"/>
      <c r="V199" s="51"/>
    </row>
    <row r="200" spans="1:22" ht="20.100000000000001" customHeight="1" x14ac:dyDescent="0.3">
      <c r="A200" s="44">
        <v>192</v>
      </c>
      <c r="B200" s="22">
        <f>+'Order Details Apr24 - Mar25'!P200</f>
        <v>45642</v>
      </c>
      <c r="C200" s="23"/>
      <c r="D200" s="53" t="str">
        <f>+'Order Details Apr24 - Mar25'!T200</f>
        <v>Healers Associates, Vijayawada</v>
      </c>
      <c r="E200" s="25"/>
      <c r="F200" s="183" t="str">
        <f>+'Order Details Apr24 - Mar25'!D200</f>
        <v>SANEXT (Medichem Product)</v>
      </c>
      <c r="G200" s="184"/>
      <c r="H200" s="26" t="str">
        <f>+'Order Details Apr24 - Mar25'!G200</f>
        <v>Kg</v>
      </c>
      <c r="I200" s="27">
        <f>+'Order Details Apr24 - Mar25'!I200</f>
        <v>20</v>
      </c>
      <c r="J200" s="28"/>
      <c r="K200" s="185" t="str">
        <f>+'Order Details Apr24 - Mar25'!R200</f>
        <v>PO / NBF / 161224 / 131</v>
      </c>
      <c r="L200" s="186"/>
      <c r="M200" s="187"/>
      <c r="N200" s="27">
        <f>+'Order Details Apr24 - Mar25'!F200*'Order Details Apr24 - Mar25'!N200</f>
        <v>52000</v>
      </c>
      <c r="O200" s="25"/>
      <c r="P200" s="22"/>
      <c r="Q200" s="26"/>
      <c r="R200" s="82">
        <v>45</v>
      </c>
      <c r="S200" s="22">
        <f t="shared" si="2"/>
        <v>45</v>
      </c>
      <c r="T200" s="22"/>
      <c r="U200" s="31"/>
      <c r="V200" s="51"/>
    </row>
    <row r="201" spans="1:22" ht="20.100000000000001" customHeight="1" x14ac:dyDescent="0.3">
      <c r="A201" s="44">
        <v>193</v>
      </c>
      <c r="B201" s="22">
        <f>+'Order Details Apr24 - Mar25'!P201</f>
        <v>45642</v>
      </c>
      <c r="C201" s="23"/>
      <c r="D201" s="53" t="str">
        <f>+'Order Details Apr24 - Mar25'!T201</f>
        <v>Venkateshwara Marketing Hyd</v>
      </c>
      <c r="E201" s="25"/>
      <c r="F201" s="183" t="str">
        <f>+'Order Details Apr24 - Mar25'!D201</f>
        <v>Nobilis IB MA-5+Clone-30 Live Vac (MSD)</v>
      </c>
      <c r="G201" s="184"/>
      <c r="H201" s="26" t="str">
        <f>+'Order Details Apr24 - Mar25'!G201</f>
        <v>Dose</v>
      </c>
      <c r="I201" s="27">
        <f>+'Order Details Apr24 - Mar25'!I201</f>
        <v>250000</v>
      </c>
      <c r="J201" s="28"/>
      <c r="K201" s="185" t="str">
        <f>+'Order Details Apr24 - Mar25'!R201</f>
        <v>PO / NBF / 161224 / 132</v>
      </c>
      <c r="L201" s="186"/>
      <c r="M201" s="187"/>
      <c r="N201" s="27">
        <f>+'Order Details Apr24 - Mar25'!F201*'Order Details Apr24 - Mar25'!N201</f>
        <v>91875</v>
      </c>
      <c r="O201" s="25"/>
      <c r="P201" s="22"/>
      <c r="Q201" s="26"/>
      <c r="R201" s="82">
        <v>45</v>
      </c>
      <c r="S201" s="22">
        <f t="shared" si="2"/>
        <v>45</v>
      </c>
      <c r="T201" s="22"/>
      <c r="U201" s="31"/>
      <c r="V201" s="51"/>
    </row>
    <row r="202" spans="1:22" ht="20.100000000000001" customHeight="1" x14ac:dyDescent="0.3">
      <c r="A202" s="44">
        <v>194</v>
      </c>
      <c r="B202" s="22">
        <f>+'Order Details Apr24 - Mar25'!P202</f>
        <v>45664</v>
      </c>
      <c r="C202" s="23"/>
      <c r="D202" s="53" t="str">
        <f>+'Order Details Apr24 - Mar25'!T202</f>
        <v>Das Drug Centre Pvt Ltd, Habra</v>
      </c>
      <c r="E202" s="25"/>
      <c r="F202" s="183" t="str">
        <f>+'Order Details Apr24 - Mar25'!D202</f>
        <v>CHLORAN-15% (Zenex-AH)</v>
      </c>
      <c r="G202" s="184"/>
      <c r="H202" s="26" t="str">
        <f>+'Order Details Apr24 - Mar25'!G202</f>
        <v>Kg</v>
      </c>
      <c r="I202" s="27">
        <f>+'Order Details Apr24 - Mar25'!I202</f>
        <v>200</v>
      </c>
      <c r="J202" s="28"/>
      <c r="K202" s="185" t="str">
        <f>+'Order Details Apr24 - Mar25'!R202</f>
        <v>PO / NBF / 070125 / 133</v>
      </c>
      <c r="L202" s="186"/>
      <c r="M202" s="187"/>
      <c r="N202" s="27">
        <f>+'Order Details Apr24 - Mar25'!F202*'Order Details Apr24 - Mar25'!N202</f>
        <v>48000</v>
      </c>
      <c r="O202" s="25"/>
      <c r="P202" s="22"/>
      <c r="Q202" s="26"/>
      <c r="R202" s="82">
        <v>45</v>
      </c>
      <c r="S202" s="22">
        <f t="shared" ref="S202:S265" si="3">P202+R202</f>
        <v>45</v>
      </c>
      <c r="T202" s="22"/>
      <c r="U202" s="31"/>
      <c r="V202" s="51"/>
    </row>
    <row r="203" spans="1:22" ht="20.100000000000001" customHeight="1" x14ac:dyDescent="0.3">
      <c r="A203" s="44">
        <v>195</v>
      </c>
      <c r="B203" s="22">
        <f>+'Order Details Apr24 - Mar25'!P203</f>
        <v>45664</v>
      </c>
      <c r="C203" s="23"/>
      <c r="D203" s="53" t="str">
        <f>+'Order Details Apr24 - Mar25'!T203</f>
        <v>Das Drug Centre Pvt Ltd, Habra</v>
      </c>
      <c r="E203" s="25"/>
      <c r="F203" s="183" t="str">
        <f>+'Order Details Apr24 - Mar25'!D203</f>
        <v>VALOSIN (Timoeva Wellness)</v>
      </c>
      <c r="G203" s="184"/>
      <c r="H203" s="26" t="str">
        <f>+'Order Details Apr24 - Mar25'!G203</f>
        <v>Kg</v>
      </c>
      <c r="I203" s="27">
        <f>+'Order Details Apr24 - Mar25'!I203</f>
        <v>28</v>
      </c>
      <c r="J203" s="28"/>
      <c r="K203" s="185" t="str">
        <f>+'Order Details Apr24 - Mar25'!R203</f>
        <v>PO / NBF / 070125 / 133</v>
      </c>
      <c r="L203" s="186"/>
      <c r="M203" s="187"/>
      <c r="N203" s="27">
        <f>+'Order Details Apr24 - Mar25'!F203*'Order Details Apr24 - Mar25'!N203</f>
        <v>638000</v>
      </c>
      <c r="O203" s="25"/>
      <c r="P203" s="22"/>
      <c r="Q203" s="26"/>
      <c r="R203" s="82">
        <v>45</v>
      </c>
      <c r="S203" s="22">
        <f t="shared" si="3"/>
        <v>45</v>
      </c>
      <c r="T203" s="22"/>
      <c r="U203" s="31"/>
      <c r="V203" s="51"/>
    </row>
    <row r="204" spans="1:22" ht="20.100000000000001" customHeight="1" x14ac:dyDescent="0.3">
      <c r="A204" s="44">
        <v>196</v>
      </c>
      <c r="B204" s="22">
        <f>+'Order Details Apr24 - Mar25'!P204</f>
        <v>45681</v>
      </c>
      <c r="C204" s="23"/>
      <c r="D204" s="53" t="str">
        <f>+'Order Details Apr24 - Mar25'!T204</f>
        <v>Healers Associates, Vijayawada</v>
      </c>
      <c r="E204" s="25"/>
      <c r="F204" s="183" t="str">
        <f>+'Order Details Apr24 - Mar25'!D204</f>
        <v>SPERMED-M (Medichem Product)</v>
      </c>
      <c r="G204" s="184"/>
      <c r="H204" s="26" t="str">
        <f>+'Order Details Apr24 - Mar25'!G204</f>
        <v>Kg</v>
      </c>
      <c r="I204" s="27">
        <f>+'Order Details Apr24 - Mar25'!I204</f>
        <v>30</v>
      </c>
      <c r="J204" s="28"/>
      <c r="K204" s="185" t="str">
        <f>+'Order Details Apr24 - Mar25'!R204</f>
        <v>PO / NBF / 240125 / 134</v>
      </c>
      <c r="L204" s="186"/>
      <c r="M204" s="187"/>
      <c r="N204" s="27">
        <f>+'Order Details Apr24 - Mar25'!F204*'Order Details Apr24 - Mar25'!N204</f>
        <v>105000</v>
      </c>
      <c r="O204" s="25"/>
      <c r="P204" s="22"/>
      <c r="Q204" s="26"/>
      <c r="R204" s="82">
        <v>45</v>
      </c>
      <c r="S204" s="22">
        <f t="shared" si="3"/>
        <v>45</v>
      </c>
      <c r="T204" s="22"/>
      <c r="U204" s="31"/>
      <c r="V204" s="51"/>
    </row>
    <row r="205" spans="1:22" ht="20.100000000000001" customHeight="1" x14ac:dyDescent="0.3">
      <c r="A205" s="44">
        <v>197</v>
      </c>
      <c r="B205" s="22">
        <f>+'Order Details Apr24 - Mar25'!P205</f>
        <v>45685</v>
      </c>
      <c r="C205" s="23"/>
      <c r="D205" s="53" t="str">
        <f>+'Order Details Apr24 - Mar25'!T205</f>
        <v>Alltech Biotechnology Pvt Ltd</v>
      </c>
      <c r="E205" s="25"/>
      <c r="F205" s="183" t="str">
        <f>+'Order Details Apr24 - Mar25'!D205</f>
        <v>MYCOSORB A+ (Alltech)</v>
      </c>
      <c r="G205" s="184"/>
      <c r="H205" s="26" t="str">
        <f>+'Order Details Apr24 - Mar25'!G205</f>
        <v>Kg</v>
      </c>
      <c r="I205" s="27">
        <f>+'Order Details Apr24 - Mar25'!I205</f>
        <v>1000</v>
      </c>
      <c r="J205" s="28"/>
      <c r="K205" s="185" t="str">
        <f>+'Order Details Apr24 - Mar25'!R205</f>
        <v>PO / NBF / 280125 / 135</v>
      </c>
      <c r="L205" s="186"/>
      <c r="M205" s="187"/>
      <c r="N205" s="27">
        <f>+'Order Details Apr24 - Mar25'!F205*'Order Details Apr24 - Mar25'!N205</f>
        <v>250000</v>
      </c>
      <c r="O205" s="25"/>
      <c r="P205" s="22"/>
      <c r="Q205" s="26"/>
      <c r="R205" s="82">
        <v>7</v>
      </c>
      <c r="S205" s="22">
        <f t="shared" si="3"/>
        <v>7</v>
      </c>
      <c r="T205" s="22"/>
      <c r="U205" s="31"/>
      <c r="V205" s="51"/>
    </row>
    <row r="206" spans="1:22" ht="20.100000000000001" customHeight="1" x14ac:dyDescent="0.3">
      <c r="A206" s="44">
        <v>198</v>
      </c>
      <c r="B206" s="22">
        <f>+'Order Details Apr24 - Mar25'!P206</f>
        <v>45685</v>
      </c>
      <c r="C206" s="23"/>
      <c r="D206" s="53" t="str">
        <f>+'Order Details Apr24 - Mar25'!T206</f>
        <v>Das Drug Centre Pvt Ltd, Habra</v>
      </c>
      <c r="E206" s="25"/>
      <c r="F206" s="183" t="str">
        <f>+'Order Details Apr24 - Mar25'!D206</f>
        <v>PHYTOCEE (Natural Remedies)</v>
      </c>
      <c r="G206" s="184"/>
      <c r="H206" s="26" t="str">
        <f>+'Order Details Apr24 - Mar25'!G206</f>
        <v>Kg</v>
      </c>
      <c r="I206" s="27">
        <f>+'Order Details Apr24 - Mar25'!I206</f>
        <v>1100</v>
      </c>
      <c r="J206" s="28"/>
      <c r="K206" s="185" t="str">
        <f>+'Order Details Apr24 - Mar25'!R206</f>
        <v>PO / NBF / 280125 / 136</v>
      </c>
      <c r="L206" s="186"/>
      <c r="M206" s="187"/>
      <c r="N206" s="27">
        <f>+'Order Details Apr24 - Mar25'!F206*'Order Details Apr24 - Mar25'!N206</f>
        <v>203060</v>
      </c>
      <c r="O206" s="25"/>
      <c r="P206" s="22"/>
      <c r="Q206" s="26"/>
      <c r="R206" s="82">
        <v>45</v>
      </c>
      <c r="S206" s="22">
        <f t="shared" si="3"/>
        <v>45</v>
      </c>
      <c r="T206" s="22"/>
      <c r="U206" s="31"/>
      <c r="V206" s="51"/>
    </row>
    <row r="207" spans="1:22" ht="20.100000000000001" customHeight="1" x14ac:dyDescent="0.3">
      <c r="A207" s="44">
        <v>199</v>
      </c>
      <c r="B207" s="22">
        <f>+'Order Details Apr24 - Mar25'!P207</f>
        <v>45693</v>
      </c>
      <c r="C207" s="23"/>
      <c r="D207" s="53" t="str">
        <f>+'Order Details Apr24 - Mar25'!T207</f>
        <v>Das Drug Centre Pvt Ltd, Habra</v>
      </c>
      <c r="E207" s="25"/>
      <c r="F207" s="183" t="str">
        <f>+'Order Details Apr24 - Mar25'!D207</f>
        <v>ENROCIN-10% (Zoetis)</v>
      </c>
      <c r="G207" s="184"/>
      <c r="H207" s="26" t="str">
        <f>+'Order Details Apr24 - Mar25'!G207</f>
        <v>Ltr</v>
      </c>
      <c r="I207" s="27">
        <f>+'Order Details Apr24 - Mar25'!I207</f>
        <v>100</v>
      </c>
      <c r="J207" s="28"/>
      <c r="K207" s="185" t="str">
        <f>+'Order Details Apr24 - Mar25'!R207</f>
        <v>PO / NBF / 050225 / 137</v>
      </c>
      <c r="L207" s="186"/>
      <c r="M207" s="187"/>
      <c r="N207" s="27">
        <f>+'Order Details Apr24 - Mar25'!F207*'Order Details Apr24 - Mar25'!N207</f>
        <v>57953.279999999999</v>
      </c>
      <c r="O207" s="25"/>
      <c r="P207" s="22"/>
      <c r="Q207" s="26"/>
      <c r="R207" s="82">
        <v>45</v>
      </c>
      <c r="S207" s="22">
        <f t="shared" si="3"/>
        <v>45</v>
      </c>
      <c r="T207" s="22"/>
      <c r="U207" s="31"/>
      <c r="V207" s="51"/>
    </row>
    <row r="208" spans="1:22" ht="20.100000000000001" customHeight="1" x14ac:dyDescent="0.3">
      <c r="A208" s="44">
        <v>200</v>
      </c>
      <c r="B208" s="22">
        <f>+'Order Details Apr24 - Mar25'!P208</f>
        <v>45693</v>
      </c>
      <c r="C208" s="23"/>
      <c r="D208" s="53" t="str">
        <f>+'Order Details Apr24 - Mar25'!T208</f>
        <v>Das Drug Centre Pvt Ltd, Habra</v>
      </c>
      <c r="E208" s="25"/>
      <c r="F208" s="183" t="str">
        <f>+'Order Details Apr24 - Mar25'!D208</f>
        <v>Oxytetracycline-LA Injection (Zenex)</v>
      </c>
      <c r="G208" s="184"/>
      <c r="H208" s="26" t="str">
        <f>+'Order Details Apr24 - Mar25'!G208</f>
        <v>Ml</v>
      </c>
      <c r="I208" s="27">
        <f>+'Order Details Apr24 - Mar25'!I208</f>
        <v>20000</v>
      </c>
      <c r="J208" s="28"/>
      <c r="K208" s="185" t="str">
        <f>+'Order Details Apr24 - Mar25'!R208</f>
        <v>PO / NBF / 050225 / 137</v>
      </c>
      <c r="L208" s="186"/>
      <c r="M208" s="187"/>
      <c r="N208" s="27">
        <f>+'Order Details Apr24 - Mar25'!F208*'Order Details Apr24 - Mar25'!N208</f>
        <v>51967.999999999993</v>
      </c>
      <c r="O208" s="25"/>
      <c r="P208" s="22"/>
      <c r="Q208" s="26"/>
      <c r="R208" s="82">
        <v>45</v>
      </c>
      <c r="S208" s="22">
        <f t="shared" si="3"/>
        <v>45</v>
      </c>
      <c r="T208" s="22"/>
      <c r="U208" s="31"/>
      <c r="V208" s="51"/>
    </row>
    <row r="209" spans="1:22" ht="20.100000000000001" customHeight="1" x14ac:dyDescent="0.3">
      <c r="A209" s="44">
        <v>201</v>
      </c>
      <c r="B209" s="22">
        <f>+'Order Details Apr24 - Mar25'!P209</f>
        <v>45693</v>
      </c>
      <c r="C209" s="23"/>
      <c r="D209" s="53" t="str">
        <f>+'Order Details Apr24 - Mar25'!T209</f>
        <v>Das Drug Centre Pvt Ltd, Habra</v>
      </c>
      <c r="E209" s="25"/>
      <c r="F209" s="183" t="str">
        <f>+'Order Details Apr24 - Mar25'!D209</f>
        <v>PULMOTIL-AC (Elanco)</v>
      </c>
      <c r="G209" s="184"/>
      <c r="H209" s="26" t="str">
        <f>+'Order Details Apr24 - Mar25'!G209</f>
        <v>Ml</v>
      </c>
      <c r="I209" s="27">
        <f>+'Order Details Apr24 - Mar25'!I209</f>
        <v>31680</v>
      </c>
      <c r="J209" s="28"/>
      <c r="K209" s="185" t="str">
        <f>+'Order Details Apr24 - Mar25'!R209</f>
        <v>PO / NBF / 050225 / 137</v>
      </c>
      <c r="L209" s="186"/>
      <c r="M209" s="187"/>
      <c r="N209" s="27">
        <f>+'Order Details Apr24 - Mar25'!F209*'Order Details Apr24 - Mar25'!N209</f>
        <v>528528</v>
      </c>
      <c r="O209" s="25"/>
      <c r="P209" s="22"/>
      <c r="Q209" s="26"/>
      <c r="R209" s="82">
        <v>45</v>
      </c>
      <c r="S209" s="22">
        <f t="shared" si="3"/>
        <v>45</v>
      </c>
      <c r="T209" s="22"/>
      <c r="U209" s="31"/>
      <c r="V209" s="51"/>
    </row>
    <row r="210" spans="1:22" ht="20.100000000000001" customHeight="1" x14ac:dyDescent="0.3">
      <c r="A210" s="44">
        <v>202</v>
      </c>
      <c r="B210" s="22">
        <f>+'Order Details Apr24 - Mar25'!P210</f>
        <v>45693</v>
      </c>
      <c r="C210" s="23"/>
      <c r="D210" s="53" t="str">
        <f>+'Order Details Apr24 - Mar25'!T210</f>
        <v>Das Drug Centre Pvt Ltd, Habra</v>
      </c>
      <c r="E210" s="25"/>
      <c r="F210" s="183" t="str">
        <f>+'Order Details Apr24 - Mar25'!D210</f>
        <v>URIMIN Injection (Virbac)</v>
      </c>
      <c r="G210" s="184"/>
      <c r="H210" s="26" t="str">
        <f>+'Order Details Apr24 - Mar25'!G210</f>
        <v>Ml</v>
      </c>
      <c r="I210" s="27">
        <f>+'Order Details Apr24 - Mar25'!I210</f>
        <v>10000</v>
      </c>
      <c r="J210" s="28"/>
      <c r="K210" s="185" t="str">
        <f>+'Order Details Apr24 - Mar25'!R210</f>
        <v>PO / NBF / 050225 / 137</v>
      </c>
      <c r="L210" s="186"/>
      <c r="M210" s="187"/>
      <c r="N210" s="27">
        <f>+'Order Details Apr24 - Mar25'!F210*'Order Details Apr24 - Mar25'!N210</f>
        <v>35754.880000000005</v>
      </c>
      <c r="O210" s="25"/>
      <c r="P210" s="22"/>
      <c r="Q210" s="26"/>
      <c r="R210" s="82">
        <v>45</v>
      </c>
      <c r="S210" s="22">
        <f t="shared" si="3"/>
        <v>45</v>
      </c>
      <c r="T210" s="22"/>
      <c r="U210" s="31"/>
      <c r="V210" s="51"/>
    </row>
    <row r="211" spans="1:22" ht="20.100000000000001" customHeight="1" x14ac:dyDescent="0.3">
      <c r="A211" s="44">
        <v>203</v>
      </c>
      <c r="B211" s="22">
        <f>+'Order Details Apr24 - Mar25'!P211</f>
        <v>45693</v>
      </c>
      <c r="C211" s="23"/>
      <c r="D211" s="53" t="str">
        <f>+'Order Details Apr24 - Mar25'!T211</f>
        <v>Izda Healthcare Ambala Cantonment</v>
      </c>
      <c r="E211" s="25"/>
      <c r="F211" s="183" t="str">
        <f>+'Order Details Apr24 - Mar25'!D211</f>
        <v>Deforce Injection (Izda Healthcare)</v>
      </c>
      <c r="G211" s="184"/>
      <c r="H211" s="26" t="str">
        <f>+'Order Details Apr24 - Mar25'!G211</f>
        <v>Ml</v>
      </c>
      <c r="I211" s="27">
        <f>+'Order Details Apr24 - Mar25'!I211</f>
        <v>500</v>
      </c>
      <c r="J211" s="28"/>
      <c r="K211" s="185" t="str">
        <f>+'Order Details Apr24 - Mar25'!R211</f>
        <v>PO / NBF / 050225 / 138</v>
      </c>
      <c r="L211" s="186"/>
      <c r="M211" s="187"/>
      <c r="N211" s="27">
        <f>+'Order Details Apr24 - Mar25'!F211*'Order Details Apr24 - Mar25'!N211</f>
        <v>42000</v>
      </c>
      <c r="O211" s="25"/>
      <c r="P211" s="22"/>
      <c r="Q211" s="26"/>
      <c r="R211" s="82">
        <v>45</v>
      </c>
      <c r="S211" s="22">
        <f t="shared" si="3"/>
        <v>45</v>
      </c>
      <c r="T211" s="22"/>
      <c r="U211" s="31"/>
      <c r="V211" s="51"/>
    </row>
    <row r="212" spans="1:22" ht="20.100000000000001" customHeight="1" x14ac:dyDescent="0.3">
      <c r="A212" s="44">
        <v>204</v>
      </c>
      <c r="B212" s="22">
        <f>+'Order Details Apr24 - Mar25'!P212</f>
        <v>45694</v>
      </c>
      <c r="C212" s="23"/>
      <c r="D212" s="53" t="str">
        <f>+'Order Details Apr24 - Mar25'!T212</f>
        <v>B V Biocrop, Hitech Division</v>
      </c>
      <c r="E212" s="25"/>
      <c r="F212" s="183" t="str">
        <f>+'Order Details Apr24 - Mar25'!D212</f>
        <v>BV-CLO2 (10 Gram) TAB</v>
      </c>
      <c r="G212" s="184"/>
      <c r="H212" s="26" t="str">
        <f>+'Order Details Apr24 - Mar25'!G212</f>
        <v>Pcs</v>
      </c>
      <c r="I212" s="27">
        <f>+'Order Details Apr24 - Mar25'!I212</f>
        <v>1000</v>
      </c>
      <c r="J212" s="28"/>
      <c r="K212" s="185" t="str">
        <f>+'Order Details Apr24 - Mar25'!R212</f>
        <v>PO / NBF / 060225 / 139</v>
      </c>
      <c r="L212" s="186"/>
      <c r="M212" s="187"/>
      <c r="N212" s="27">
        <f>+'Order Details Apr24 - Mar25'!F212*'Order Details Apr24 - Mar25'!N212</f>
        <v>23600</v>
      </c>
      <c r="O212" s="25"/>
      <c r="P212" s="22"/>
      <c r="Q212" s="26"/>
      <c r="R212" s="82">
        <v>7</v>
      </c>
      <c r="S212" s="22">
        <f t="shared" si="3"/>
        <v>7</v>
      </c>
      <c r="T212" s="22"/>
      <c r="U212" s="31"/>
      <c r="V212" s="51"/>
    </row>
    <row r="213" spans="1:22" ht="20.100000000000001" customHeight="1" x14ac:dyDescent="0.3">
      <c r="A213" s="44">
        <v>205</v>
      </c>
      <c r="B213" s="22">
        <f>+'Order Details Apr24 - Mar25'!P213</f>
        <v>45694</v>
      </c>
      <c r="C213" s="23"/>
      <c r="D213" s="53" t="str">
        <f>+'Order Details Apr24 - Mar25'!T213</f>
        <v>B V Biocrop, Hitech Division</v>
      </c>
      <c r="E213" s="25"/>
      <c r="F213" s="183" t="str">
        <f>+'Order Details Apr24 - Mar25'!D213</f>
        <v>SAFEGARD (BV Biocrop)</v>
      </c>
      <c r="G213" s="184"/>
      <c r="H213" s="26" t="str">
        <f>+'Order Details Apr24 - Mar25'!G213</f>
        <v>Ltr</v>
      </c>
      <c r="I213" s="27">
        <f>+'Order Details Apr24 - Mar25'!I213</f>
        <v>100</v>
      </c>
      <c r="J213" s="28"/>
      <c r="K213" s="185" t="str">
        <f>+'Order Details Apr24 - Mar25'!R213</f>
        <v>PO / NBF / 060225 / 139</v>
      </c>
      <c r="L213" s="186"/>
      <c r="M213" s="187"/>
      <c r="N213" s="27">
        <f>+'Order Details Apr24 - Mar25'!F213*'Order Details Apr24 - Mar25'!N213</f>
        <v>27659.200000000001</v>
      </c>
      <c r="O213" s="25"/>
      <c r="P213" s="22"/>
      <c r="Q213" s="26"/>
      <c r="R213" s="82">
        <v>7</v>
      </c>
      <c r="S213" s="22">
        <f t="shared" si="3"/>
        <v>7</v>
      </c>
      <c r="T213" s="22"/>
      <c r="U213" s="31"/>
      <c r="V213" s="51"/>
    </row>
    <row r="214" spans="1:22" ht="20.100000000000001" customHeight="1" x14ac:dyDescent="0.3">
      <c r="A214" s="44">
        <v>206</v>
      </c>
      <c r="B214" s="22">
        <f>+'Order Details Apr24 - Mar25'!P214</f>
        <v>45694</v>
      </c>
      <c r="C214" s="23"/>
      <c r="D214" s="53" t="str">
        <f>+'Order Details Apr24 - Mar25'!T214</f>
        <v>Hester Biosciences Limited</v>
      </c>
      <c r="E214" s="25"/>
      <c r="F214" s="183" t="str">
        <f>+'Order Details Apr24 - Mar25'!D214</f>
        <v>ILT (G-10000) Live Vaccine</v>
      </c>
      <c r="G214" s="184"/>
      <c r="H214" s="26" t="str">
        <f>+'Order Details Apr24 - Mar25'!G214</f>
        <v>Dose</v>
      </c>
      <c r="I214" s="27">
        <f>+'Order Details Apr24 - Mar25'!I214</f>
        <v>51000</v>
      </c>
      <c r="J214" s="28"/>
      <c r="K214" s="185" t="str">
        <f>+'Order Details Apr24 - Mar25'!R214</f>
        <v>PO / NBF / 060225 / 140</v>
      </c>
      <c r="L214" s="186"/>
      <c r="M214" s="187"/>
      <c r="N214" s="27">
        <f>+'Order Details Apr24 - Mar25'!F214*'Order Details Apr24 - Mar25'!N214</f>
        <v>80327.141999999993</v>
      </c>
      <c r="O214" s="25"/>
      <c r="P214" s="22"/>
      <c r="Q214" s="26"/>
      <c r="R214" s="82">
        <v>7</v>
      </c>
      <c r="S214" s="22">
        <f t="shared" si="3"/>
        <v>7</v>
      </c>
      <c r="T214" s="22"/>
      <c r="U214" s="31"/>
      <c r="V214" s="51"/>
    </row>
    <row r="215" spans="1:22" ht="20.100000000000001" customHeight="1" x14ac:dyDescent="0.3">
      <c r="A215" s="44">
        <v>207</v>
      </c>
      <c r="B215" s="22">
        <f>+'Order Details Apr24 - Mar25'!P215</f>
        <v>45694</v>
      </c>
      <c r="C215" s="23"/>
      <c r="D215" s="53" t="str">
        <f>+'Order Details Apr24 - Mar25'!T215</f>
        <v>Hester Biosciences Limited</v>
      </c>
      <c r="E215" s="25"/>
      <c r="F215" s="183" t="str">
        <f>+'Order Details Apr24 - Mar25'!D215</f>
        <v>Inactivated Pullet ND (LPAI) VAC</v>
      </c>
      <c r="G215" s="184"/>
      <c r="H215" s="26" t="str">
        <f>+'Order Details Apr24 - Mar25'!G215</f>
        <v>Dose</v>
      </c>
      <c r="I215" s="27">
        <f>+'Order Details Apr24 - Mar25'!I215</f>
        <v>30000</v>
      </c>
      <c r="J215" s="28"/>
      <c r="K215" s="185" t="str">
        <f>+'Order Details Apr24 - Mar25'!R215</f>
        <v>PO / NBF / 060225 / 140</v>
      </c>
      <c r="L215" s="186"/>
      <c r="M215" s="187"/>
      <c r="N215" s="27">
        <f>+'Order Details Apr24 - Mar25'!F215*'Order Details Apr24 - Mar25'!N215</f>
        <v>29768.129999999997</v>
      </c>
      <c r="O215" s="25"/>
      <c r="P215" s="22"/>
      <c r="Q215" s="26"/>
      <c r="R215" s="82">
        <v>7</v>
      </c>
      <c r="S215" s="22">
        <f t="shared" si="3"/>
        <v>7</v>
      </c>
      <c r="T215" s="22"/>
      <c r="U215" s="31"/>
      <c r="V215" s="51"/>
    </row>
    <row r="216" spans="1:22" ht="20.100000000000001" customHeight="1" x14ac:dyDescent="0.3">
      <c r="A216" s="44">
        <v>208</v>
      </c>
      <c r="B216" s="22">
        <f>+'Order Details Apr24 - Mar25'!P216</f>
        <v>45694</v>
      </c>
      <c r="C216" s="23"/>
      <c r="D216" s="53" t="str">
        <f>+'Order Details Apr24 - Mar25'!T216</f>
        <v>Hester Biosciences Limited</v>
      </c>
      <c r="E216" s="25"/>
      <c r="F216" s="183" t="str">
        <f>+'Order Details Apr24 - Mar25'!D216</f>
        <v>Inactivated Pullet ND (HPAI) VAC</v>
      </c>
      <c r="G216" s="184"/>
      <c r="H216" s="26" t="str">
        <f>+'Order Details Apr24 - Mar25'!G216</f>
        <v>Dose</v>
      </c>
      <c r="I216" s="27">
        <f>+'Order Details Apr24 - Mar25'!I216</f>
        <v>24000</v>
      </c>
      <c r="J216" s="28"/>
      <c r="K216" s="185" t="str">
        <f>+'Order Details Apr24 - Mar25'!R216</f>
        <v>PO / NBF / 060225 / 140</v>
      </c>
      <c r="L216" s="186"/>
      <c r="M216" s="187"/>
      <c r="N216" s="27">
        <f>+'Order Details Apr24 - Mar25'!F216*'Order Details Apr24 - Mar25'!N216</f>
        <v>62982.611999999994</v>
      </c>
      <c r="O216" s="25"/>
      <c r="P216" s="22"/>
      <c r="Q216" s="26"/>
      <c r="R216" s="82">
        <v>7</v>
      </c>
      <c r="S216" s="22">
        <f t="shared" si="3"/>
        <v>7</v>
      </c>
      <c r="T216" s="22"/>
      <c r="U216" s="31"/>
      <c r="V216" s="51"/>
    </row>
    <row r="217" spans="1:22" ht="20.100000000000001" customHeight="1" x14ac:dyDescent="0.3">
      <c r="A217" s="44">
        <v>209</v>
      </c>
      <c r="B217" s="22">
        <f>+'Order Details Apr24 - Mar25'!P217</f>
        <v>45694</v>
      </c>
      <c r="C217" s="23"/>
      <c r="D217" s="53" t="str">
        <f>+'Order Details Apr24 - Mar25'!T217</f>
        <v>Tara Enterprises Hyderabad</v>
      </c>
      <c r="E217" s="25"/>
      <c r="F217" s="183" t="str">
        <f>+'Order Details Apr24 - Mar25'!D217</f>
        <v>Hipraviar Clon H-120 (Hipra)</v>
      </c>
      <c r="G217" s="184"/>
      <c r="H217" s="26" t="str">
        <f>+'Order Details Apr24 - Mar25'!G217</f>
        <v>Dose</v>
      </c>
      <c r="I217" s="27">
        <f>+'Order Details Apr24 - Mar25'!I217</f>
        <v>100000</v>
      </c>
      <c r="J217" s="28"/>
      <c r="K217" s="185" t="str">
        <f>+'Order Details Apr24 - Mar25'!R217</f>
        <v>PO / NBF / 060225 / 141</v>
      </c>
      <c r="L217" s="186"/>
      <c r="M217" s="187"/>
      <c r="N217" s="27">
        <f>+'Order Details Apr24 - Mar25'!F217*'Order Details Apr24 - Mar25'!N217</f>
        <v>23100</v>
      </c>
      <c r="O217" s="25"/>
      <c r="P217" s="22"/>
      <c r="Q217" s="26"/>
      <c r="R217" s="82">
        <v>7</v>
      </c>
      <c r="S217" s="22">
        <f t="shared" si="3"/>
        <v>7</v>
      </c>
      <c r="T217" s="22"/>
      <c r="U217" s="31"/>
      <c r="V217" s="51"/>
    </row>
    <row r="218" spans="1:22" ht="20.100000000000001" customHeight="1" x14ac:dyDescent="0.3">
      <c r="A218" s="44">
        <v>210</v>
      </c>
      <c r="B218" s="22">
        <f>+'Order Details Apr24 - Mar25'!P218</f>
        <v>45694</v>
      </c>
      <c r="C218" s="23"/>
      <c r="D218" s="53" t="str">
        <f>+'Order Details Apr24 - Mar25'!T218</f>
        <v>Venkateshwara Hatcheries Ltd</v>
      </c>
      <c r="E218" s="25"/>
      <c r="F218" s="183" t="str">
        <f>+'Order Details Apr24 - Mar25'!D218</f>
        <v>IBD Intermediate (Standard) Live</v>
      </c>
      <c r="G218" s="184"/>
      <c r="H218" s="26" t="str">
        <f>+'Order Details Apr24 - Mar25'!G218</f>
        <v>Dose</v>
      </c>
      <c r="I218" s="27">
        <f>+'Order Details Apr24 - Mar25'!I218</f>
        <v>51000</v>
      </c>
      <c r="J218" s="28"/>
      <c r="K218" s="185" t="str">
        <f>+'Order Details Apr24 - Mar25'!R218</f>
        <v>PO / NBF / 060225 / 142</v>
      </c>
      <c r="L218" s="186"/>
      <c r="M218" s="187"/>
      <c r="N218" s="27">
        <f>+'Order Details Apr24 - Mar25'!F218*'Order Details Apr24 - Mar25'!N218</f>
        <v>9103.5</v>
      </c>
      <c r="O218" s="25"/>
      <c r="P218" s="22"/>
      <c r="Q218" s="26"/>
      <c r="R218" s="82">
        <v>7</v>
      </c>
      <c r="S218" s="22">
        <f t="shared" si="3"/>
        <v>7</v>
      </c>
      <c r="T218" s="22"/>
      <c r="U218" s="31"/>
      <c r="V218" s="51"/>
    </row>
    <row r="219" spans="1:22" ht="20.100000000000001" customHeight="1" x14ac:dyDescent="0.3">
      <c r="A219" s="44">
        <v>211</v>
      </c>
      <c r="B219" s="22">
        <f>+'Order Details Apr24 - Mar25'!P219</f>
        <v>45694</v>
      </c>
      <c r="C219" s="23"/>
      <c r="D219" s="53" t="str">
        <f>+'Order Details Apr24 - Mar25'!T219</f>
        <v>Venkateshwara Hatcheries Ltd</v>
      </c>
      <c r="E219" s="25"/>
      <c r="F219" s="183" t="str">
        <f>+'Order Details Apr24 - Mar25'!D219</f>
        <v>IBD Intermediate (PlusType) Live</v>
      </c>
      <c r="G219" s="184"/>
      <c r="H219" s="26" t="str">
        <f>+'Order Details Apr24 - Mar25'!G219</f>
        <v>Dose</v>
      </c>
      <c r="I219" s="27">
        <f>+'Order Details Apr24 - Mar25'!I219</f>
        <v>102000</v>
      </c>
      <c r="J219" s="28"/>
      <c r="K219" s="185" t="str">
        <f>+'Order Details Apr24 - Mar25'!R219</f>
        <v>PO / NBF / 060225 / 142</v>
      </c>
      <c r="L219" s="186"/>
      <c r="M219" s="187"/>
      <c r="N219" s="27">
        <f>+'Order Details Apr24 - Mar25'!F219*'Order Details Apr24 - Mar25'!N219</f>
        <v>24633</v>
      </c>
      <c r="O219" s="25"/>
      <c r="P219" s="22"/>
      <c r="Q219" s="26"/>
      <c r="R219" s="82">
        <v>7</v>
      </c>
      <c r="S219" s="22">
        <f t="shared" si="3"/>
        <v>7</v>
      </c>
      <c r="T219" s="22"/>
      <c r="U219" s="31"/>
      <c r="V219" s="51"/>
    </row>
    <row r="220" spans="1:22" ht="20.100000000000001" customHeight="1" x14ac:dyDescent="0.3">
      <c r="A220" s="44">
        <v>212</v>
      </c>
      <c r="B220" s="22">
        <f>+'Order Details Apr24 - Mar25'!P220</f>
        <v>45694</v>
      </c>
      <c r="C220" s="23"/>
      <c r="D220" s="53" t="str">
        <f>+'Order Details Apr24 - Mar25'!T220</f>
        <v>Venkateshwara Hatcheries Ltd</v>
      </c>
      <c r="E220" s="25"/>
      <c r="F220" s="183" t="str">
        <f>+'Order Details Apr24 - Mar25'!D220</f>
        <v>IB (MassType) Live Vacine</v>
      </c>
      <c r="G220" s="184"/>
      <c r="H220" s="26" t="str">
        <f>+'Order Details Apr24 - Mar25'!G220</f>
        <v>Dose</v>
      </c>
      <c r="I220" s="27">
        <f>+'Order Details Apr24 - Mar25'!I220</f>
        <v>51000</v>
      </c>
      <c r="J220" s="28"/>
      <c r="K220" s="185" t="str">
        <f>+'Order Details Apr24 - Mar25'!R220</f>
        <v>PO / NBF / 060225 / 142</v>
      </c>
      <c r="L220" s="186"/>
      <c r="M220" s="187"/>
      <c r="N220" s="27">
        <f>+'Order Details Apr24 - Mar25'!F220*'Order Details Apr24 - Mar25'!N220</f>
        <v>5676.3</v>
      </c>
      <c r="O220" s="25"/>
      <c r="P220" s="22"/>
      <c r="Q220" s="26"/>
      <c r="R220" s="82">
        <v>7</v>
      </c>
      <c r="S220" s="22">
        <f t="shared" si="3"/>
        <v>7</v>
      </c>
      <c r="T220" s="22"/>
      <c r="U220" s="31"/>
      <c r="V220" s="51"/>
    </row>
    <row r="221" spans="1:22" ht="20.100000000000001" customHeight="1" x14ac:dyDescent="0.3">
      <c r="A221" s="44">
        <v>213</v>
      </c>
      <c r="B221" s="22">
        <f>+'Order Details Apr24 - Mar25'!P221</f>
        <v>45694</v>
      </c>
      <c r="C221" s="23"/>
      <c r="D221" s="53" t="str">
        <f>+'Order Details Apr24 - Mar25'!T221</f>
        <v>Venkateshwara Hatcheries Ltd</v>
      </c>
      <c r="E221" s="25"/>
      <c r="F221" s="183" t="str">
        <f>+'Order Details Apr24 - Mar25'!D221</f>
        <v>ND (Lasota) Live Vaccine</v>
      </c>
      <c r="G221" s="184"/>
      <c r="H221" s="26" t="str">
        <f>+'Order Details Apr24 - Mar25'!G221</f>
        <v>Dose</v>
      </c>
      <c r="I221" s="27">
        <f>+'Order Details Apr24 - Mar25'!I221</f>
        <v>51000</v>
      </c>
      <c r="J221" s="28"/>
      <c r="K221" s="185" t="str">
        <f>+'Order Details Apr24 - Mar25'!R221</f>
        <v>PO / NBF / 060225 / 142</v>
      </c>
      <c r="L221" s="186"/>
      <c r="M221" s="187"/>
      <c r="N221" s="27">
        <f>+'Order Details Apr24 - Mar25'!F221*'Order Details Apr24 - Mar25'!N221</f>
        <v>2998.7999999999997</v>
      </c>
      <c r="O221" s="25"/>
      <c r="P221" s="22"/>
      <c r="Q221" s="26"/>
      <c r="R221" s="82">
        <v>7</v>
      </c>
      <c r="S221" s="22">
        <f t="shared" si="3"/>
        <v>7</v>
      </c>
      <c r="T221" s="22"/>
      <c r="U221" s="31"/>
      <c r="V221" s="51"/>
    </row>
    <row r="222" spans="1:22" ht="20.100000000000001" customHeight="1" x14ac:dyDescent="0.3">
      <c r="A222" s="44">
        <v>214</v>
      </c>
      <c r="B222" s="22">
        <f>+'Order Details Apr24 - Mar25'!P222</f>
        <v>45694</v>
      </c>
      <c r="C222" s="23"/>
      <c r="D222" s="53" t="str">
        <f>+'Order Details Apr24 - Mar25'!T222</f>
        <v>Venkateshwara Hatcheries Ltd</v>
      </c>
      <c r="E222" s="25"/>
      <c r="F222" s="183" t="str">
        <f>+'Order Details Apr24 - Mar25'!D222</f>
        <v>Fowl Pox Live Vaccine</v>
      </c>
      <c r="G222" s="184"/>
      <c r="H222" s="26" t="str">
        <f>+'Order Details Apr24 - Mar25'!G222</f>
        <v>Dose</v>
      </c>
      <c r="I222" s="27">
        <f>+'Order Details Apr24 - Mar25'!I222</f>
        <v>51000</v>
      </c>
      <c r="J222" s="28"/>
      <c r="K222" s="185" t="str">
        <f>+'Order Details Apr24 - Mar25'!R222</f>
        <v>PO / NBF / 060225 / 142</v>
      </c>
      <c r="L222" s="186"/>
      <c r="M222" s="187"/>
      <c r="N222" s="27">
        <f>+'Order Details Apr24 - Mar25'!F222*'Order Details Apr24 - Mar25'!N222</f>
        <v>6693.75</v>
      </c>
      <c r="O222" s="25"/>
      <c r="P222" s="22"/>
      <c r="Q222" s="26"/>
      <c r="R222" s="82">
        <v>7</v>
      </c>
      <c r="S222" s="22">
        <f t="shared" si="3"/>
        <v>7</v>
      </c>
      <c r="T222" s="22"/>
      <c r="U222" s="31"/>
      <c r="V222" s="51"/>
    </row>
    <row r="223" spans="1:22" ht="20.100000000000001" customHeight="1" x14ac:dyDescent="0.3">
      <c r="A223" s="44">
        <v>215</v>
      </c>
      <c r="B223" s="22">
        <f>+'Order Details Apr24 - Mar25'!P223</f>
        <v>45694</v>
      </c>
      <c r="C223" s="23"/>
      <c r="D223" s="53" t="str">
        <f>+'Order Details Apr24 - Mar25'!T223</f>
        <v>Venkateshwara Hatcheries Ltd</v>
      </c>
      <c r="E223" s="25"/>
      <c r="F223" s="183" t="str">
        <f>+'Order Details Apr24 - Mar25'!D223</f>
        <v>R2B Live Vaccine</v>
      </c>
      <c r="G223" s="184"/>
      <c r="H223" s="26" t="str">
        <f>+'Order Details Apr24 - Mar25'!G223</f>
        <v>Dose</v>
      </c>
      <c r="I223" s="27">
        <f>+'Order Details Apr24 - Mar25'!I223</f>
        <v>51000</v>
      </c>
      <c r="J223" s="28"/>
      <c r="K223" s="185" t="str">
        <f>+'Order Details Apr24 - Mar25'!R223</f>
        <v>PO / NBF / 060225 / 142</v>
      </c>
      <c r="L223" s="186"/>
      <c r="M223" s="187"/>
      <c r="N223" s="27">
        <f>+'Order Details Apr24 - Mar25'!F223*'Order Details Apr24 - Mar25'!N223</f>
        <v>6747.3</v>
      </c>
      <c r="O223" s="25"/>
      <c r="P223" s="22"/>
      <c r="Q223" s="26"/>
      <c r="R223" s="82">
        <v>7</v>
      </c>
      <c r="S223" s="22">
        <f t="shared" si="3"/>
        <v>7</v>
      </c>
      <c r="T223" s="22"/>
      <c r="U223" s="31"/>
      <c r="V223" s="51"/>
    </row>
    <row r="224" spans="1:22" ht="20.100000000000001" customHeight="1" x14ac:dyDescent="0.3">
      <c r="A224" s="44">
        <v>216</v>
      </c>
      <c r="B224" s="22">
        <f>+'Order Details Apr24 - Mar25'!P224</f>
        <v>45694</v>
      </c>
      <c r="C224" s="23"/>
      <c r="D224" s="53" t="str">
        <f>+'Order Details Apr24 - Mar25'!T224</f>
        <v>Venkateshwara Hatcheries Ltd</v>
      </c>
      <c r="E224" s="25"/>
      <c r="F224" s="183" t="str">
        <f>+'Order Details Apr24 - Mar25'!D224</f>
        <v>VVMD (HVT+SB-1) Live Vaccine</v>
      </c>
      <c r="G224" s="184"/>
      <c r="H224" s="26" t="str">
        <f>+'Order Details Apr24 - Mar25'!G224</f>
        <v>Dose</v>
      </c>
      <c r="I224" s="27">
        <f>+'Order Details Apr24 - Mar25'!I224</f>
        <v>102000</v>
      </c>
      <c r="J224" s="28"/>
      <c r="K224" s="185" t="str">
        <f>+'Order Details Apr24 - Mar25'!R224</f>
        <v>PO / NBF / 060225 / 142</v>
      </c>
      <c r="L224" s="186"/>
      <c r="M224" s="187"/>
      <c r="N224" s="27">
        <f>+'Order Details Apr24 - Mar25'!F224*'Order Details Apr24 - Mar25'!N224</f>
        <v>210023.1</v>
      </c>
      <c r="O224" s="25"/>
      <c r="P224" s="22"/>
      <c r="Q224" s="26"/>
      <c r="R224" s="82">
        <v>7</v>
      </c>
      <c r="S224" s="22">
        <f t="shared" si="3"/>
        <v>7</v>
      </c>
      <c r="T224" s="22"/>
      <c r="U224" s="31"/>
      <c r="V224" s="51"/>
    </row>
    <row r="225" spans="1:22" ht="20.100000000000001" customHeight="1" x14ac:dyDescent="0.3">
      <c r="A225" s="44">
        <v>217</v>
      </c>
      <c r="B225" s="22">
        <f>+'Order Details Apr24 - Mar25'!P225</f>
        <v>45694</v>
      </c>
      <c r="C225" s="23"/>
      <c r="D225" s="53" t="str">
        <f>+'Order Details Apr24 - Mar25'!T225</f>
        <v>Venkateshwara Hatcheries Ltd</v>
      </c>
      <c r="E225" s="25"/>
      <c r="F225" s="183" t="str">
        <f>+'Order Details Apr24 - Mar25'!D225</f>
        <v>IBH KILLED VAC (Venkys)</v>
      </c>
      <c r="G225" s="184"/>
      <c r="H225" s="26" t="str">
        <f>+'Order Details Apr24 - Mar25'!G225</f>
        <v>Dose</v>
      </c>
      <c r="I225" s="27">
        <f>+'Order Details Apr24 - Mar25'!I225</f>
        <v>24000</v>
      </c>
      <c r="J225" s="28"/>
      <c r="K225" s="185" t="str">
        <f>+'Order Details Apr24 - Mar25'!R225</f>
        <v>PO / NBF / 060225 / 142</v>
      </c>
      <c r="L225" s="186"/>
      <c r="M225" s="187"/>
      <c r="N225" s="27">
        <f>+'Order Details Apr24 - Mar25'!F225*'Order Details Apr24 - Mar25'!N225</f>
        <v>39690</v>
      </c>
      <c r="O225" s="25"/>
      <c r="P225" s="22"/>
      <c r="Q225" s="26"/>
      <c r="R225" s="82">
        <v>7</v>
      </c>
      <c r="S225" s="22">
        <f t="shared" si="3"/>
        <v>7</v>
      </c>
      <c r="T225" s="22"/>
      <c r="U225" s="31"/>
      <c r="V225" s="51"/>
    </row>
    <row r="226" spans="1:22" ht="20.100000000000001" customHeight="1" x14ac:dyDescent="0.3">
      <c r="A226" s="44">
        <v>218</v>
      </c>
      <c r="B226" s="22">
        <f>+'Order Details Apr24 - Mar25'!P226</f>
        <v>45694</v>
      </c>
      <c r="C226" s="23"/>
      <c r="D226" s="53" t="str">
        <f>+'Order Details Apr24 - Mar25'!T226</f>
        <v>Venkateshwara Hatcheries Ltd</v>
      </c>
      <c r="E226" s="25"/>
      <c r="F226" s="183" t="str">
        <f>+'Order Details Apr24 - Mar25'!D226</f>
        <v>ND (Visa-15) KILLED VAC</v>
      </c>
      <c r="G226" s="184"/>
      <c r="H226" s="26" t="str">
        <f>+'Order Details Apr24 - Mar25'!G226</f>
        <v>Dose</v>
      </c>
      <c r="I226" s="27">
        <f>+'Order Details Apr24 - Mar25'!I226</f>
        <v>28000</v>
      </c>
      <c r="J226" s="28"/>
      <c r="K226" s="185" t="str">
        <f>+'Order Details Apr24 - Mar25'!R226</f>
        <v>PO / NBF / 060225 / 142</v>
      </c>
      <c r="L226" s="186"/>
      <c r="M226" s="187"/>
      <c r="N226" s="27">
        <f>+'Order Details Apr24 - Mar25'!F226*'Order Details Apr24 - Mar25'!N226</f>
        <v>30135</v>
      </c>
      <c r="O226" s="25"/>
      <c r="P226" s="22"/>
      <c r="Q226" s="26"/>
      <c r="R226" s="82">
        <v>7</v>
      </c>
      <c r="S226" s="22">
        <f t="shared" si="3"/>
        <v>7</v>
      </c>
      <c r="T226" s="22"/>
      <c r="U226" s="31"/>
      <c r="V226" s="51"/>
    </row>
    <row r="227" spans="1:22" ht="20.100000000000001" customHeight="1" x14ac:dyDescent="0.3">
      <c r="A227" s="44">
        <v>219</v>
      </c>
      <c r="B227" s="22">
        <f>+'Order Details Apr24 - Mar25'!P227</f>
        <v>45694</v>
      </c>
      <c r="C227" s="23"/>
      <c r="D227" s="53" t="str">
        <f>+'Order Details Apr24 - Mar25'!T227</f>
        <v>Venkateshwara Hatcheries Ltd</v>
      </c>
      <c r="E227" s="25"/>
      <c r="F227" s="183" t="str">
        <f>+'Order Details Apr24 - Mar25'!D227</f>
        <v>REO KILLED VAC</v>
      </c>
      <c r="G227" s="184"/>
      <c r="H227" s="26" t="str">
        <f>+'Order Details Apr24 - Mar25'!G227</f>
        <v>Dose</v>
      </c>
      <c r="I227" s="27">
        <f>+'Order Details Apr24 - Mar25'!I227</f>
        <v>56000</v>
      </c>
      <c r="J227" s="28"/>
      <c r="K227" s="185" t="str">
        <f>+'Order Details Apr24 - Mar25'!R227</f>
        <v>PO / NBF / 060225 / 142</v>
      </c>
      <c r="L227" s="186"/>
      <c r="M227" s="187"/>
      <c r="N227" s="27">
        <f>+'Order Details Apr24 - Mar25'!F227*'Order Details Apr24 - Mar25'!N227</f>
        <v>118834.80000000002</v>
      </c>
      <c r="O227" s="25"/>
      <c r="P227" s="22"/>
      <c r="Q227" s="26"/>
      <c r="R227" s="82">
        <v>7</v>
      </c>
      <c r="S227" s="22">
        <f t="shared" si="3"/>
        <v>7</v>
      </c>
      <c r="T227" s="22"/>
      <c r="U227" s="31"/>
      <c r="V227" s="51"/>
    </row>
    <row r="228" spans="1:22" ht="20.100000000000001" customHeight="1" x14ac:dyDescent="0.3">
      <c r="A228" s="44">
        <v>220</v>
      </c>
      <c r="B228" s="22">
        <f>+'Order Details Apr24 - Mar25'!P228</f>
        <v>45694</v>
      </c>
      <c r="C228" s="23"/>
      <c r="D228" s="53" t="str">
        <f>+'Order Details Apr24 - Mar25'!T228</f>
        <v>Venkateshwara Hatcheries Ltd</v>
      </c>
      <c r="E228" s="25"/>
      <c r="F228" s="183" t="str">
        <f>+'Order Details Apr24 - Mar25'!D228</f>
        <v>SALMONELLA KILLED VAC</v>
      </c>
      <c r="G228" s="184"/>
      <c r="H228" s="26" t="str">
        <f>+'Order Details Apr24 - Mar25'!G228</f>
        <v>Dose</v>
      </c>
      <c r="I228" s="27">
        <f>+'Order Details Apr24 - Mar25'!I228</f>
        <v>51000</v>
      </c>
      <c r="J228" s="28"/>
      <c r="K228" s="185" t="str">
        <f>+'Order Details Apr24 - Mar25'!R228</f>
        <v>PO / NBF / 060225 / 142</v>
      </c>
      <c r="L228" s="186"/>
      <c r="M228" s="187"/>
      <c r="N228" s="27">
        <f>+'Order Details Apr24 - Mar25'!F228*'Order Details Apr24 - Mar25'!N228</f>
        <v>151814.25</v>
      </c>
      <c r="O228" s="25"/>
      <c r="P228" s="22"/>
      <c r="Q228" s="26"/>
      <c r="R228" s="82">
        <v>7</v>
      </c>
      <c r="S228" s="22">
        <f t="shared" si="3"/>
        <v>7</v>
      </c>
      <c r="T228" s="22"/>
      <c r="U228" s="31"/>
      <c r="V228" s="51"/>
    </row>
    <row r="229" spans="1:22" ht="20.100000000000001" customHeight="1" x14ac:dyDescent="0.3">
      <c r="A229" s="44">
        <v>221</v>
      </c>
      <c r="B229" s="22">
        <f>+'Order Details Apr24 - Mar25'!P229</f>
        <v>45694</v>
      </c>
      <c r="C229" s="23"/>
      <c r="D229" s="53" t="str">
        <f>+'Order Details Apr24 - Mar25'!T229</f>
        <v>Venkateshwara Hatcheries Ltd</v>
      </c>
      <c r="E229" s="25"/>
      <c r="F229" s="183" t="str">
        <f>+'Order Details Apr24 - Mar25'!D229</f>
        <v>VENNEW BRO (ND+IB Multi) KILLED</v>
      </c>
      <c r="G229" s="184"/>
      <c r="H229" s="26" t="str">
        <f>+'Order Details Apr24 - Mar25'!G229</f>
        <v>Dose</v>
      </c>
      <c r="I229" s="27">
        <f>+'Order Details Apr24 - Mar25'!I229</f>
        <v>26000</v>
      </c>
      <c r="J229" s="28"/>
      <c r="K229" s="185" t="str">
        <f>+'Order Details Apr24 - Mar25'!R229</f>
        <v>PO / NBF / 060225 / 142</v>
      </c>
      <c r="L229" s="186"/>
      <c r="M229" s="187"/>
      <c r="N229" s="27">
        <f>+'Order Details Apr24 - Mar25'!F229*'Order Details Apr24 - Mar25'!N229</f>
        <v>85858.5</v>
      </c>
      <c r="O229" s="25"/>
      <c r="P229" s="22"/>
      <c r="Q229" s="26"/>
      <c r="R229" s="82">
        <v>7</v>
      </c>
      <c r="S229" s="22">
        <f t="shared" si="3"/>
        <v>7</v>
      </c>
      <c r="T229" s="22"/>
      <c r="U229" s="31"/>
      <c r="V229" s="51"/>
    </row>
    <row r="230" spans="1:22" ht="20.100000000000001" customHeight="1" x14ac:dyDescent="0.3">
      <c r="A230" s="44">
        <v>222</v>
      </c>
      <c r="B230" s="22">
        <f>+'Order Details Apr24 - Mar25'!P230</f>
        <v>45694</v>
      </c>
      <c r="C230" s="23"/>
      <c r="D230" s="53" t="str">
        <f>+'Order Details Apr24 - Mar25'!T230</f>
        <v>Venkateshwara Hatcheries Ltd</v>
      </c>
      <c r="E230" s="25"/>
      <c r="F230" s="183" t="str">
        <f>+'Order Details Apr24 - Mar25'!D230</f>
        <v xml:space="preserve">VH CORE-4 (Coryza+ORT) KILLED </v>
      </c>
      <c r="G230" s="184"/>
      <c r="H230" s="26" t="str">
        <f>+'Order Details Apr24 - Mar25'!G230</f>
        <v>Dose</v>
      </c>
      <c r="I230" s="27">
        <f>+'Order Details Apr24 - Mar25'!I230</f>
        <v>51000</v>
      </c>
      <c r="J230" s="28"/>
      <c r="K230" s="185" t="str">
        <f>+'Order Details Apr24 - Mar25'!R230</f>
        <v>PO / NBF / 060225 / 142</v>
      </c>
      <c r="L230" s="186"/>
      <c r="M230" s="187"/>
      <c r="N230" s="27">
        <f>+'Order Details Apr24 - Mar25'!F230*'Order Details Apr24 - Mar25'!N230</f>
        <v>82948.95</v>
      </c>
      <c r="O230" s="25"/>
      <c r="P230" s="22"/>
      <c r="Q230" s="26"/>
      <c r="R230" s="82">
        <v>7</v>
      </c>
      <c r="S230" s="22">
        <f t="shared" si="3"/>
        <v>7</v>
      </c>
      <c r="T230" s="22"/>
      <c r="U230" s="31"/>
      <c r="V230" s="51"/>
    </row>
    <row r="231" spans="1:22" ht="20.100000000000001" customHeight="1" x14ac:dyDescent="0.3">
      <c r="A231" s="44">
        <v>223</v>
      </c>
      <c r="B231" s="22">
        <f>+'Order Details Apr24 - Mar25'!P231</f>
        <v>45694</v>
      </c>
      <c r="C231" s="23"/>
      <c r="D231" s="53" t="str">
        <f>+'Order Details Apr24 - Mar25'!T231</f>
        <v>Venkateshwara Hatcheries Ltd</v>
      </c>
      <c r="E231" s="25"/>
      <c r="F231" s="183" t="str">
        <f>+'Order Details Apr24 - Mar25'!D231</f>
        <v>VH FC-3 (Fowl Cholera) KILLED VAC</v>
      </c>
      <c r="G231" s="184"/>
      <c r="H231" s="26" t="str">
        <f>+'Order Details Apr24 - Mar25'!G231</f>
        <v>Dose</v>
      </c>
      <c r="I231" s="27">
        <f>+'Order Details Apr24 - Mar25'!I231</f>
        <v>51000</v>
      </c>
      <c r="J231" s="28"/>
      <c r="K231" s="185" t="str">
        <f>+'Order Details Apr24 - Mar25'!R231</f>
        <v>PO / NBF / 060225 / 142</v>
      </c>
      <c r="L231" s="186"/>
      <c r="M231" s="187"/>
      <c r="N231" s="27">
        <f>+'Order Details Apr24 - Mar25'!F231*'Order Details Apr24 - Mar25'!N231</f>
        <v>50604.75</v>
      </c>
      <c r="O231" s="25"/>
      <c r="P231" s="22"/>
      <c r="Q231" s="26"/>
      <c r="R231" s="82">
        <v>7</v>
      </c>
      <c r="S231" s="22">
        <f t="shared" si="3"/>
        <v>7</v>
      </c>
      <c r="T231" s="22"/>
      <c r="U231" s="31"/>
      <c r="V231" s="51"/>
    </row>
    <row r="232" spans="1:22" ht="20.100000000000001" customHeight="1" x14ac:dyDescent="0.3">
      <c r="A232" s="44">
        <v>224</v>
      </c>
      <c r="B232" s="22">
        <f>+'Order Details Apr24 - Mar25'!P232</f>
        <v>45694</v>
      </c>
      <c r="C232" s="23"/>
      <c r="D232" s="53" t="str">
        <f>+'Order Details Apr24 - Mar25'!T232</f>
        <v>Venkateshwara Hatcheries Ltd</v>
      </c>
      <c r="E232" s="25"/>
      <c r="F232" s="183" t="str">
        <f>+'Order Details Apr24 - Mar25'!D232</f>
        <v>Sterile Diluent for Fowl Pox Live</v>
      </c>
      <c r="G232" s="184"/>
      <c r="H232" s="26" t="str">
        <f>+'Order Details Apr24 - Mar25'!G232</f>
        <v>Ml</v>
      </c>
      <c r="I232" s="27">
        <f>+'Order Details Apr24 - Mar25'!I232</f>
        <v>11000</v>
      </c>
      <c r="J232" s="28"/>
      <c r="K232" s="185" t="str">
        <f>+'Order Details Apr24 - Mar25'!R232</f>
        <v>PO / NBF / 060225 / 142</v>
      </c>
      <c r="L232" s="186"/>
      <c r="M232" s="187"/>
      <c r="N232" s="27">
        <f>+'Order Details Apr24 - Mar25'!F232*'Order Details Apr24 - Mar25'!N232</f>
        <v>101.0625</v>
      </c>
      <c r="O232" s="25"/>
      <c r="P232" s="22"/>
      <c r="Q232" s="26"/>
      <c r="R232" s="82">
        <v>7</v>
      </c>
      <c r="S232" s="22">
        <f t="shared" si="3"/>
        <v>7</v>
      </c>
      <c r="T232" s="22"/>
      <c r="U232" s="31"/>
      <c r="V232" s="51"/>
    </row>
    <row r="233" spans="1:22" ht="20.100000000000001" customHeight="1" x14ac:dyDescent="0.3">
      <c r="A233" s="44">
        <v>225</v>
      </c>
      <c r="B233" s="22">
        <f>+'Order Details Apr24 - Mar25'!P233</f>
        <v>45694</v>
      </c>
      <c r="C233" s="23"/>
      <c r="D233" s="53" t="str">
        <f>+'Order Details Apr24 - Mar25'!T233</f>
        <v>Venkateshwara Hatcheries Ltd</v>
      </c>
      <c r="E233" s="25"/>
      <c r="F233" s="183" t="str">
        <f>+'Order Details Apr24 - Mar25'!D233</f>
        <v>Sterile Diluent for R2B Live</v>
      </c>
      <c r="G233" s="184"/>
      <c r="H233" s="26" t="str">
        <f>+'Order Details Apr24 - Mar25'!G233</f>
        <v>Ml</v>
      </c>
      <c r="I233" s="27">
        <f>+'Order Details Apr24 - Mar25'!I233</f>
        <v>27500</v>
      </c>
      <c r="J233" s="28"/>
      <c r="K233" s="185" t="str">
        <f>+'Order Details Apr24 - Mar25'!R233</f>
        <v>PO / NBF / 060225 / 142</v>
      </c>
      <c r="L233" s="186"/>
      <c r="M233" s="187"/>
      <c r="N233" s="27">
        <f>+'Order Details Apr24 - Mar25'!F233*'Order Details Apr24 - Mar25'!N233</f>
        <v>101.0625</v>
      </c>
      <c r="O233" s="25"/>
      <c r="P233" s="22"/>
      <c r="Q233" s="26"/>
      <c r="R233" s="82">
        <v>7</v>
      </c>
      <c r="S233" s="22">
        <f t="shared" si="3"/>
        <v>7</v>
      </c>
      <c r="T233" s="22"/>
      <c r="U233" s="31"/>
      <c r="V233" s="51"/>
    </row>
    <row r="234" spans="1:22" ht="20.100000000000001" customHeight="1" x14ac:dyDescent="0.3">
      <c r="A234" s="44">
        <v>226</v>
      </c>
      <c r="B234" s="22">
        <f>+'Order Details Apr24 - Mar25'!P234</f>
        <v>45694</v>
      </c>
      <c r="C234" s="23"/>
      <c r="D234" s="53" t="str">
        <f>+'Order Details Apr24 - Mar25'!T234</f>
        <v>Venkateshwara Hatcheries Ltd</v>
      </c>
      <c r="E234" s="25"/>
      <c r="F234" s="183" t="str">
        <f>+'Order Details Apr24 - Mar25'!D234</f>
        <v>Sterile Diluent for VVMD Live</v>
      </c>
      <c r="G234" s="184"/>
      <c r="H234" s="26" t="str">
        <f>+'Order Details Apr24 - Mar25'!G234</f>
        <v>Ml</v>
      </c>
      <c r="I234" s="27">
        <f>+'Order Details Apr24 - Mar25'!I234</f>
        <v>21000</v>
      </c>
      <c r="J234" s="28"/>
      <c r="K234" s="185" t="str">
        <f>+'Order Details Apr24 - Mar25'!R234</f>
        <v>PO / NBF / 060225 / 142</v>
      </c>
      <c r="L234" s="186"/>
      <c r="M234" s="187"/>
      <c r="N234" s="27">
        <f>+'Order Details Apr24 - Mar25'!F234*'Order Details Apr24 - Mar25'!N234</f>
        <v>137.8125</v>
      </c>
      <c r="O234" s="25"/>
      <c r="P234" s="22"/>
      <c r="Q234" s="26"/>
      <c r="R234" s="82">
        <v>7</v>
      </c>
      <c r="S234" s="22">
        <f t="shared" si="3"/>
        <v>7</v>
      </c>
      <c r="T234" s="22"/>
      <c r="U234" s="31"/>
      <c r="V234" s="51"/>
    </row>
    <row r="235" spans="1:22" ht="20.100000000000001" customHeight="1" x14ac:dyDescent="0.3">
      <c r="A235" s="44">
        <v>227</v>
      </c>
      <c r="B235" s="22">
        <f>+'Order Details Apr24 - Mar25'!P235</f>
        <v>45694</v>
      </c>
      <c r="C235" s="23"/>
      <c r="D235" s="53" t="str">
        <f>+'Order Details Apr24 - Mar25'!T235</f>
        <v>Venkateshwara Hatcheries Ltd</v>
      </c>
      <c r="E235" s="25"/>
      <c r="F235" s="183" t="str">
        <f>+'Order Details Apr24 - Mar25'!D235</f>
        <v>Sterile Diluent for Others Live</v>
      </c>
      <c r="G235" s="184"/>
      <c r="H235" s="26" t="str">
        <f>+'Order Details Apr24 - Mar25'!G235</f>
        <v>Ml</v>
      </c>
      <c r="I235" s="27">
        <f>+'Order Details Apr24 - Mar25'!I235</f>
        <v>7800</v>
      </c>
      <c r="J235" s="28"/>
      <c r="K235" s="185" t="str">
        <f>+'Order Details Apr24 - Mar25'!R235</f>
        <v>PO / NBF / 060225 / 142</v>
      </c>
      <c r="L235" s="186"/>
      <c r="M235" s="187"/>
      <c r="N235" s="27">
        <f>+'Order Details Apr24 - Mar25'!F235*'Order Details Apr24 - Mar25'!N235</f>
        <v>477.75</v>
      </c>
      <c r="O235" s="25"/>
      <c r="P235" s="22"/>
      <c r="Q235" s="26"/>
      <c r="R235" s="82">
        <v>7</v>
      </c>
      <c r="S235" s="22">
        <f t="shared" si="3"/>
        <v>7</v>
      </c>
      <c r="T235" s="22"/>
      <c r="U235" s="31"/>
      <c r="V235" s="51"/>
    </row>
    <row r="236" spans="1:22" ht="20.100000000000001" customHeight="1" x14ac:dyDescent="0.3">
      <c r="A236" s="44">
        <v>228</v>
      </c>
      <c r="B236" s="22">
        <f>+'Order Details Apr24 - Mar25'!P236</f>
        <v>45694</v>
      </c>
      <c r="C236" s="23"/>
      <c r="D236" s="53" t="str">
        <f>+'Order Details Apr24 - Mar25'!T236</f>
        <v>Venkateshwara Marketing Hyd</v>
      </c>
      <c r="E236" s="25"/>
      <c r="F236" s="183" t="str">
        <f>+'Order Details Apr24 - Mar25'!D236</f>
        <v>Nobilis IB MA-5 Live Vaccine (MSD)</v>
      </c>
      <c r="G236" s="184"/>
      <c r="H236" s="26" t="str">
        <f>+'Order Details Apr24 - Mar25'!G236</f>
        <v>Dose</v>
      </c>
      <c r="I236" s="27">
        <f>+'Order Details Apr24 - Mar25'!I236</f>
        <v>51000</v>
      </c>
      <c r="J236" s="28"/>
      <c r="K236" s="185" t="str">
        <f>+'Order Details Apr24 - Mar25'!R236</f>
        <v>PO / NBF / 060225 / 143</v>
      </c>
      <c r="L236" s="186"/>
      <c r="M236" s="187"/>
      <c r="N236" s="27">
        <f>+'Order Details Apr24 - Mar25'!F236*'Order Details Apr24 - Mar25'!N236</f>
        <v>25704</v>
      </c>
      <c r="O236" s="25"/>
      <c r="P236" s="22"/>
      <c r="Q236" s="26"/>
      <c r="R236" s="82">
        <v>45</v>
      </c>
      <c r="S236" s="22">
        <f t="shared" si="3"/>
        <v>45</v>
      </c>
      <c r="T236" s="22"/>
      <c r="U236" s="31"/>
      <c r="V236" s="51"/>
    </row>
    <row r="237" spans="1:22" ht="20.100000000000001" customHeight="1" x14ac:dyDescent="0.3">
      <c r="A237" s="44">
        <v>229</v>
      </c>
      <c r="B237" s="22">
        <f>+'Order Details Apr24 - Mar25'!P237</f>
        <v>45694</v>
      </c>
      <c r="C237" s="23"/>
      <c r="D237" s="53" t="str">
        <f>+'Order Details Apr24 - Mar25'!T237</f>
        <v>Venkateshwara Marketing Hyd</v>
      </c>
      <c r="E237" s="25"/>
      <c r="F237" s="183" t="str">
        <f>+'Order Details Apr24 - Mar25'!D237</f>
        <v>Nobilis REO 1133 Live Vaccine (MSD)</v>
      </c>
      <c r="G237" s="184"/>
      <c r="H237" s="26" t="str">
        <f>+'Order Details Apr24 - Mar25'!G237</f>
        <v>Dose</v>
      </c>
      <c r="I237" s="27">
        <f>+'Order Details Apr24 - Mar25'!I237</f>
        <v>51000</v>
      </c>
      <c r="J237" s="28"/>
      <c r="K237" s="185" t="str">
        <f>+'Order Details Apr24 - Mar25'!R237</f>
        <v>PO / NBF / 060225 / 143</v>
      </c>
      <c r="L237" s="186"/>
      <c r="M237" s="187"/>
      <c r="N237" s="27">
        <f>+'Order Details Apr24 - Mar25'!F237*'Order Details Apr24 - Mar25'!N237</f>
        <v>139230</v>
      </c>
      <c r="O237" s="25"/>
      <c r="P237" s="22"/>
      <c r="Q237" s="26"/>
      <c r="R237" s="82">
        <v>45</v>
      </c>
      <c r="S237" s="22">
        <f t="shared" si="3"/>
        <v>45</v>
      </c>
      <c r="T237" s="22"/>
      <c r="U237" s="31"/>
      <c r="V237" s="51"/>
    </row>
    <row r="238" spans="1:22" ht="20.100000000000001" customHeight="1" x14ac:dyDescent="0.3">
      <c r="A238" s="44">
        <v>230</v>
      </c>
      <c r="B238" s="22">
        <f>+'Order Details Apr24 - Mar25'!P238</f>
        <v>45694</v>
      </c>
      <c r="C238" s="23"/>
      <c r="D238" s="53" t="str">
        <f>+'Order Details Apr24 - Mar25'!T238</f>
        <v>Venkys India Ltd (AHP Division)</v>
      </c>
      <c r="E238" s="25"/>
      <c r="F238" s="183" t="str">
        <f>+'Order Details Apr24 - Mar25'!D238</f>
        <v>SOLUCAL (AHP Division)</v>
      </c>
      <c r="G238" s="184"/>
      <c r="H238" s="26" t="str">
        <f>+'Order Details Apr24 - Mar25'!G238</f>
        <v>Ltr</v>
      </c>
      <c r="I238" s="27">
        <f>+'Order Details Apr24 - Mar25'!I238</f>
        <v>100</v>
      </c>
      <c r="J238" s="28"/>
      <c r="K238" s="185" t="str">
        <f>+'Order Details Apr24 - Mar25'!R238</f>
        <v>PO / NBF / 060225 / 144</v>
      </c>
      <c r="L238" s="186"/>
      <c r="M238" s="187"/>
      <c r="N238" s="27">
        <f>+'Order Details Apr24 - Mar25'!F238*'Order Details Apr24 - Mar25'!N238</f>
        <v>13840</v>
      </c>
      <c r="O238" s="25"/>
      <c r="P238" s="22"/>
      <c r="Q238" s="26"/>
      <c r="R238" s="82">
        <v>7</v>
      </c>
      <c r="S238" s="22">
        <f t="shared" si="3"/>
        <v>7</v>
      </c>
      <c r="T238" s="22"/>
      <c r="U238" s="31"/>
      <c r="V238" s="51"/>
    </row>
    <row r="239" spans="1:22" ht="20.100000000000001" customHeight="1" x14ac:dyDescent="0.3">
      <c r="A239" s="44">
        <v>231</v>
      </c>
      <c r="B239" s="22">
        <f>+'Order Details Apr24 - Mar25'!P239</f>
        <v>45696</v>
      </c>
      <c r="C239" s="23"/>
      <c r="D239" s="53" t="str">
        <f>+'Order Details Apr24 - Mar25'!T239</f>
        <v>B V Biocrop, Biotech Division</v>
      </c>
      <c r="E239" s="25"/>
      <c r="F239" s="183" t="str">
        <f>+'Order Details Apr24 - Mar25'!D239</f>
        <v>LEVUCELL-SB (BV Biocrop)</v>
      </c>
      <c r="G239" s="184"/>
      <c r="H239" s="26" t="str">
        <f>+'Order Details Apr24 - Mar25'!G239</f>
        <v>Kg</v>
      </c>
      <c r="I239" s="27">
        <f>+'Order Details Apr24 - Mar25'!I239</f>
        <v>300</v>
      </c>
      <c r="J239" s="28"/>
      <c r="K239" s="185" t="str">
        <f>+'Order Details Apr24 - Mar25'!R239</f>
        <v>PO / NBF / 080225 / 145</v>
      </c>
      <c r="L239" s="186"/>
      <c r="M239" s="187"/>
      <c r="N239" s="27">
        <f>+'Order Details Apr24 - Mar25'!F239*'Order Details Apr24 - Mar25'!N239</f>
        <v>135275.40000000002</v>
      </c>
      <c r="O239" s="25"/>
      <c r="P239" s="22"/>
      <c r="Q239" s="26"/>
      <c r="R239" s="82">
        <v>7</v>
      </c>
      <c r="S239" s="22">
        <f t="shared" si="3"/>
        <v>7</v>
      </c>
      <c r="T239" s="22"/>
      <c r="U239" s="31"/>
      <c r="V239" s="51"/>
    </row>
    <row r="240" spans="1:22" ht="20.100000000000001" customHeight="1" x14ac:dyDescent="0.3">
      <c r="A240" s="44">
        <v>232</v>
      </c>
      <c r="B240" s="22">
        <f>+'Order Details Apr24 - Mar25'!P240</f>
        <v>45708</v>
      </c>
      <c r="C240" s="23"/>
      <c r="D240" s="53" t="str">
        <f>+'Order Details Apr24 - Mar25'!T240</f>
        <v>Venkateshwara Marketing Hyd</v>
      </c>
      <c r="E240" s="25"/>
      <c r="F240" s="183" t="str">
        <f>+'Order Details Apr24 - Mar25'!D240</f>
        <v>Nobilis IB MA-5+Clone-30 Live Vac (MSD)</v>
      </c>
      <c r="G240" s="184"/>
      <c r="H240" s="26" t="str">
        <f>+'Order Details Apr24 - Mar25'!G240</f>
        <v>Dose</v>
      </c>
      <c r="I240" s="27">
        <f>+'Order Details Apr24 - Mar25'!I240</f>
        <v>250000</v>
      </c>
      <c r="J240" s="28"/>
      <c r="K240" s="185" t="str">
        <f>+'Order Details Apr24 - Mar25'!R240</f>
        <v>PO / NBF / 200225 / 146</v>
      </c>
      <c r="L240" s="186"/>
      <c r="M240" s="187"/>
      <c r="N240" s="27">
        <f>+'Order Details Apr24 - Mar25'!F240*'Order Details Apr24 - Mar25'!N240</f>
        <v>91875</v>
      </c>
      <c r="O240" s="25"/>
      <c r="P240" s="22"/>
      <c r="Q240" s="26"/>
      <c r="R240" s="82">
        <v>45</v>
      </c>
      <c r="S240" s="22">
        <f t="shared" si="3"/>
        <v>45</v>
      </c>
      <c r="T240" s="22"/>
      <c r="U240" s="31"/>
      <c r="V240" s="51"/>
    </row>
    <row r="241" spans="1:22" ht="20.100000000000001" customHeight="1" x14ac:dyDescent="0.3">
      <c r="A241" s="44">
        <v>233</v>
      </c>
      <c r="B241" s="22">
        <f>+'Order Details Apr24 - Mar25'!P241</f>
        <v>45714</v>
      </c>
      <c r="C241" s="23"/>
      <c r="D241" s="53" t="str">
        <f>+'Order Details Apr24 - Mar25'!T241</f>
        <v>Das Drug Centre Pvt Ltd, Habra</v>
      </c>
      <c r="E241" s="25"/>
      <c r="F241" s="183" t="str">
        <f>+'Order Details Apr24 - Mar25'!D241</f>
        <v>CHLORAN-15% (Zenex-AH)</v>
      </c>
      <c r="G241" s="184"/>
      <c r="H241" s="26" t="str">
        <f>+'Order Details Apr24 - Mar25'!G241</f>
        <v>Kg</v>
      </c>
      <c r="I241" s="27">
        <f>+'Order Details Apr24 - Mar25'!I241</f>
        <v>200</v>
      </c>
      <c r="J241" s="28"/>
      <c r="K241" s="185" t="str">
        <f>+'Order Details Apr24 - Mar25'!R241</f>
        <v>PO / NBF / 260225 / 147</v>
      </c>
      <c r="L241" s="186"/>
      <c r="M241" s="187"/>
      <c r="N241" s="27">
        <f>+'Order Details Apr24 - Mar25'!F241*'Order Details Apr24 - Mar25'!N241</f>
        <v>48000</v>
      </c>
      <c r="O241" s="25"/>
      <c r="P241" s="22"/>
      <c r="Q241" s="26"/>
      <c r="R241" s="82">
        <v>45</v>
      </c>
      <c r="S241" s="22">
        <f t="shared" si="3"/>
        <v>45</v>
      </c>
      <c r="T241" s="22"/>
      <c r="U241" s="31"/>
      <c r="V241" s="51"/>
    </row>
    <row r="242" spans="1:22" ht="20.100000000000001" customHeight="1" x14ac:dyDescent="0.3">
      <c r="A242" s="44">
        <v>234</v>
      </c>
      <c r="B242" s="22">
        <f>+'Order Details Apr24 - Mar25'!P242</f>
        <v>45714</v>
      </c>
      <c r="C242" s="23"/>
      <c r="D242" s="53" t="str">
        <f>+'Order Details Apr24 - Mar25'!T242</f>
        <v>Das Drug Centre Pvt Ltd, Habra</v>
      </c>
      <c r="E242" s="25"/>
      <c r="F242" s="183" t="str">
        <f>+'Order Details Apr24 - Mar25'!D242</f>
        <v>KOLIN PLUS (Natural Remedies)</v>
      </c>
      <c r="G242" s="184"/>
      <c r="H242" s="26" t="str">
        <f>+'Order Details Apr24 - Mar25'!G242</f>
        <v>Kg</v>
      </c>
      <c r="I242" s="27">
        <f>+'Order Details Apr24 - Mar25'!I242</f>
        <v>500</v>
      </c>
      <c r="J242" s="28"/>
      <c r="K242" s="185" t="str">
        <f>+'Order Details Apr24 - Mar25'!R242</f>
        <v>PO / NBF / 260225 / 147</v>
      </c>
      <c r="L242" s="186"/>
      <c r="M242" s="187"/>
      <c r="N242" s="27">
        <f>+'Order Details Apr24 - Mar25'!F242*'Order Details Apr24 - Mar25'!N242</f>
        <v>35000</v>
      </c>
      <c r="O242" s="25"/>
      <c r="P242" s="22"/>
      <c r="Q242" s="26"/>
      <c r="R242" s="82">
        <v>45</v>
      </c>
      <c r="S242" s="22">
        <f t="shared" si="3"/>
        <v>45</v>
      </c>
      <c r="T242" s="22"/>
      <c r="U242" s="31"/>
      <c r="V242" s="51"/>
    </row>
    <row r="243" spans="1:22" ht="20.100000000000001" customHeight="1" x14ac:dyDescent="0.3">
      <c r="A243" s="44">
        <v>235</v>
      </c>
      <c r="B243" s="22">
        <f>+'Order Details Apr24 - Mar25'!P243</f>
        <v>45714</v>
      </c>
      <c r="C243" s="23"/>
      <c r="D243" s="53" t="str">
        <f>+'Order Details Apr24 - Mar25'!T243</f>
        <v>Das Drug Centre Pvt Ltd, Habra</v>
      </c>
      <c r="E243" s="25"/>
      <c r="F243" s="183" t="str">
        <f>+'Order Details Apr24 - Mar25'!D243</f>
        <v>VALOSIN (Timoeva Wellness)</v>
      </c>
      <c r="G243" s="184"/>
      <c r="H243" s="26" t="str">
        <f>+'Order Details Apr24 - Mar25'!G243</f>
        <v>Kg</v>
      </c>
      <c r="I243" s="27">
        <f>+'Order Details Apr24 - Mar25'!I243</f>
        <v>14</v>
      </c>
      <c r="J243" s="28"/>
      <c r="K243" s="185" t="str">
        <f>+'Order Details Apr24 - Mar25'!R243</f>
        <v>PO / NBF / 260225 / 147</v>
      </c>
      <c r="L243" s="186"/>
      <c r="M243" s="187"/>
      <c r="N243" s="27">
        <f>+'Order Details Apr24 - Mar25'!F243*'Order Details Apr24 - Mar25'!N243</f>
        <v>357280</v>
      </c>
      <c r="O243" s="25"/>
      <c r="P243" s="22"/>
      <c r="Q243" s="26"/>
      <c r="R243" s="82">
        <v>45</v>
      </c>
      <c r="S243" s="22">
        <f t="shared" si="3"/>
        <v>45</v>
      </c>
      <c r="T243" s="22"/>
      <c r="U243" s="31"/>
      <c r="V243" s="51"/>
    </row>
    <row r="244" spans="1:22" ht="20.100000000000001" customHeight="1" x14ac:dyDescent="0.3">
      <c r="A244" s="44">
        <v>236</v>
      </c>
      <c r="B244" s="22">
        <f>+'Order Details Apr24 - Mar25'!P244</f>
        <v>45714</v>
      </c>
      <c r="C244" s="23"/>
      <c r="D244" s="53" t="str">
        <f>+'Order Details Apr24 - Mar25'!T244</f>
        <v>Trouw Nutrition India Pvt Ltd</v>
      </c>
      <c r="E244" s="25"/>
      <c r="F244" s="183" t="str">
        <f>+'Order Details Apr24 - Mar25'!D244</f>
        <v>TOXO - XL (Trouw Nutrition)</v>
      </c>
      <c r="G244" s="184"/>
      <c r="H244" s="26" t="str">
        <f>+'Order Details Apr24 - Mar25'!G244</f>
        <v>Kg</v>
      </c>
      <c r="I244" s="27">
        <f>+'Order Details Apr24 - Mar25'!I244</f>
        <v>500</v>
      </c>
      <c r="J244" s="28"/>
      <c r="K244" s="185" t="str">
        <f>+'Order Details Apr24 - Mar25'!R244</f>
        <v>PO / NBF / 260225 / 148</v>
      </c>
      <c r="L244" s="186"/>
      <c r="M244" s="187"/>
      <c r="N244" s="27">
        <f>+'Order Details Apr24 - Mar25'!F244*'Order Details Apr24 - Mar25'!N244</f>
        <v>92500</v>
      </c>
      <c r="O244" s="25"/>
      <c r="P244" s="22"/>
      <c r="Q244" s="26"/>
      <c r="R244" s="82">
        <v>45</v>
      </c>
      <c r="S244" s="22">
        <f t="shared" si="3"/>
        <v>45</v>
      </c>
      <c r="T244" s="22"/>
      <c r="U244" s="31"/>
      <c r="V244" s="51"/>
    </row>
    <row r="245" spans="1:22" ht="20.100000000000001" customHeight="1" x14ac:dyDescent="0.3">
      <c r="A245" s="44">
        <v>237</v>
      </c>
      <c r="B245" s="22">
        <f>+'Order Details Apr24 - Mar25'!P245</f>
        <v>45722</v>
      </c>
      <c r="C245" s="23"/>
      <c r="D245" s="53" t="str">
        <f>+'Order Details Apr24 - Mar25'!T245</f>
        <v>Avitech Nutrition Pvt Ltd</v>
      </c>
      <c r="E245" s="25"/>
      <c r="F245" s="183" t="str">
        <f>+'Order Details Apr24 - Mar25'!D245</f>
        <v>AVITROL (Phygeno)</v>
      </c>
      <c r="G245" s="184"/>
      <c r="H245" s="26" t="str">
        <f>+'Order Details Apr24 - Mar25'!G245</f>
        <v>Kg</v>
      </c>
      <c r="I245" s="27">
        <f>+'Order Details Apr24 - Mar25'!I245</f>
        <v>200</v>
      </c>
      <c r="J245" s="28"/>
      <c r="K245" s="185" t="str">
        <f>+'Order Details Apr24 - Mar25'!R245</f>
        <v>PO / NBF / 060325 / 149</v>
      </c>
      <c r="L245" s="186"/>
      <c r="M245" s="187"/>
      <c r="N245" s="27">
        <f>+'Order Details Apr24 - Mar25'!F245*'Order Details Apr24 - Mar25'!N245</f>
        <v>360000</v>
      </c>
      <c r="O245" s="25"/>
      <c r="P245" s="22"/>
      <c r="Q245" s="26"/>
      <c r="R245" s="82">
        <v>45</v>
      </c>
      <c r="S245" s="22">
        <f t="shared" si="3"/>
        <v>45</v>
      </c>
      <c r="T245" s="22"/>
      <c r="U245" s="31"/>
      <c r="V245" s="51"/>
    </row>
    <row r="246" spans="1:22" ht="20.100000000000001" customHeight="1" x14ac:dyDescent="0.3">
      <c r="A246" s="44">
        <v>238</v>
      </c>
      <c r="B246" s="22">
        <f>+'Order Details Apr24 - Mar25'!P246</f>
        <v>45722</v>
      </c>
      <c r="C246" s="23"/>
      <c r="D246" s="53" t="str">
        <f>+'Order Details Apr24 - Mar25'!T246</f>
        <v>Natural Herbs Formulation Pvt Ltd</v>
      </c>
      <c r="E246" s="25"/>
      <c r="F246" s="183" t="str">
        <f>+'Order Details Apr24 - Mar25'!D246</f>
        <v>LIVGROW-DS (Natural Herbs)</v>
      </c>
      <c r="G246" s="184"/>
      <c r="H246" s="26" t="str">
        <f>+'Order Details Apr24 - Mar25'!G246</f>
        <v>Kg</v>
      </c>
      <c r="I246" s="27">
        <f>+'Order Details Apr24 - Mar25'!I246</f>
        <v>1000</v>
      </c>
      <c r="J246" s="28"/>
      <c r="K246" s="185" t="str">
        <f>+'Order Details Apr24 - Mar25'!R246</f>
        <v>PO / NBF / 060325 / 150</v>
      </c>
      <c r="L246" s="186"/>
      <c r="M246" s="187"/>
      <c r="N246" s="27">
        <f>+'Order Details Apr24 - Mar25'!F246*'Order Details Apr24 - Mar25'!N246</f>
        <v>52000</v>
      </c>
      <c r="O246" s="25"/>
      <c r="P246" s="22"/>
      <c r="Q246" s="26"/>
      <c r="R246" s="82">
        <v>45</v>
      </c>
      <c r="S246" s="22">
        <f t="shared" si="3"/>
        <v>45</v>
      </c>
      <c r="T246" s="22"/>
      <c r="U246" s="31"/>
      <c r="V246" s="51"/>
    </row>
    <row r="247" spans="1:22" ht="20.100000000000001" customHeight="1" x14ac:dyDescent="0.3">
      <c r="A247" s="44">
        <v>239</v>
      </c>
      <c r="B247" s="22">
        <f>+'Order Details Apr24 - Mar25'!P247</f>
        <v>45722</v>
      </c>
      <c r="C247" s="23"/>
      <c r="D247" s="53" t="str">
        <f>+'Order Details Apr24 - Mar25'!T247</f>
        <v>We Care Animal Health, Bengal</v>
      </c>
      <c r="E247" s="25"/>
      <c r="F247" s="183" t="str">
        <f>+'Order Details Apr24 - Mar25'!D247</f>
        <v>FLYVIN (We Care Animal Health)</v>
      </c>
      <c r="G247" s="184"/>
      <c r="H247" s="26" t="str">
        <f>+'Order Details Apr24 - Mar25'!G247</f>
        <v>Kg</v>
      </c>
      <c r="I247" s="27">
        <f>+'Order Details Apr24 - Mar25'!I247</f>
        <v>100</v>
      </c>
      <c r="J247" s="28"/>
      <c r="K247" s="185" t="str">
        <f>+'Order Details Apr24 - Mar25'!R247</f>
        <v>PO / NBF / 060325 / 151</v>
      </c>
      <c r="L247" s="186"/>
      <c r="M247" s="187"/>
      <c r="N247" s="27">
        <f>+'Order Details Apr24 - Mar25'!F247*'Order Details Apr24 - Mar25'!N247</f>
        <v>72000</v>
      </c>
      <c r="O247" s="25"/>
      <c r="P247" s="22"/>
      <c r="Q247" s="26"/>
      <c r="R247" s="82">
        <v>45</v>
      </c>
      <c r="S247" s="22">
        <f t="shared" si="3"/>
        <v>45</v>
      </c>
      <c r="T247" s="22"/>
      <c r="U247" s="31"/>
      <c r="V247" s="51"/>
    </row>
    <row r="248" spans="1:22" ht="20.100000000000001" customHeight="1" x14ac:dyDescent="0.3">
      <c r="A248" s="44">
        <v>240</v>
      </c>
      <c r="B248" s="22">
        <f>+'Order Details Apr24 - Mar25'!P248</f>
        <v>45726</v>
      </c>
      <c r="C248" s="23"/>
      <c r="D248" s="53" t="str">
        <f>+'Order Details Apr24 - Mar25'!T248</f>
        <v>Hester Biosciences Limited</v>
      </c>
      <c r="E248" s="25"/>
      <c r="F248" s="183" t="str">
        <f>+'Order Details Apr24 - Mar25'!D248</f>
        <v>IB-4/91 (FG/LIV/0027) Live Vaccine</v>
      </c>
      <c r="G248" s="184"/>
      <c r="H248" s="26" t="str">
        <f>+'Order Details Apr24 - Mar25'!G248</f>
        <v>Dose</v>
      </c>
      <c r="I248" s="27">
        <f>+'Order Details Apr24 - Mar25'!I248</f>
        <v>51000</v>
      </c>
      <c r="J248" s="28"/>
      <c r="K248" s="185" t="str">
        <f>+'Order Details Apr24 - Mar25'!R248</f>
        <v>PO / NBF / 100325 / 152</v>
      </c>
      <c r="L248" s="186"/>
      <c r="M248" s="187"/>
      <c r="N248" s="27">
        <f>+'Order Details Apr24 - Mar25'!F248*'Order Details Apr24 - Mar25'!N248</f>
        <v>24097.5</v>
      </c>
      <c r="O248" s="25"/>
      <c r="P248" s="22"/>
      <c r="Q248" s="26"/>
      <c r="R248" s="82">
        <v>7</v>
      </c>
      <c r="S248" s="22">
        <f t="shared" si="3"/>
        <v>7</v>
      </c>
      <c r="T248" s="22"/>
      <c r="U248" s="31"/>
      <c r="V248" s="51"/>
    </row>
    <row r="249" spans="1:22" ht="20.100000000000001" customHeight="1" x14ac:dyDescent="0.3">
      <c r="A249" s="44">
        <v>241</v>
      </c>
      <c r="B249" s="22">
        <f>+'Order Details Apr24 - Mar25'!P249</f>
        <v>45726</v>
      </c>
      <c r="C249" s="23"/>
      <c r="D249" s="53" t="str">
        <f>+'Order Details Apr24 - Mar25'!T249</f>
        <v>Natural Herbs Formulation Pvt Ltd</v>
      </c>
      <c r="E249" s="25"/>
      <c r="F249" s="183" t="str">
        <f>+'Order Details Apr24 - Mar25'!D249</f>
        <v>VITAPLUS-A (Natural Herbs)</v>
      </c>
      <c r="G249" s="184"/>
      <c r="H249" s="26" t="str">
        <f>+'Order Details Apr24 - Mar25'!G249</f>
        <v>Ltr</v>
      </c>
      <c r="I249" s="27">
        <f>+'Order Details Apr24 - Mar25'!I249</f>
        <v>48</v>
      </c>
      <c r="J249" s="28"/>
      <c r="K249" s="185" t="str">
        <f>+'Order Details Apr24 - Mar25'!R249</f>
        <v>PO / NBF / 100325 / 153</v>
      </c>
      <c r="L249" s="186"/>
      <c r="M249" s="187"/>
      <c r="N249" s="27">
        <f>+'Order Details Apr24 - Mar25'!F249*'Order Details Apr24 - Mar25'!N249</f>
        <v>31200</v>
      </c>
      <c r="O249" s="25"/>
      <c r="P249" s="22"/>
      <c r="Q249" s="26"/>
      <c r="R249" s="82">
        <v>45</v>
      </c>
      <c r="S249" s="22">
        <f t="shared" si="3"/>
        <v>45</v>
      </c>
      <c r="T249" s="22"/>
      <c r="U249" s="31"/>
      <c r="V249" s="51"/>
    </row>
    <row r="250" spans="1:22" ht="20.100000000000001" customHeight="1" x14ac:dyDescent="0.3">
      <c r="A250" s="44">
        <v>242</v>
      </c>
      <c r="B250" s="22">
        <f>+'Order Details Apr24 - Mar25'!P250</f>
        <v>45726</v>
      </c>
      <c r="C250" s="23"/>
      <c r="D250" s="53" t="str">
        <f>+'Order Details Apr24 - Mar25'!T250</f>
        <v>Venkys India Ltd (AHP Division)</v>
      </c>
      <c r="E250" s="25"/>
      <c r="F250" s="183" t="str">
        <f>+'Order Details Apr24 - Mar25'!D250</f>
        <v>HEPAWELL-P (AHP Division)</v>
      </c>
      <c r="G250" s="184"/>
      <c r="H250" s="26" t="str">
        <f>+'Order Details Apr24 - Mar25'!G250</f>
        <v>Ltr</v>
      </c>
      <c r="I250" s="27">
        <f>+'Order Details Apr24 - Mar25'!I250</f>
        <v>60</v>
      </c>
      <c r="J250" s="28"/>
      <c r="K250" s="185" t="str">
        <f>+'Order Details Apr24 - Mar25'!R250</f>
        <v>PO / NBF / 100325 / 154</v>
      </c>
      <c r="L250" s="186"/>
      <c r="M250" s="187"/>
      <c r="N250" s="27">
        <f>+'Order Details Apr24 - Mar25'!F250*'Order Details Apr24 - Mar25'!N250</f>
        <v>14736</v>
      </c>
      <c r="O250" s="25"/>
      <c r="P250" s="22"/>
      <c r="Q250" s="26"/>
      <c r="R250" s="82">
        <v>7</v>
      </c>
      <c r="S250" s="22">
        <f t="shared" si="3"/>
        <v>7</v>
      </c>
      <c r="T250" s="22"/>
      <c r="U250" s="31"/>
      <c r="V250" s="51"/>
    </row>
    <row r="251" spans="1:22" ht="20.100000000000001" customHeight="1" x14ac:dyDescent="0.3">
      <c r="A251" s="44">
        <v>243</v>
      </c>
      <c r="B251" s="22">
        <f>+'Order Details Apr24 - Mar25'!P251</f>
        <v>45730</v>
      </c>
      <c r="C251" s="23"/>
      <c r="D251" s="53" t="str">
        <f>+'Order Details Apr24 - Mar25'!T251</f>
        <v>Alltech Biotechnology Pvt Ltd</v>
      </c>
      <c r="E251" s="25"/>
      <c r="F251" s="183" t="str">
        <f>+'Order Details Apr24 - Mar25'!D251</f>
        <v>BIOPLEX PRIME (Alltech)</v>
      </c>
      <c r="G251" s="184"/>
      <c r="H251" s="26" t="str">
        <f>+'Order Details Apr24 - Mar25'!G251</f>
        <v>Kg</v>
      </c>
      <c r="I251" s="27">
        <f>+'Order Details Apr24 - Mar25'!I251</f>
        <v>500</v>
      </c>
      <c r="J251" s="28"/>
      <c r="K251" s="185" t="str">
        <f>+'Order Details Apr24 - Mar25'!R251</f>
        <v>PO / NBF / 140325 / 155</v>
      </c>
      <c r="L251" s="186"/>
      <c r="M251" s="187"/>
      <c r="N251" s="27">
        <f>+'Order Details Apr24 - Mar25'!F251*'Order Details Apr24 - Mar25'!N251</f>
        <v>120000</v>
      </c>
      <c r="O251" s="25"/>
      <c r="P251" s="22"/>
      <c r="Q251" s="26"/>
      <c r="R251" s="82">
        <v>7</v>
      </c>
      <c r="S251" s="22">
        <f t="shared" si="3"/>
        <v>7</v>
      </c>
      <c r="T251" s="22"/>
      <c r="U251" s="31"/>
      <c r="V251" s="51"/>
    </row>
    <row r="252" spans="1:22" ht="20.100000000000001" customHeight="1" x14ac:dyDescent="0.3">
      <c r="A252" s="44">
        <v>244</v>
      </c>
      <c r="B252" s="22">
        <f>+'Order Details Apr24 - Mar25'!P252</f>
        <v>45734</v>
      </c>
      <c r="C252" s="23"/>
      <c r="D252" s="53" t="str">
        <f>+'Order Details Apr24 - Mar25'!T252</f>
        <v>B V Biocrop, Hitech Division</v>
      </c>
      <c r="E252" s="25"/>
      <c r="F252" s="183" t="str">
        <f>+'Order Details Apr24 - Mar25'!D252</f>
        <v>BV-CLO2 (10 Gram) TAB</v>
      </c>
      <c r="G252" s="184"/>
      <c r="H252" s="26" t="str">
        <f>+'Order Details Apr24 - Mar25'!G252</f>
        <v>Pcs</v>
      </c>
      <c r="I252" s="27">
        <f>+'Order Details Apr24 - Mar25'!I252</f>
        <v>1000</v>
      </c>
      <c r="J252" s="28"/>
      <c r="K252" s="185" t="str">
        <f>+'Order Details Apr24 - Mar25'!R252</f>
        <v>PO / NBF / 180325 / 156</v>
      </c>
      <c r="L252" s="186"/>
      <c r="M252" s="187"/>
      <c r="N252" s="27">
        <f>+'Order Details Apr24 - Mar25'!F252*'Order Details Apr24 - Mar25'!N252</f>
        <v>23600</v>
      </c>
      <c r="O252" s="25"/>
      <c r="P252" s="22"/>
      <c r="Q252" s="26"/>
      <c r="R252" s="82">
        <v>7</v>
      </c>
      <c r="S252" s="22">
        <f t="shared" si="3"/>
        <v>7</v>
      </c>
      <c r="T252" s="22"/>
      <c r="U252" s="31"/>
      <c r="V252" s="51"/>
    </row>
    <row r="253" spans="1:22" ht="20.100000000000001" customHeight="1" x14ac:dyDescent="0.3">
      <c r="A253" s="44">
        <v>245</v>
      </c>
      <c r="B253" s="22">
        <f>+'Order Details Apr24 - Mar25'!P253</f>
        <v>45734</v>
      </c>
      <c r="C253" s="23"/>
      <c r="D253" s="53" t="str">
        <f>+'Order Details Apr24 - Mar25'!T253</f>
        <v>Das Drug Centre Pvt Ltd, Habra</v>
      </c>
      <c r="E253" s="25"/>
      <c r="F253" s="183" t="str">
        <f>+'Order Details Apr24 - Mar25'!D253</f>
        <v>FAMITONE (Zenex-AH)</v>
      </c>
      <c r="G253" s="184"/>
      <c r="H253" s="26" t="str">
        <f>+'Order Details Apr24 - Mar25'!G253</f>
        <v>Ltr</v>
      </c>
      <c r="I253" s="27">
        <f>+'Order Details Apr24 - Mar25'!I253</f>
        <v>96</v>
      </c>
      <c r="J253" s="28"/>
      <c r="K253" s="185" t="str">
        <f>+'Order Details Apr24 - Mar25'!R253</f>
        <v>PO / NBF / 180325 / 157</v>
      </c>
      <c r="L253" s="186"/>
      <c r="M253" s="187"/>
      <c r="N253" s="27">
        <f>+'Order Details Apr24 - Mar25'!F253*'Order Details Apr24 - Mar25'!N253</f>
        <v>55680</v>
      </c>
      <c r="O253" s="25"/>
      <c r="P253" s="22"/>
      <c r="Q253" s="26"/>
      <c r="R253" s="82">
        <v>45</v>
      </c>
      <c r="S253" s="22">
        <f t="shared" si="3"/>
        <v>45</v>
      </c>
      <c r="T253" s="22"/>
      <c r="U253" s="31"/>
      <c r="V253" s="51"/>
    </row>
    <row r="254" spans="1:22" ht="20.100000000000001" customHeight="1" x14ac:dyDescent="0.3">
      <c r="A254" s="44">
        <v>246</v>
      </c>
      <c r="B254" s="22">
        <f>+'Order Details Apr24 - Mar25'!P254</f>
        <v>45734</v>
      </c>
      <c r="C254" s="23"/>
      <c r="D254" s="53" t="str">
        <f>+'Order Details Apr24 - Mar25'!T254</f>
        <v>Das Drug Centre Pvt Ltd, Habra</v>
      </c>
      <c r="E254" s="25"/>
      <c r="F254" s="183" t="str">
        <f>+'Order Details Apr24 - Mar25'!D254</f>
        <v>KOHRSOLIN-TH (Virbac)</v>
      </c>
      <c r="G254" s="184"/>
      <c r="H254" s="26" t="str">
        <f>+'Order Details Apr24 - Mar25'!G254</f>
        <v>Ltr</v>
      </c>
      <c r="I254" s="27">
        <f>+'Order Details Apr24 - Mar25'!I254</f>
        <v>100</v>
      </c>
      <c r="J254" s="28"/>
      <c r="K254" s="185" t="str">
        <f>+'Order Details Apr24 - Mar25'!R254</f>
        <v>PO / NBF / 180325 / 157</v>
      </c>
      <c r="L254" s="186"/>
      <c r="M254" s="187"/>
      <c r="N254" s="27">
        <f>+'Order Details Apr24 - Mar25'!F254*'Order Details Apr24 - Mar25'!N254</f>
        <v>116348</v>
      </c>
      <c r="O254" s="25"/>
      <c r="P254" s="22"/>
      <c r="Q254" s="26"/>
      <c r="R254" s="82">
        <v>45</v>
      </c>
      <c r="S254" s="22">
        <f t="shared" si="3"/>
        <v>45</v>
      </c>
      <c r="T254" s="22"/>
      <c r="U254" s="31"/>
      <c r="V254" s="51"/>
    </row>
    <row r="255" spans="1:22" ht="20.100000000000001" customHeight="1" x14ac:dyDescent="0.3">
      <c r="A255" s="44">
        <v>247</v>
      </c>
      <c r="B255" s="22">
        <f>+'Order Details Apr24 - Mar25'!P255</f>
        <v>45734</v>
      </c>
      <c r="C255" s="23"/>
      <c r="D255" s="53" t="str">
        <f>+'Order Details Apr24 - Mar25'!T255</f>
        <v>New Neela Traders Hyderabad</v>
      </c>
      <c r="E255" s="25"/>
      <c r="F255" s="183" t="str">
        <f>+'Order Details Apr24 - Mar25'!D255</f>
        <v>TOXI CARE PLUS (AY Herbocare)</v>
      </c>
      <c r="G255" s="184"/>
      <c r="H255" s="26" t="str">
        <f>+'Order Details Apr24 - Mar25'!G255</f>
        <v>Ltr</v>
      </c>
      <c r="I255" s="27">
        <f>+'Order Details Apr24 - Mar25'!I255</f>
        <v>200</v>
      </c>
      <c r="J255" s="28"/>
      <c r="K255" s="185" t="str">
        <f>+'Order Details Apr24 - Mar25'!R255</f>
        <v>PO / NBF / 180325 / 158</v>
      </c>
      <c r="L255" s="186"/>
      <c r="M255" s="187"/>
      <c r="N255" s="27">
        <f>+'Order Details Apr24 - Mar25'!F255*'Order Details Apr24 - Mar25'!N255</f>
        <v>38000</v>
      </c>
      <c r="O255" s="25"/>
      <c r="P255" s="22"/>
      <c r="Q255" s="26"/>
      <c r="R255" s="82">
        <v>7</v>
      </c>
      <c r="S255" s="22">
        <f t="shared" si="3"/>
        <v>7</v>
      </c>
      <c r="T255" s="22"/>
      <c r="U255" s="31"/>
      <c r="V255" s="51"/>
    </row>
    <row r="256" spans="1:22" ht="20.100000000000001" customHeight="1" x14ac:dyDescent="0.3">
      <c r="A256" s="44">
        <v>248</v>
      </c>
      <c r="B256" s="22">
        <f>+'Order Details Apr24 - Mar25'!P256</f>
        <v>45734</v>
      </c>
      <c r="C256" s="23"/>
      <c r="D256" s="53" t="str">
        <f>+'Order Details Apr24 - Mar25'!T256</f>
        <v>Venkateshwara Hatcheries Ltd</v>
      </c>
      <c r="E256" s="25"/>
      <c r="F256" s="183" t="str">
        <f>+'Order Details Apr24 - Mar25'!D256</f>
        <v>IBH KILLED VAC (Venkys)</v>
      </c>
      <c r="G256" s="184"/>
      <c r="H256" s="26" t="str">
        <f>+'Order Details Apr24 - Mar25'!G256</f>
        <v>Dose</v>
      </c>
      <c r="I256" s="27">
        <f>+'Order Details Apr24 - Mar25'!I256</f>
        <v>34000</v>
      </c>
      <c r="J256" s="28"/>
      <c r="K256" s="185" t="str">
        <f>+'Order Details Apr24 - Mar25'!R256</f>
        <v>PO / NBF / 180325 / 159</v>
      </c>
      <c r="L256" s="186"/>
      <c r="M256" s="187"/>
      <c r="N256" s="27">
        <f>+'Order Details Apr24 - Mar25'!F256*'Order Details Apr24 - Mar25'!N256</f>
        <v>56227.5</v>
      </c>
      <c r="O256" s="25"/>
      <c r="P256" s="22"/>
      <c r="Q256" s="26"/>
      <c r="R256" s="82">
        <v>7</v>
      </c>
      <c r="S256" s="22">
        <f t="shared" si="3"/>
        <v>7</v>
      </c>
      <c r="T256" s="22"/>
      <c r="U256" s="31"/>
      <c r="V256" s="51"/>
    </row>
    <row r="257" spans="1:22" ht="20.100000000000001" customHeight="1" x14ac:dyDescent="0.3">
      <c r="A257" s="44">
        <v>249</v>
      </c>
      <c r="B257" s="22">
        <f>+'Order Details Apr24 - Mar25'!P257</f>
        <v>45734</v>
      </c>
      <c r="C257" s="23"/>
      <c r="D257" s="53" t="str">
        <f>+'Order Details Apr24 - Mar25'!T257</f>
        <v>Venkateshwara Hatcheries Ltd</v>
      </c>
      <c r="E257" s="25"/>
      <c r="F257" s="183" t="str">
        <f>+'Order Details Apr24 - Mar25'!D257</f>
        <v>ND+IBD KILLED VAC (Venkys)</v>
      </c>
      <c r="G257" s="184"/>
      <c r="H257" s="26" t="str">
        <f>+'Order Details Apr24 - Mar25'!G257</f>
        <v>Dose</v>
      </c>
      <c r="I257" s="27">
        <f>+'Order Details Apr24 - Mar25'!I257</f>
        <v>34000</v>
      </c>
      <c r="J257" s="28"/>
      <c r="K257" s="185" t="str">
        <f>+'Order Details Apr24 - Mar25'!R257</f>
        <v>PO / NBF / 180325 / 159</v>
      </c>
      <c r="L257" s="186"/>
      <c r="M257" s="187"/>
      <c r="N257" s="27">
        <f>+'Order Details Apr24 - Mar25'!F257*'Order Details Apr24 - Mar25'!N257</f>
        <v>97461</v>
      </c>
      <c r="O257" s="25"/>
      <c r="P257" s="22"/>
      <c r="Q257" s="26"/>
      <c r="R257" s="82">
        <v>7</v>
      </c>
      <c r="S257" s="22">
        <f t="shared" si="3"/>
        <v>7</v>
      </c>
      <c r="T257" s="22"/>
      <c r="U257" s="31"/>
      <c r="V257" s="51"/>
    </row>
    <row r="258" spans="1:22" ht="20.100000000000001" customHeight="1" x14ac:dyDescent="0.3">
      <c r="A258" s="44">
        <v>250</v>
      </c>
      <c r="B258" s="22">
        <f>+'Order Details Apr24 - Mar25'!P258</f>
        <v>45734</v>
      </c>
      <c r="C258" s="23"/>
      <c r="D258" s="53" t="str">
        <f>+'Order Details Apr24 - Mar25'!T258</f>
        <v>Venkateshwara Hatcheries Ltd</v>
      </c>
      <c r="E258" s="25"/>
      <c r="F258" s="183" t="str">
        <f>+'Order Details Apr24 - Mar25'!D258</f>
        <v xml:space="preserve">VH V- 4K (4way) KILLED VAC </v>
      </c>
      <c r="G258" s="184"/>
      <c r="H258" s="26" t="str">
        <f>+'Order Details Apr24 - Mar25'!G258</f>
        <v>Dose</v>
      </c>
      <c r="I258" s="27">
        <f>+'Order Details Apr24 - Mar25'!I258</f>
        <v>34000</v>
      </c>
      <c r="J258" s="28"/>
      <c r="K258" s="185" t="str">
        <f>+'Order Details Apr24 - Mar25'!R258</f>
        <v>PO / NBF / 180325 / 159</v>
      </c>
      <c r="L258" s="186"/>
      <c r="M258" s="187"/>
      <c r="N258" s="27">
        <f>+'Order Details Apr24 - Mar25'!F258*'Order Details Apr24 - Mar25'!N258</f>
        <v>187425</v>
      </c>
      <c r="O258" s="25"/>
      <c r="P258" s="22"/>
      <c r="Q258" s="26"/>
      <c r="R258" s="82">
        <v>7</v>
      </c>
      <c r="S258" s="22">
        <f t="shared" si="3"/>
        <v>7</v>
      </c>
      <c r="T258" s="22"/>
      <c r="U258" s="31"/>
      <c r="V258" s="51"/>
    </row>
    <row r="259" spans="1:22" ht="20.100000000000001" customHeight="1" x14ac:dyDescent="0.3">
      <c r="A259" s="44">
        <v>251</v>
      </c>
      <c r="B259" s="22">
        <f>+'Order Details Apr24 - Mar25'!P259</f>
        <v>45734</v>
      </c>
      <c r="C259" s="23"/>
      <c r="D259" s="53" t="str">
        <f>+'Order Details Apr24 - Mar25'!T259</f>
        <v>Venkys India Ltd (AHP Division)</v>
      </c>
      <c r="E259" s="25"/>
      <c r="F259" s="183" t="str">
        <f>+'Order Details Apr24 - Mar25'!D259</f>
        <v>SOLUCAL (AHP Division)</v>
      </c>
      <c r="G259" s="184"/>
      <c r="H259" s="26" t="str">
        <f>+'Order Details Apr24 - Mar25'!G259</f>
        <v>Ltr</v>
      </c>
      <c r="I259" s="27">
        <f>+'Order Details Apr24 - Mar25'!I259</f>
        <v>200</v>
      </c>
      <c r="J259" s="28"/>
      <c r="K259" s="185" t="str">
        <f>+'Order Details Apr24 - Mar25'!R259</f>
        <v>PO / NBF / 180325 / 160</v>
      </c>
      <c r="L259" s="186"/>
      <c r="M259" s="187"/>
      <c r="N259" s="27">
        <f>+'Order Details Apr24 - Mar25'!F259*'Order Details Apr24 - Mar25'!N259</f>
        <v>27680</v>
      </c>
      <c r="O259" s="25"/>
      <c r="P259" s="22"/>
      <c r="Q259" s="26"/>
      <c r="R259" s="82">
        <v>7</v>
      </c>
      <c r="S259" s="22">
        <f t="shared" si="3"/>
        <v>7</v>
      </c>
      <c r="T259" s="22"/>
      <c r="U259" s="31"/>
      <c r="V259" s="51"/>
    </row>
    <row r="260" spans="1:22" ht="20.100000000000001" customHeight="1" x14ac:dyDescent="0.3">
      <c r="A260" s="44">
        <v>252</v>
      </c>
      <c r="B260" s="22">
        <f>+'Order Details Apr24 - Mar25'!P260</f>
        <v>45737</v>
      </c>
      <c r="C260" s="23"/>
      <c r="D260" s="53" t="str">
        <f>+'Order Details Apr24 - Mar25'!T260</f>
        <v>Alivira Animal Health Ltd Mumbai</v>
      </c>
      <c r="E260" s="25"/>
      <c r="F260" s="183" t="str">
        <f>+'Order Details Apr24 - Mar25'!D260</f>
        <v>ALVIBAC - MD (Alivira)</v>
      </c>
      <c r="G260" s="184"/>
      <c r="H260" s="26" t="str">
        <f>+'Order Details Apr24 - Mar25'!G260</f>
        <v>Kg</v>
      </c>
      <c r="I260" s="27">
        <f>+'Order Details Apr24 - Mar25'!I260</f>
        <v>500</v>
      </c>
      <c r="J260" s="28"/>
      <c r="K260" s="185" t="str">
        <f>+'Order Details Apr24 - Mar25'!R260</f>
        <v>PO / NBF / 210325 / 161</v>
      </c>
      <c r="L260" s="186"/>
      <c r="M260" s="187"/>
      <c r="N260" s="27">
        <f>+'Order Details Apr24 - Mar25'!F260*'Order Details Apr24 - Mar25'!N260</f>
        <v>125000</v>
      </c>
      <c r="O260" s="25"/>
      <c r="P260" s="22"/>
      <c r="Q260" s="26"/>
      <c r="R260" s="82">
        <v>45</v>
      </c>
      <c r="S260" s="22">
        <f t="shared" si="3"/>
        <v>45</v>
      </c>
      <c r="T260" s="22"/>
      <c r="U260" s="31"/>
      <c r="V260" s="51"/>
    </row>
    <row r="261" spans="1:22" ht="20.100000000000001" customHeight="1" x14ac:dyDescent="0.3">
      <c r="A261" s="44">
        <v>253</v>
      </c>
      <c r="B261" s="22">
        <f>+'Order Details Apr24 - Mar25'!P261</f>
        <v>45737</v>
      </c>
      <c r="C261" s="23"/>
      <c r="D261" s="53" t="str">
        <f>+'Order Details Apr24 - Mar25'!T261</f>
        <v>Ves Spa, Barasat, West Bengal</v>
      </c>
      <c r="E261" s="25"/>
      <c r="F261" s="183" t="str">
        <f>+'Order Details Apr24 - Mar25'!D261</f>
        <v>VES CHOL 60% (Vesper)</v>
      </c>
      <c r="G261" s="184"/>
      <c r="H261" s="26" t="str">
        <f>+'Order Details Apr24 - Mar25'!G261</f>
        <v>Kg</v>
      </c>
      <c r="I261" s="27">
        <f>+'Order Details Apr24 - Mar25'!I261</f>
        <v>1000</v>
      </c>
      <c r="J261" s="28"/>
      <c r="K261" s="185" t="str">
        <f>+'Order Details Apr24 - Mar25'!R261</f>
        <v>PO / NBF / 210325 / 162</v>
      </c>
      <c r="L261" s="186"/>
      <c r="M261" s="187"/>
      <c r="N261" s="27">
        <f>+'Order Details Apr24 - Mar25'!F261*'Order Details Apr24 - Mar25'!N261</f>
        <v>90000</v>
      </c>
      <c r="O261" s="25"/>
      <c r="P261" s="22"/>
      <c r="Q261" s="26"/>
      <c r="R261" s="82">
        <v>45</v>
      </c>
      <c r="S261" s="22">
        <f t="shared" si="3"/>
        <v>45</v>
      </c>
      <c r="T261" s="22"/>
      <c r="U261" s="31"/>
      <c r="V261" s="51"/>
    </row>
    <row r="262" spans="1:22" ht="20.100000000000001" customHeight="1" x14ac:dyDescent="0.3">
      <c r="A262" s="44">
        <v>254</v>
      </c>
      <c r="B262" s="22">
        <f>+'Order Details Apr24 - Mar25'!P262</f>
        <v>45738</v>
      </c>
      <c r="C262" s="23"/>
      <c r="D262" s="53" t="str">
        <f>+'Order Details Apr24 - Mar25'!T262</f>
        <v>Mitra Agencies Hyderabad</v>
      </c>
      <c r="E262" s="25"/>
      <c r="F262" s="183" t="str">
        <f>+'Order Details Apr24 - Mar25'!D262</f>
        <v>SHARKOFERROL-P (Alembic)</v>
      </c>
      <c r="G262" s="184"/>
      <c r="H262" s="26" t="str">
        <f>+'Order Details Apr24 - Mar25'!G262</f>
        <v>Kg</v>
      </c>
      <c r="I262" s="27">
        <f>+'Order Details Apr24 - Mar25'!I262</f>
        <v>100</v>
      </c>
      <c r="J262" s="28"/>
      <c r="K262" s="185" t="str">
        <f>+'Order Details Apr24 - Mar25'!R262</f>
        <v>PO / NBF / 220325 / 163</v>
      </c>
      <c r="L262" s="186"/>
      <c r="M262" s="187"/>
      <c r="N262" s="27">
        <f>+'Order Details Apr24 - Mar25'!F262*'Order Details Apr24 - Mar25'!N262</f>
        <v>22500</v>
      </c>
      <c r="O262" s="25"/>
      <c r="P262" s="22"/>
      <c r="Q262" s="26"/>
      <c r="R262" s="82">
        <v>10</v>
      </c>
      <c r="S262" s="22">
        <f t="shared" si="3"/>
        <v>10</v>
      </c>
      <c r="T262" s="22"/>
      <c r="U262" s="31"/>
      <c r="V262" s="51"/>
    </row>
    <row r="263" spans="1:22" ht="20.100000000000001" customHeight="1" x14ac:dyDescent="0.3">
      <c r="A263" s="44">
        <v>255</v>
      </c>
      <c r="B263" s="22">
        <f>+'Order Details Apr24 - Mar25'!P263</f>
        <v>45743</v>
      </c>
      <c r="C263" s="23"/>
      <c r="D263" s="53" t="str">
        <f>+'Order Details Apr24 - Mar25'!T263</f>
        <v>B V Biocrop, Biotech Division</v>
      </c>
      <c r="E263" s="25"/>
      <c r="F263" s="183" t="str">
        <f>+'Order Details Apr24 - Mar25'!D263</f>
        <v>LEVUCELL-SB (BV Biocrop)</v>
      </c>
      <c r="G263" s="184"/>
      <c r="H263" s="26" t="str">
        <f>+'Order Details Apr24 - Mar25'!G263</f>
        <v>Kg</v>
      </c>
      <c r="I263" s="27">
        <f>+'Order Details Apr24 - Mar25'!I263</f>
        <v>300</v>
      </c>
      <c r="J263" s="28"/>
      <c r="K263" s="185" t="str">
        <f>+'Order Details Apr24 - Mar25'!R263</f>
        <v>PO / NBF / 270325 / 164</v>
      </c>
      <c r="L263" s="186"/>
      <c r="M263" s="187"/>
      <c r="N263" s="27">
        <f>+'Order Details Apr24 - Mar25'!F263*'Order Details Apr24 - Mar25'!N263</f>
        <v>129000</v>
      </c>
      <c r="O263" s="25"/>
      <c r="P263" s="22"/>
      <c r="Q263" s="26"/>
      <c r="R263" s="82">
        <v>7</v>
      </c>
      <c r="S263" s="22">
        <f t="shared" si="3"/>
        <v>7</v>
      </c>
      <c r="T263" s="22"/>
      <c r="U263" s="31"/>
      <c r="V263" s="51"/>
    </row>
    <row r="264" spans="1:22" ht="20.100000000000001" customHeight="1" x14ac:dyDescent="0.3">
      <c r="A264" s="44">
        <v>256</v>
      </c>
      <c r="B264" s="22">
        <f>+'Order Details Apr24 - Mar25'!P264</f>
        <v>45743</v>
      </c>
      <c r="C264" s="23"/>
      <c r="D264" s="53" t="str">
        <f>+'Order Details Apr24 - Mar25'!T264</f>
        <v>Global Checmicals Ltd Kolkata</v>
      </c>
      <c r="E264" s="25"/>
      <c r="F264" s="183" t="str">
        <f>+'Order Details Apr24 - Mar25'!D264</f>
        <v>ROVIMIX BREEDER (DSM)</v>
      </c>
      <c r="G264" s="184"/>
      <c r="H264" s="26" t="str">
        <f>+'Order Details Apr24 - Mar25'!G264</f>
        <v>Kg</v>
      </c>
      <c r="I264" s="27">
        <f>+'Order Details Apr24 - Mar25'!I264</f>
        <v>1000</v>
      </c>
      <c r="J264" s="28"/>
      <c r="K264" s="185" t="str">
        <f>+'Order Details Apr24 - Mar25'!R264</f>
        <v>PO / NBF / 270325 / 165</v>
      </c>
      <c r="L264" s="186"/>
      <c r="M264" s="187"/>
      <c r="N264" s="27">
        <f>+'Order Details Apr24 - Mar25'!F264*'Order Details Apr24 - Mar25'!N264</f>
        <v>800000</v>
      </c>
      <c r="O264" s="25"/>
      <c r="P264" s="22"/>
      <c r="Q264" s="26"/>
      <c r="R264" s="82">
        <v>30</v>
      </c>
      <c r="S264" s="22">
        <f t="shared" si="3"/>
        <v>30</v>
      </c>
      <c r="T264" s="22"/>
      <c r="U264" s="31"/>
      <c r="V264" s="51"/>
    </row>
    <row r="265" spans="1:22" ht="20.100000000000001" customHeight="1" x14ac:dyDescent="0.3">
      <c r="A265" s="44">
        <v>257</v>
      </c>
      <c r="B265" s="22">
        <f>+'Order Details Apr24 - Mar25'!P265</f>
        <v>45746</v>
      </c>
      <c r="C265" s="23"/>
      <c r="D265" s="53" t="str">
        <f>+'Order Details Apr24 - Mar25'!T265</f>
        <v>Alltech Biotechnology Pvt Ltd</v>
      </c>
      <c r="E265" s="25"/>
      <c r="F265" s="183" t="str">
        <f>+'Order Details Apr24 - Mar25'!D265</f>
        <v>MYCOSORB A+ (Alltech)</v>
      </c>
      <c r="G265" s="184"/>
      <c r="H265" s="26" t="str">
        <f>+'Order Details Apr24 - Mar25'!G265</f>
        <v>Kg</v>
      </c>
      <c r="I265" s="27">
        <f>+'Order Details Apr24 - Mar25'!I265</f>
        <v>1000</v>
      </c>
      <c r="J265" s="28"/>
      <c r="K265" s="185" t="str">
        <f>+'Order Details Apr24 - Mar25'!R265</f>
        <v>PO / NBF / 300325 / 166</v>
      </c>
      <c r="L265" s="186"/>
      <c r="M265" s="187"/>
      <c r="N265" s="27">
        <f>+'Order Details Apr24 - Mar25'!F265*'Order Details Apr24 - Mar25'!N265</f>
        <v>250000</v>
      </c>
      <c r="O265" s="25"/>
      <c r="P265" s="22"/>
      <c r="Q265" s="26"/>
      <c r="R265" s="82">
        <v>7</v>
      </c>
      <c r="S265" s="22">
        <f t="shared" si="3"/>
        <v>7</v>
      </c>
      <c r="T265" s="22"/>
      <c r="U265" s="31"/>
      <c r="V265" s="51"/>
    </row>
    <row r="266" spans="1:22" ht="20.100000000000001" customHeight="1" x14ac:dyDescent="0.3">
      <c r="A266" s="44">
        <v>258</v>
      </c>
      <c r="B266" s="22">
        <f>+'Order Details Apr24 - Mar25'!P266</f>
        <v>0</v>
      </c>
      <c r="C266" s="23"/>
      <c r="D266" s="53">
        <f>+'Order Details Apr24 - Mar25'!T266</f>
        <v>0</v>
      </c>
      <c r="E266" s="25"/>
      <c r="F266" s="183">
        <f>+'Order Details Apr24 - Mar25'!D266</f>
        <v>0</v>
      </c>
      <c r="G266" s="184"/>
      <c r="H266" s="26">
        <f>+'Order Details Apr24 - Mar25'!G266</f>
        <v>0</v>
      </c>
      <c r="I266" s="27">
        <f>+'Order Details Apr24 - Mar25'!I266</f>
        <v>0</v>
      </c>
      <c r="J266" s="28"/>
      <c r="K266" s="185">
        <f>+'Order Details Apr24 - Mar25'!R266</f>
        <v>0</v>
      </c>
      <c r="L266" s="186"/>
      <c r="M266" s="187"/>
      <c r="N266" s="27">
        <f>+'Order Details Apr24 - Mar25'!F266*'Order Details Apr24 - Mar25'!N266</f>
        <v>0</v>
      </c>
      <c r="O266" s="25"/>
      <c r="P266" s="22"/>
      <c r="Q266" s="26"/>
      <c r="R266" s="82"/>
      <c r="S266" s="22">
        <f t="shared" ref="S266:S329" si="4">P266+R266</f>
        <v>0</v>
      </c>
      <c r="T266" s="22"/>
      <c r="U266" s="31"/>
      <c r="V266" s="51"/>
    </row>
    <row r="267" spans="1:22" ht="20.100000000000001" customHeight="1" x14ac:dyDescent="0.3">
      <c r="A267" s="44">
        <v>259</v>
      </c>
      <c r="B267" s="22">
        <f>+'Order Details Apr24 - Mar25'!P267</f>
        <v>0</v>
      </c>
      <c r="C267" s="23"/>
      <c r="D267" s="53">
        <f>+'Order Details Apr24 - Mar25'!T267</f>
        <v>0</v>
      </c>
      <c r="E267" s="25"/>
      <c r="F267" s="183">
        <f>+'Order Details Apr24 - Mar25'!D267</f>
        <v>0</v>
      </c>
      <c r="G267" s="184"/>
      <c r="H267" s="26">
        <f>+'Order Details Apr24 - Mar25'!G267</f>
        <v>0</v>
      </c>
      <c r="I267" s="27">
        <f>+'Order Details Apr24 - Mar25'!I267</f>
        <v>0</v>
      </c>
      <c r="J267" s="28"/>
      <c r="K267" s="185">
        <f>+'Order Details Apr24 - Mar25'!R267</f>
        <v>0</v>
      </c>
      <c r="L267" s="186"/>
      <c r="M267" s="187"/>
      <c r="N267" s="27">
        <f>+'Order Details Apr24 - Mar25'!F267*'Order Details Apr24 - Mar25'!N267</f>
        <v>0</v>
      </c>
      <c r="O267" s="25"/>
      <c r="P267" s="22"/>
      <c r="Q267" s="26"/>
      <c r="R267" s="82"/>
      <c r="S267" s="22">
        <f t="shared" si="4"/>
        <v>0</v>
      </c>
      <c r="T267" s="22"/>
      <c r="U267" s="31"/>
      <c r="V267" s="51"/>
    </row>
    <row r="268" spans="1:22" ht="20.100000000000001" customHeight="1" x14ac:dyDescent="0.3">
      <c r="A268" s="44">
        <v>260</v>
      </c>
      <c r="B268" s="22">
        <f>+'Order Details Apr24 - Mar25'!P268</f>
        <v>0</v>
      </c>
      <c r="C268" s="23"/>
      <c r="D268" s="53">
        <f>+'Order Details Apr24 - Mar25'!T268</f>
        <v>0</v>
      </c>
      <c r="E268" s="25"/>
      <c r="F268" s="183">
        <f>+'Order Details Apr24 - Mar25'!D268</f>
        <v>0</v>
      </c>
      <c r="G268" s="184"/>
      <c r="H268" s="26">
        <f>+'Order Details Apr24 - Mar25'!G268</f>
        <v>0</v>
      </c>
      <c r="I268" s="27">
        <f>+'Order Details Apr24 - Mar25'!I268</f>
        <v>0</v>
      </c>
      <c r="J268" s="28"/>
      <c r="K268" s="185">
        <f>+'Order Details Apr24 - Mar25'!R268</f>
        <v>0</v>
      </c>
      <c r="L268" s="186"/>
      <c r="M268" s="187"/>
      <c r="N268" s="27">
        <f>+'Order Details Apr24 - Mar25'!F268*'Order Details Apr24 - Mar25'!N268</f>
        <v>0</v>
      </c>
      <c r="O268" s="25"/>
      <c r="P268" s="22"/>
      <c r="Q268" s="26"/>
      <c r="R268" s="82"/>
      <c r="S268" s="22">
        <f t="shared" si="4"/>
        <v>0</v>
      </c>
      <c r="T268" s="22"/>
      <c r="U268" s="31"/>
      <c r="V268" s="51"/>
    </row>
    <row r="269" spans="1:22" ht="20.100000000000001" customHeight="1" x14ac:dyDescent="0.3">
      <c r="A269" s="44">
        <v>261</v>
      </c>
      <c r="B269" s="22">
        <f>+'Order Details Apr24 - Mar25'!P269</f>
        <v>0</v>
      </c>
      <c r="C269" s="23"/>
      <c r="D269" s="53">
        <f>+'Order Details Apr24 - Mar25'!T269</f>
        <v>0</v>
      </c>
      <c r="E269" s="25"/>
      <c r="F269" s="183">
        <f>+'Order Details Apr24 - Mar25'!D269</f>
        <v>0</v>
      </c>
      <c r="G269" s="184"/>
      <c r="H269" s="26">
        <f>+'Order Details Apr24 - Mar25'!G269</f>
        <v>0</v>
      </c>
      <c r="I269" s="27">
        <f>+'Order Details Apr24 - Mar25'!I269</f>
        <v>0</v>
      </c>
      <c r="J269" s="28"/>
      <c r="K269" s="185">
        <f>+'Order Details Apr24 - Mar25'!R269</f>
        <v>0</v>
      </c>
      <c r="L269" s="186"/>
      <c r="M269" s="187"/>
      <c r="N269" s="27">
        <f>+'Order Details Apr24 - Mar25'!F269*'Order Details Apr24 - Mar25'!N269</f>
        <v>0</v>
      </c>
      <c r="O269" s="25"/>
      <c r="P269" s="22"/>
      <c r="Q269" s="26"/>
      <c r="R269" s="82"/>
      <c r="S269" s="22">
        <f t="shared" si="4"/>
        <v>0</v>
      </c>
      <c r="T269" s="22"/>
      <c r="U269" s="31"/>
      <c r="V269" s="51"/>
    </row>
    <row r="270" spans="1:22" ht="20.100000000000001" customHeight="1" x14ac:dyDescent="0.3">
      <c r="A270" s="44">
        <v>262</v>
      </c>
      <c r="B270" s="22">
        <f>+'Order Details Apr24 - Mar25'!P270</f>
        <v>0</v>
      </c>
      <c r="C270" s="23"/>
      <c r="D270" s="53">
        <f>+'Order Details Apr24 - Mar25'!T270</f>
        <v>0</v>
      </c>
      <c r="E270" s="25"/>
      <c r="F270" s="183">
        <f>+'Order Details Apr24 - Mar25'!D270</f>
        <v>0</v>
      </c>
      <c r="G270" s="184"/>
      <c r="H270" s="26">
        <f>+'Order Details Apr24 - Mar25'!G270</f>
        <v>0</v>
      </c>
      <c r="I270" s="27">
        <f>+'Order Details Apr24 - Mar25'!I270</f>
        <v>0</v>
      </c>
      <c r="J270" s="28"/>
      <c r="K270" s="185">
        <f>+'Order Details Apr24 - Mar25'!R270</f>
        <v>0</v>
      </c>
      <c r="L270" s="186"/>
      <c r="M270" s="187"/>
      <c r="N270" s="27">
        <f>+'Order Details Apr24 - Mar25'!F270*'Order Details Apr24 - Mar25'!N270</f>
        <v>0</v>
      </c>
      <c r="O270" s="25"/>
      <c r="P270" s="22"/>
      <c r="Q270" s="26"/>
      <c r="R270" s="82"/>
      <c r="S270" s="22">
        <f t="shared" si="4"/>
        <v>0</v>
      </c>
      <c r="T270" s="22"/>
      <c r="U270" s="31"/>
      <c r="V270" s="51"/>
    </row>
    <row r="271" spans="1:22" ht="20.100000000000001" customHeight="1" x14ac:dyDescent="0.3">
      <c r="A271" s="44">
        <v>263</v>
      </c>
      <c r="B271" s="22">
        <f>+'Order Details Apr24 - Mar25'!P271</f>
        <v>0</v>
      </c>
      <c r="C271" s="23"/>
      <c r="D271" s="53">
        <f>+'Order Details Apr24 - Mar25'!T271</f>
        <v>0</v>
      </c>
      <c r="E271" s="25"/>
      <c r="F271" s="183">
        <f>+'Order Details Apr24 - Mar25'!D271</f>
        <v>0</v>
      </c>
      <c r="G271" s="184"/>
      <c r="H271" s="26">
        <f>+'Order Details Apr24 - Mar25'!G271</f>
        <v>0</v>
      </c>
      <c r="I271" s="27">
        <f>+'Order Details Apr24 - Mar25'!I271</f>
        <v>0</v>
      </c>
      <c r="J271" s="28"/>
      <c r="K271" s="185">
        <f>+'Order Details Apr24 - Mar25'!R271</f>
        <v>0</v>
      </c>
      <c r="L271" s="186"/>
      <c r="M271" s="187"/>
      <c r="N271" s="27">
        <f>+'Order Details Apr24 - Mar25'!F271*'Order Details Apr24 - Mar25'!N271</f>
        <v>0</v>
      </c>
      <c r="O271" s="25"/>
      <c r="P271" s="22"/>
      <c r="Q271" s="26"/>
      <c r="R271" s="82"/>
      <c r="S271" s="22">
        <f t="shared" si="4"/>
        <v>0</v>
      </c>
      <c r="T271" s="22"/>
      <c r="U271" s="31"/>
      <c r="V271" s="51"/>
    </row>
    <row r="272" spans="1:22" ht="20.100000000000001" customHeight="1" x14ac:dyDescent="0.3">
      <c r="A272" s="44">
        <v>264</v>
      </c>
      <c r="B272" s="22">
        <f>+'Order Details Apr24 - Mar25'!P272</f>
        <v>0</v>
      </c>
      <c r="C272" s="23"/>
      <c r="D272" s="53">
        <f>+'Order Details Apr24 - Mar25'!T272</f>
        <v>0</v>
      </c>
      <c r="E272" s="25"/>
      <c r="F272" s="183">
        <f>+'Order Details Apr24 - Mar25'!D272</f>
        <v>0</v>
      </c>
      <c r="G272" s="184"/>
      <c r="H272" s="26">
        <f>+'Order Details Apr24 - Mar25'!G272</f>
        <v>0</v>
      </c>
      <c r="I272" s="27">
        <f>+'Order Details Apr24 - Mar25'!I272</f>
        <v>0</v>
      </c>
      <c r="J272" s="28"/>
      <c r="K272" s="185">
        <f>+'Order Details Apr24 - Mar25'!R272</f>
        <v>0</v>
      </c>
      <c r="L272" s="186"/>
      <c r="M272" s="187"/>
      <c r="N272" s="27">
        <f>+'Order Details Apr24 - Mar25'!F272*'Order Details Apr24 - Mar25'!N272</f>
        <v>0</v>
      </c>
      <c r="O272" s="25"/>
      <c r="P272" s="22"/>
      <c r="Q272" s="26"/>
      <c r="R272" s="82"/>
      <c r="S272" s="22">
        <f t="shared" si="4"/>
        <v>0</v>
      </c>
      <c r="T272" s="22"/>
      <c r="U272" s="31"/>
      <c r="V272" s="51"/>
    </row>
    <row r="273" spans="1:22" ht="20.100000000000001" customHeight="1" x14ac:dyDescent="0.3">
      <c r="A273" s="44">
        <v>265</v>
      </c>
      <c r="B273" s="22">
        <f>+'Order Details Apr24 - Mar25'!P273</f>
        <v>0</v>
      </c>
      <c r="C273" s="23"/>
      <c r="D273" s="53">
        <f>+'Order Details Apr24 - Mar25'!T273</f>
        <v>0</v>
      </c>
      <c r="E273" s="25"/>
      <c r="F273" s="183">
        <f>+'Order Details Apr24 - Mar25'!D273</f>
        <v>0</v>
      </c>
      <c r="G273" s="184"/>
      <c r="H273" s="26">
        <f>+'Order Details Apr24 - Mar25'!G273</f>
        <v>0</v>
      </c>
      <c r="I273" s="27">
        <f>+'Order Details Apr24 - Mar25'!I273</f>
        <v>0</v>
      </c>
      <c r="J273" s="28"/>
      <c r="K273" s="185">
        <f>+'Order Details Apr24 - Mar25'!R273</f>
        <v>0</v>
      </c>
      <c r="L273" s="186"/>
      <c r="M273" s="187"/>
      <c r="N273" s="27">
        <f>+'Order Details Apr24 - Mar25'!F273*'Order Details Apr24 - Mar25'!N273</f>
        <v>0</v>
      </c>
      <c r="O273" s="25"/>
      <c r="P273" s="22"/>
      <c r="Q273" s="26"/>
      <c r="R273" s="82"/>
      <c r="S273" s="22">
        <f t="shared" si="4"/>
        <v>0</v>
      </c>
      <c r="T273" s="22"/>
      <c r="U273" s="31"/>
      <c r="V273" s="51"/>
    </row>
    <row r="274" spans="1:22" ht="20.100000000000001" customHeight="1" x14ac:dyDescent="0.3">
      <c r="A274" s="44">
        <v>266</v>
      </c>
      <c r="B274" s="22">
        <f>+'Order Details Apr24 - Mar25'!P274</f>
        <v>0</v>
      </c>
      <c r="C274" s="23"/>
      <c r="D274" s="53">
        <f>+'Order Details Apr24 - Mar25'!T274</f>
        <v>0</v>
      </c>
      <c r="E274" s="25"/>
      <c r="F274" s="183">
        <f>+'Order Details Apr24 - Mar25'!D274</f>
        <v>0</v>
      </c>
      <c r="G274" s="184"/>
      <c r="H274" s="26">
        <f>+'Order Details Apr24 - Mar25'!G274</f>
        <v>0</v>
      </c>
      <c r="I274" s="27">
        <f>+'Order Details Apr24 - Mar25'!I274</f>
        <v>0</v>
      </c>
      <c r="J274" s="28"/>
      <c r="K274" s="185">
        <f>+'Order Details Apr24 - Mar25'!R274</f>
        <v>0</v>
      </c>
      <c r="L274" s="186"/>
      <c r="M274" s="187"/>
      <c r="N274" s="27">
        <f>+'Order Details Apr24 - Mar25'!F274*'Order Details Apr24 - Mar25'!N274</f>
        <v>0</v>
      </c>
      <c r="O274" s="25"/>
      <c r="P274" s="22"/>
      <c r="Q274" s="26"/>
      <c r="R274" s="82"/>
      <c r="S274" s="22">
        <f t="shared" si="4"/>
        <v>0</v>
      </c>
      <c r="T274" s="22"/>
      <c r="U274" s="31"/>
      <c r="V274" s="51"/>
    </row>
    <row r="275" spans="1:22" ht="20.100000000000001" customHeight="1" x14ac:dyDescent="0.3">
      <c r="A275" s="44">
        <v>267</v>
      </c>
      <c r="B275" s="22">
        <f>+'Order Details Apr24 - Mar25'!P275</f>
        <v>0</v>
      </c>
      <c r="C275" s="23"/>
      <c r="D275" s="53">
        <f>+'Order Details Apr24 - Mar25'!T275</f>
        <v>0</v>
      </c>
      <c r="E275" s="25"/>
      <c r="F275" s="183">
        <f>+'Order Details Apr24 - Mar25'!D275</f>
        <v>0</v>
      </c>
      <c r="G275" s="184"/>
      <c r="H275" s="26">
        <f>+'Order Details Apr24 - Mar25'!G275</f>
        <v>0</v>
      </c>
      <c r="I275" s="27">
        <f>+'Order Details Apr24 - Mar25'!I275</f>
        <v>0</v>
      </c>
      <c r="J275" s="28"/>
      <c r="K275" s="185">
        <f>+'Order Details Apr24 - Mar25'!R275</f>
        <v>0</v>
      </c>
      <c r="L275" s="186"/>
      <c r="M275" s="187"/>
      <c r="N275" s="27">
        <f>+'Order Details Apr24 - Mar25'!F275*'Order Details Apr24 - Mar25'!N275</f>
        <v>0</v>
      </c>
      <c r="O275" s="25"/>
      <c r="P275" s="22"/>
      <c r="Q275" s="26"/>
      <c r="R275" s="82"/>
      <c r="S275" s="22">
        <f t="shared" si="4"/>
        <v>0</v>
      </c>
      <c r="T275" s="22"/>
      <c r="U275" s="31"/>
      <c r="V275" s="51"/>
    </row>
    <row r="276" spans="1:22" ht="20.100000000000001" customHeight="1" x14ac:dyDescent="0.3">
      <c r="A276" s="44">
        <v>268</v>
      </c>
      <c r="B276" s="22">
        <f>+'Order Details Apr24 - Mar25'!P276</f>
        <v>0</v>
      </c>
      <c r="C276" s="23"/>
      <c r="D276" s="53">
        <f>+'Order Details Apr24 - Mar25'!T276</f>
        <v>0</v>
      </c>
      <c r="E276" s="25"/>
      <c r="F276" s="183">
        <f>+'Order Details Apr24 - Mar25'!D276</f>
        <v>0</v>
      </c>
      <c r="G276" s="184"/>
      <c r="H276" s="26">
        <f>+'Order Details Apr24 - Mar25'!G276</f>
        <v>0</v>
      </c>
      <c r="I276" s="27">
        <f>+'Order Details Apr24 - Mar25'!I276</f>
        <v>0</v>
      </c>
      <c r="J276" s="28"/>
      <c r="K276" s="185">
        <f>+'Order Details Apr24 - Mar25'!R276</f>
        <v>0</v>
      </c>
      <c r="L276" s="186"/>
      <c r="M276" s="187"/>
      <c r="N276" s="27">
        <f>+'Order Details Apr24 - Mar25'!F276*'Order Details Apr24 - Mar25'!N276</f>
        <v>0</v>
      </c>
      <c r="O276" s="25"/>
      <c r="P276" s="22"/>
      <c r="Q276" s="26"/>
      <c r="R276" s="82"/>
      <c r="S276" s="22">
        <f t="shared" si="4"/>
        <v>0</v>
      </c>
      <c r="T276" s="22"/>
      <c r="U276" s="31"/>
      <c r="V276" s="51"/>
    </row>
    <row r="277" spans="1:22" ht="20.100000000000001" customHeight="1" x14ac:dyDescent="0.3">
      <c r="A277" s="44">
        <v>269</v>
      </c>
      <c r="B277" s="22">
        <f>+'Order Details Apr24 - Mar25'!P277</f>
        <v>0</v>
      </c>
      <c r="C277" s="23"/>
      <c r="D277" s="53">
        <f>+'Order Details Apr24 - Mar25'!T277</f>
        <v>0</v>
      </c>
      <c r="E277" s="25"/>
      <c r="F277" s="183">
        <f>+'Order Details Apr24 - Mar25'!D277</f>
        <v>0</v>
      </c>
      <c r="G277" s="184"/>
      <c r="H277" s="26">
        <f>+'Order Details Apr24 - Mar25'!G277</f>
        <v>0</v>
      </c>
      <c r="I277" s="27">
        <f>+'Order Details Apr24 - Mar25'!I277</f>
        <v>0</v>
      </c>
      <c r="J277" s="28"/>
      <c r="K277" s="185">
        <f>+'Order Details Apr24 - Mar25'!R277</f>
        <v>0</v>
      </c>
      <c r="L277" s="186"/>
      <c r="M277" s="187"/>
      <c r="N277" s="27">
        <f>+'Order Details Apr24 - Mar25'!F277*'Order Details Apr24 - Mar25'!N277</f>
        <v>0</v>
      </c>
      <c r="O277" s="25"/>
      <c r="P277" s="22"/>
      <c r="Q277" s="26"/>
      <c r="R277" s="82"/>
      <c r="S277" s="22">
        <f t="shared" si="4"/>
        <v>0</v>
      </c>
      <c r="T277" s="22"/>
      <c r="U277" s="31"/>
      <c r="V277" s="51"/>
    </row>
    <row r="278" spans="1:22" ht="20.100000000000001" customHeight="1" x14ac:dyDescent="0.3">
      <c r="A278" s="44">
        <v>270</v>
      </c>
      <c r="B278" s="22">
        <f>+'Order Details Apr24 - Mar25'!P278</f>
        <v>0</v>
      </c>
      <c r="C278" s="23"/>
      <c r="D278" s="53">
        <f>+'Order Details Apr24 - Mar25'!T278</f>
        <v>0</v>
      </c>
      <c r="E278" s="25"/>
      <c r="F278" s="183">
        <f>+'Order Details Apr24 - Mar25'!D278</f>
        <v>0</v>
      </c>
      <c r="G278" s="184"/>
      <c r="H278" s="26">
        <f>+'Order Details Apr24 - Mar25'!G278</f>
        <v>0</v>
      </c>
      <c r="I278" s="27">
        <f>+'Order Details Apr24 - Mar25'!I278</f>
        <v>0</v>
      </c>
      <c r="J278" s="28"/>
      <c r="K278" s="185">
        <f>+'Order Details Apr24 - Mar25'!R278</f>
        <v>0</v>
      </c>
      <c r="L278" s="186"/>
      <c r="M278" s="187"/>
      <c r="N278" s="27">
        <f>+'Order Details Apr24 - Mar25'!F278*'Order Details Apr24 - Mar25'!N278</f>
        <v>0</v>
      </c>
      <c r="O278" s="25"/>
      <c r="P278" s="22"/>
      <c r="Q278" s="26"/>
      <c r="R278" s="82"/>
      <c r="S278" s="22">
        <f t="shared" si="4"/>
        <v>0</v>
      </c>
      <c r="T278" s="22"/>
      <c r="U278" s="31"/>
      <c r="V278" s="51"/>
    </row>
    <row r="279" spans="1:22" ht="20.100000000000001" customHeight="1" x14ac:dyDescent="0.3">
      <c r="A279" s="44">
        <v>271</v>
      </c>
      <c r="B279" s="22">
        <f>+'Order Details Apr24 - Mar25'!P279</f>
        <v>0</v>
      </c>
      <c r="C279" s="23"/>
      <c r="D279" s="53">
        <f>+'Order Details Apr24 - Mar25'!T279</f>
        <v>0</v>
      </c>
      <c r="E279" s="25"/>
      <c r="F279" s="183">
        <f>+'Order Details Apr24 - Mar25'!D279</f>
        <v>0</v>
      </c>
      <c r="G279" s="184"/>
      <c r="H279" s="26">
        <f>+'Order Details Apr24 - Mar25'!G279</f>
        <v>0</v>
      </c>
      <c r="I279" s="27">
        <f>+'Order Details Apr24 - Mar25'!I279</f>
        <v>0</v>
      </c>
      <c r="J279" s="28"/>
      <c r="K279" s="185">
        <f>+'Order Details Apr24 - Mar25'!R279</f>
        <v>0</v>
      </c>
      <c r="L279" s="186"/>
      <c r="M279" s="187"/>
      <c r="N279" s="27">
        <f>+'Order Details Apr24 - Mar25'!F279*'Order Details Apr24 - Mar25'!N279</f>
        <v>0</v>
      </c>
      <c r="O279" s="25"/>
      <c r="P279" s="22"/>
      <c r="Q279" s="26"/>
      <c r="R279" s="82"/>
      <c r="S279" s="22">
        <f t="shared" si="4"/>
        <v>0</v>
      </c>
      <c r="T279" s="22"/>
      <c r="U279" s="31"/>
      <c r="V279" s="51"/>
    </row>
    <row r="280" spans="1:22" ht="20.100000000000001" customHeight="1" x14ac:dyDescent="0.3">
      <c r="A280" s="44">
        <v>272</v>
      </c>
      <c r="B280" s="22">
        <f>+'Order Details Apr24 - Mar25'!P280</f>
        <v>0</v>
      </c>
      <c r="C280" s="23"/>
      <c r="D280" s="53">
        <f>+'Order Details Apr24 - Mar25'!T280</f>
        <v>0</v>
      </c>
      <c r="E280" s="25"/>
      <c r="F280" s="183">
        <f>+'Order Details Apr24 - Mar25'!D280</f>
        <v>0</v>
      </c>
      <c r="G280" s="184"/>
      <c r="H280" s="26">
        <f>+'Order Details Apr24 - Mar25'!G280</f>
        <v>0</v>
      </c>
      <c r="I280" s="27">
        <f>+'Order Details Apr24 - Mar25'!I280</f>
        <v>0</v>
      </c>
      <c r="J280" s="28"/>
      <c r="K280" s="185">
        <f>+'Order Details Apr24 - Mar25'!R280</f>
        <v>0</v>
      </c>
      <c r="L280" s="186"/>
      <c r="M280" s="187"/>
      <c r="N280" s="27">
        <f>+'Order Details Apr24 - Mar25'!F280*'Order Details Apr24 - Mar25'!N280</f>
        <v>0</v>
      </c>
      <c r="O280" s="25"/>
      <c r="P280" s="22"/>
      <c r="Q280" s="26"/>
      <c r="R280" s="82"/>
      <c r="S280" s="22">
        <f t="shared" si="4"/>
        <v>0</v>
      </c>
      <c r="T280" s="22"/>
      <c r="U280" s="31"/>
      <c r="V280" s="51"/>
    </row>
    <row r="281" spans="1:22" ht="20.100000000000001" customHeight="1" x14ac:dyDescent="0.3">
      <c r="A281" s="44">
        <v>273</v>
      </c>
      <c r="B281" s="22">
        <f>+'Order Details Apr24 - Mar25'!P281</f>
        <v>0</v>
      </c>
      <c r="C281" s="23"/>
      <c r="D281" s="53">
        <f>+'Order Details Apr24 - Mar25'!T281</f>
        <v>0</v>
      </c>
      <c r="E281" s="25"/>
      <c r="F281" s="183">
        <f>+'Order Details Apr24 - Mar25'!D281</f>
        <v>0</v>
      </c>
      <c r="G281" s="184"/>
      <c r="H281" s="26">
        <f>+'Order Details Apr24 - Mar25'!G281</f>
        <v>0</v>
      </c>
      <c r="I281" s="27">
        <f>+'Order Details Apr24 - Mar25'!I281</f>
        <v>0</v>
      </c>
      <c r="J281" s="28"/>
      <c r="K281" s="185">
        <f>+'Order Details Apr24 - Mar25'!R281</f>
        <v>0</v>
      </c>
      <c r="L281" s="186"/>
      <c r="M281" s="187"/>
      <c r="N281" s="27">
        <f>+'Order Details Apr24 - Mar25'!F281*'Order Details Apr24 - Mar25'!N281</f>
        <v>0</v>
      </c>
      <c r="O281" s="25"/>
      <c r="P281" s="22"/>
      <c r="Q281" s="26"/>
      <c r="R281" s="82"/>
      <c r="S281" s="22">
        <f t="shared" si="4"/>
        <v>0</v>
      </c>
      <c r="T281" s="22"/>
      <c r="U281" s="31"/>
      <c r="V281" s="51"/>
    </row>
    <row r="282" spans="1:22" ht="20.100000000000001" customHeight="1" x14ac:dyDescent="0.3">
      <c r="A282" s="44">
        <v>274</v>
      </c>
      <c r="B282" s="22">
        <f>+'Order Details Apr24 - Mar25'!P282</f>
        <v>0</v>
      </c>
      <c r="C282" s="23"/>
      <c r="D282" s="53">
        <f>+'Order Details Apr24 - Mar25'!T282</f>
        <v>0</v>
      </c>
      <c r="E282" s="25"/>
      <c r="F282" s="183">
        <f>+'Order Details Apr24 - Mar25'!D282</f>
        <v>0</v>
      </c>
      <c r="G282" s="184"/>
      <c r="H282" s="26">
        <f>+'Order Details Apr24 - Mar25'!G282</f>
        <v>0</v>
      </c>
      <c r="I282" s="27">
        <f>+'Order Details Apr24 - Mar25'!I282</f>
        <v>0</v>
      </c>
      <c r="J282" s="28"/>
      <c r="K282" s="185">
        <f>+'Order Details Apr24 - Mar25'!R282</f>
        <v>0</v>
      </c>
      <c r="L282" s="186"/>
      <c r="M282" s="187"/>
      <c r="N282" s="27">
        <f>+'Order Details Apr24 - Mar25'!F282*'Order Details Apr24 - Mar25'!N282</f>
        <v>0</v>
      </c>
      <c r="O282" s="25"/>
      <c r="P282" s="22"/>
      <c r="Q282" s="26"/>
      <c r="R282" s="82"/>
      <c r="S282" s="22">
        <f t="shared" si="4"/>
        <v>0</v>
      </c>
      <c r="T282" s="22"/>
      <c r="U282" s="31"/>
      <c r="V282" s="51"/>
    </row>
    <row r="283" spans="1:22" ht="20.100000000000001" customHeight="1" x14ac:dyDescent="0.3">
      <c r="A283" s="44">
        <v>275</v>
      </c>
      <c r="B283" s="22">
        <f>+'Order Details Apr24 - Mar25'!P283</f>
        <v>0</v>
      </c>
      <c r="C283" s="23"/>
      <c r="D283" s="53">
        <f>+'Order Details Apr24 - Mar25'!T283</f>
        <v>0</v>
      </c>
      <c r="E283" s="25"/>
      <c r="F283" s="183">
        <f>+'Order Details Apr24 - Mar25'!D283</f>
        <v>0</v>
      </c>
      <c r="G283" s="184"/>
      <c r="H283" s="26">
        <f>+'Order Details Apr24 - Mar25'!G283</f>
        <v>0</v>
      </c>
      <c r="I283" s="27">
        <f>+'Order Details Apr24 - Mar25'!I283</f>
        <v>0</v>
      </c>
      <c r="J283" s="28"/>
      <c r="K283" s="185">
        <f>+'Order Details Apr24 - Mar25'!R283</f>
        <v>0</v>
      </c>
      <c r="L283" s="186"/>
      <c r="M283" s="187"/>
      <c r="N283" s="27">
        <f>+'Order Details Apr24 - Mar25'!F283*'Order Details Apr24 - Mar25'!N283</f>
        <v>0</v>
      </c>
      <c r="O283" s="25"/>
      <c r="P283" s="22"/>
      <c r="Q283" s="26"/>
      <c r="R283" s="82"/>
      <c r="S283" s="22">
        <f t="shared" si="4"/>
        <v>0</v>
      </c>
      <c r="T283" s="22"/>
      <c r="U283" s="31"/>
      <c r="V283" s="51"/>
    </row>
    <row r="284" spans="1:22" ht="20.100000000000001" customHeight="1" x14ac:dyDescent="0.3">
      <c r="A284" s="44">
        <v>276</v>
      </c>
      <c r="B284" s="22">
        <f>+'Order Details Apr24 - Mar25'!P284</f>
        <v>0</v>
      </c>
      <c r="C284" s="23"/>
      <c r="D284" s="53">
        <f>+'Order Details Apr24 - Mar25'!T284</f>
        <v>0</v>
      </c>
      <c r="E284" s="25"/>
      <c r="F284" s="183">
        <f>+'Order Details Apr24 - Mar25'!D284</f>
        <v>0</v>
      </c>
      <c r="G284" s="184"/>
      <c r="H284" s="26">
        <f>+'Order Details Apr24 - Mar25'!G284</f>
        <v>0</v>
      </c>
      <c r="I284" s="27">
        <f>+'Order Details Apr24 - Mar25'!I284</f>
        <v>0</v>
      </c>
      <c r="J284" s="28"/>
      <c r="K284" s="185">
        <f>+'Order Details Apr24 - Mar25'!R284</f>
        <v>0</v>
      </c>
      <c r="L284" s="186"/>
      <c r="M284" s="187"/>
      <c r="N284" s="27">
        <f>+'Order Details Apr24 - Mar25'!F284*'Order Details Apr24 - Mar25'!N284</f>
        <v>0</v>
      </c>
      <c r="O284" s="25"/>
      <c r="P284" s="22"/>
      <c r="Q284" s="26"/>
      <c r="R284" s="82"/>
      <c r="S284" s="22">
        <f t="shared" si="4"/>
        <v>0</v>
      </c>
      <c r="T284" s="22"/>
      <c r="U284" s="31"/>
      <c r="V284" s="51"/>
    </row>
    <row r="285" spans="1:22" ht="20.100000000000001" customHeight="1" x14ac:dyDescent="0.3">
      <c r="A285" s="44">
        <v>277</v>
      </c>
      <c r="B285" s="22">
        <f>+'Order Details Apr24 - Mar25'!P285</f>
        <v>0</v>
      </c>
      <c r="C285" s="23"/>
      <c r="D285" s="53">
        <f>+'Order Details Apr24 - Mar25'!T285</f>
        <v>0</v>
      </c>
      <c r="E285" s="25"/>
      <c r="F285" s="183">
        <f>+'Order Details Apr24 - Mar25'!D285</f>
        <v>0</v>
      </c>
      <c r="G285" s="184"/>
      <c r="H285" s="26">
        <f>+'Order Details Apr24 - Mar25'!G285</f>
        <v>0</v>
      </c>
      <c r="I285" s="27">
        <f>+'Order Details Apr24 - Mar25'!I285</f>
        <v>0</v>
      </c>
      <c r="J285" s="28"/>
      <c r="K285" s="185">
        <f>+'Order Details Apr24 - Mar25'!R285</f>
        <v>0</v>
      </c>
      <c r="L285" s="186"/>
      <c r="M285" s="187"/>
      <c r="N285" s="27">
        <f>+'Order Details Apr24 - Mar25'!F285*'Order Details Apr24 - Mar25'!N285</f>
        <v>0</v>
      </c>
      <c r="O285" s="25"/>
      <c r="P285" s="22"/>
      <c r="Q285" s="26"/>
      <c r="R285" s="82"/>
      <c r="S285" s="22">
        <f t="shared" si="4"/>
        <v>0</v>
      </c>
      <c r="T285" s="22"/>
      <c r="U285" s="31"/>
      <c r="V285" s="51"/>
    </row>
    <row r="286" spans="1:22" ht="20.100000000000001" customHeight="1" x14ac:dyDescent="0.3">
      <c r="A286" s="44">
        <v>278</v>
      </c>
      <c r="B286" s="22">
        <f>+'Order Details Apr24 - Mar25'!P286</f>
        <v>0</v>
      </c>
      <c r="C286" s="23"/>
      <c r="D286" s="53">
        <f>+'Order Details Apr24 - Mar25'!T286</f>
        <v>0</v>
      </c>
      <c r="E286" s="25"/>
      <c r="F286" s="183">
        <f>+'Order Details Apr24 - Mar25'!D286</f>
        <v>0</v>
      </c>
      <c r="G286" s="184"/>
      <c r="H286" s="26">
        <f>+'Order Details Apr24 - Mar25'!G286</f>
        <v>0</v>
      </c>
      <c r="I286" s="27">
        <f>+'Order Details Apr24 - Mar25'!I286</f>
        <v>0</v>
      </c>
      <c r="J286" s="28"/>
      <c r="K286" s="185">
        <f>+'Order Details Apr24 - Mar25'!R286</f>
        <v>0</v>
      </c>
      <c r="L286" s="186"/>
      <c r="M286" s="187"/>
      <c r="N286" s="27">
        <f>+'Order Details Apr24 - Mar25'!F286*'Order Details Apr24 - Mar25'!N286</f>
        <v>0</v>
      </c>
      <c r="O286" s="25"/>
      <c r="P286" s="22"/>
      <c r="Q286" s="26"/>
      <c r="R286" s="82"/>
      <c r="S286" s="22">
        <f t="shared" si="4"/>
        <v>0</v>
      </c>
      <c r="T286" s="22"/>
      <c r="U286" s="31"/>
      <c r="V286" s="51"/>
    </row>
    <row r="287" spans="1:22" ht="20.100000000000001" customHeight="1" x14ac:dyDescent="0.3">
      <c r="A287" s="44">
        <v>279</v>
      </c>
      <c r="B287" s="22">
        <f>+'Order Details Apr24 - Mar25'!P287</f>
        <v>0</v>
      </c>
      <c r="C287" s="23"/>
      <c r="D287" s="53">
        <f>+'Order Details Apr24 - Mar25'!T287</f>
        <v>0</v>
      </c>
      <c r="E287" s="25"/>
      <c r="F287" s="183">
        <f>+'Order Details Apr24 - Mar25'!D287</f>
        <v>0</v>
      </c>
      <c r="G287" s="184"/>
      <c r="H287" s="26">
        <f>+'Order Details Apr24 - Mar25'!G287</f>
        <v>0</v>
      </c>
      <c r="I287" s="27">
        <f>+'Order Details Apr24 - Mar25'!I287</f>
        <v>0</v>
      </c>
      <c r="J287" s="28"/>
      <c r="K287" s="185">
        <f>+'Order Details Apr24 - Mar25'!R287</f>
        <v>0</v>
      </c>
      <c r="L287" s="186"/>
      <c r="M287" s="187"/>
      <c r="N287" s="27">
        <f>+'Order Details Apr24 - Mar25'!F287*'Order Details Apr24 - Mar25'!N287</f>
        <v>0</v>
      </c>
      <c r="O287" s="25"/>
      <c r="P287" s="22"/>
      <c r="Q287" s="26"/>
      <c r="R287" s="82"/>
      <c r="S287" s="22">
        <f t="shared" si="4"/>
        <v>0</v>
      </c>
      <c r="T287" s="22"/>
      <c r="U287" s="31"/>
      <c r="V287" s="51"/>
    </row>
    <row r="288" spans="1:22" ht="20.100000000000001" customHeight="1" x14ac:dyDescent="0.3">
      <c r="A288" s="44">
        <v>280</v>
      </c>
      <c r="B288" s="22">
        <f>+'Order Details Apr24 - Mar25'!P288</f>
        <v>0</v>
      </c>
      <c r="C288" s="23"/>
      <c r="D288" s="53">
        <f>+'Order Details Apr24 - Mar25'!T288</f>
        <v>0</v>
      </c>
      <c r="E288" s="25"/>
      <c r="F288" s="183">
        <f>+'Order Details Apr24 - Mar25'!D288</f>
        <v>0</v>
      </c>
      <c r="G288" s="184"/>
      <c r="H288" s="26">
        <f>+'Order Details Apr24 - Mar25'!G288</f>
        <v>0</v>
      </c>
      <c r="I288" s="27">
        <f>+'Order Details Apr24 - Mar25'!I288</f>
        <v>0</v>
      </c>
      <c r="J288" s="28"/>
      <c r="K288" s="185">
        <f>+'Order Details Apr24 - Mar25'!R288</f>
        <v>0</v>
      </c>
      <c r="L288" s="186"/>
      <c r="M288" s="187"/>
      <c r="N288" s="27">
        <f>+'Order Details Apr24 - Mar25'!F288*'Order Details Apr24 - Mar25'!N288</f>
        <v>0</v>
      </c>
      <c r="O288" s="25"/>
      <c r="P288" s="22"/>
      <c r="Q288" s="26"/>
      <c r="R288" s="82"/>
      <c r="S288" s="22">
        <f t="shared" si="4"/>
        <v>0</v>
      </c>
      <c r="T288" s="22"/>
      <c r="U288" s="31"/>
      <c r="V288" s="51"/>
    </row>
    <row r="289" spans="1:22" ht="20.100000000000001" customHeight="1" x14ac:dyDescent="0.3">
      <c r="A289" s="44">
        <v>281</v>
      </c>
      <c r="B289" s="22">
        <f>+'Order Details Apr24 - Mar25'!P289</f>
        <v>0</v>
      </c>
      <c r="C289" s="23"/>
      <c r="D289" s="53">
        <f>+'Order Details Apr24 - Mar25'!T289</f>
        <v>0</v>
      </c>
      <c r="E289" s="25"/>
      <c r="F289" s="183">
        <f>+'Order Details Apr24 - Mar25'!D289</f>
        <v>0</v>
      </c>
      <c r="G289" s="184"/>
      <c r="H289" s="26">
        <f>+'Order Details Apr24 - Mar25'!G289</f>
        <v>0</v>
      </c>
      <c r="I289" s="27">
        <f>+'Order Details Apr24 - Mar25'!I289</f>
        <v>0</v>
      </c>
      <c r="J289" s="28"/>
      <c r="K289" s="185">
        <f>+'Order Details Apr24 - Mar25'!R289</f>
        <v>0</v>
      </c>
      <c r="L289" s="186"/>
      <c r="M289" s="187"/>
      <c r="N289" s="27">
        <f>+'Order Details Apr24 - Mar25'!F289*'Order Details Apr24 - Mar25'!N289</f>
        <v>0</v>
      </c>
      <c r="O289" s="25"/>
      <c r="P289" s="22"/>
      <c r="Q289" s="26"/>
      <c r="R289" s="82"/>
      <c r="S289" s="22">
        <f t="shared" si="4"/>
        <v>0</v>
      </c>
      <c r="T289" s="22"/>
      <c r="U289" s="31"/>
      <c r="V289" s="51"/>
    </row>
    <row r="290" spans="1:22" ht="20.100000000000001" customHeight="1" x14ac:dyDescent="0.3">
      <c r="A290" s="44">
        <v>282</v>
      </c>
      <c r="B290" s="22">
        <f>+'Order Details Apr24 - Mar25'!P290</f>
        <v>0</v>
      </c>
      <c r="C290" s="23"/>
      <c r="D290" s="53">
        <f>+'Order Details Apr24 - Mar25'!T290</f>
        <v>0</v>
      </c>
      <c r="E290" s="25"/>
      <c r="F290" s="183">
        <f>+'Order Details Apr24 - Mar25'!D290</f>
        <v>0</v>
      </c>
      <c r="G290" s="184"/>
      <c r="H290" s="26">
        <f>+'Order Details Apr24 - Mar25'!G290</f>
        <v>0</v>
      </c>
      <c r="I290" s="27">
        <f>+'Order Details Apr24 - Mar25'!I290</f>
        <v>0</v>
      </c>
      <c r="J290" s="28"/>
      <c r="K290" s="185">
        <f>+'Order Details Apr24 - Mar25'!R290</f>
        <v>0</v>
      </c>
      <c r="L290" s="186"/>
      <c r="M290" s="187"/>
      <c r="N290" s="27">
        <f>+'Order Details Apr24 - Mar25'!F290*'Order Details Apr24 - Mar25'!N290</f>
        <v>0</v>
      </c>
      <c r="O290" s="25"/>
      <c r="P290" s="22"/>
      <c r="Q290" s="26"/>
      <c r="R290" s="82"/>
      <c r="S290" s="22">
        <f t="shared" si="4"/>
        <v>0</v>
      </c>
      <c r="T290" s="22"/>
      <c r="U290" s="31"/>
      <c r="V290" s="51"/>
    </row>
    <row r="291" spans="1:22" ht="20.100000000000001" customHeight="1" x14ac:dyDescent="0.3">
      <c r="A291" s="44">
        <v>283</v>
      </c>
      <c r="B291" s="22">
        <f>+'Order Details Apr24 - Mar25'!P291</f>
        <v>0</v>
      </c>
      <c r="C291" s="23"/>
      <c r="D291" s="53">
        <f>+'Order Details Apr24 - Mar25'!T291</f>
        <v>0</v>
      </c>
      <c r="E291" s="25"/>
      <c r="F291" s="183">
        <f>+'Order Details Apr24 - Mar25'!D291</f>
        <v>0</v>
      </c>
      <c r="G291" s="184"/>
      <c r="H291" s="26">
        <f>+'Order Details Apr24 - Mar25'!G291</f>
        <v>0</v>
      </c>
      <c r="I291" s="27">
        <f>+'Order Details Apr24 - Mar25'!I291</f>
        <v>0</v>
      </c>
      <c r="J291" s="28"/>
      <c r="K291" s="185">
        <f>+'Order Details Apr24 - Mar25'!R291</f>
        <v>0</v>
      </c>
      <c r="L291" s="186"/>
      <c r="M291" s="187"/>
      <c r="N291" s="27">
        <f>+'Order Details Apr24 - Mar25'!F291*'Order Details Apr24 - Mar25'!N291</f>
        <v>0</v>
      </c>
      <c r="O291" s="25"/>
      <c r="P291" s="22"/>
      <c r="Q291" s="26"/>
      <c r="R291" s="82"/>
      <c r="S291" s="22">
        <f t="shared" si="4"/>
        <v>0</v>
      </c>
      <c r="T291" s="22"/>
      <c r="U291" s="31"/>
      <c r="V291" s="51"/>
    </row>
    <row r="292" spans="1:22" ht="20.100000000000001" customHeight="1" x14ac:dyDescent="0.3">
      <c r="A292" s="44">
        <v>284</v>
      </c>
      <c r="B292" s="22">
        <f>+'Order Details Apr24 - Mar25'!P292</f>
        <v>0</v>
      </c>
      <c r="C292" s="23"/>
      <c r="D292" s="53">
        <f>+'Order Details Apr24 - Mar25'!T292</f>
        <v>0</v>
      </c>
      <c r="E292" s="25"/>
      <c r="F292" s="183">
        <f>+'Order Details Apr24 - Mar25'!D292</f>
        <v>0</v>
      </c>
      <c r="G292" s="184"/>
      <c r="H292" s="26">
        <f>+'Order Details Apr24 - Mar25'!G292</f>
        <v>0</v>
      </c>
      <c r="I292" s="27">
        <f>+'Order Details Apr24 - Mar25'!I292</f>
        <v>0</v>
      </c>
      <c r="J292" s="28"/>
      <c r="K292" s="185">
        <f>+'Order Details Apr24 - Mar25'!R292</f>
        <v>0</v>
      </c>
      <c r="L292" s="186"/>
      <c r="M292" s="187"/>
      <c r="N292" s="27">
        <f>+'Order Details Apr24 - Mar25'!F292*'Order Details Apr24 - Mar25'!N292</f>
        <v>0</v>
      </c>
      <c r="O292" s="25"/>
      <c r="P292" s="22"/>
      <c r="Q292" s="26"/>
      <c r="R292" s="82"/>
      <c r="S292" s="22">
        <f t="shared" si="4"/>
        <v>0</v>
      </c>
      <c r="T292" s="22"/>
      <c r="U292" s="31"/>
      <c r="V292" s="51"/>
    </row>
    <row r="293" spans="1:22" ht="20.100000000000001" customHeight="1" x14ac:dyDescent="0.3">
      <c r="A293" s="44">
        <v>285</v>
      </c>
      <c r="B293" s="22">
        <f>+'Order Details Apr24 - Mar25'!P293</f>
        <v>0</v>
      </c>
      <c r="C293" s="23"/>
      <c r="D293" s="53">
        <f>+'Order Details Apr24 - Mar25'!T293</f>
        <v>0</v>
      </c>
      <c r="E293" s="25"/>
      <c r="F293" s="183">
        <f>+'Order Details Apr24 - Mar25'!D293</f>
        <v>0</v>
      </c>
      <c r="G293" s="184"/>
      <c r="H293" s="26">
        <f>+'Order Details Apr24 - Mar25'!G293</f>
        <v>0</v>
      </c>
      <c r="I293" s="27">
        <f>+'Order Details Apr24 - Mar25'!I293</f>
        <v>0</v>
      </c>
      <c r="J293" s="28"/>
      <c r="K293" s="185">
        <f>+'Order Details Apr24 - Mar25'!R293</f>
        <v>0</v>
      </c>
      <c r="L293" s="186"/>
      <c r="M293" s="187"/>
      <c r="N293" s="27">
        <f>+'Order Details Apr24 - Mar25'!F293*'Order Details Apr24 - Mar25'!N293</f>
        <v>0</v>
      </c>
      <c r="O293" s="25"/>
      <c r="P293" s="22"/>
      <c r="Q293" s="26"/>
      <c r="R293" s="82"/>
      <c r="S293" s="22">
        <f t="shared" si="4"/>
        <v>0</v>
      </c>
      <c r="T293" s="22"/>
      <c r="U293" s="31"/>
      <c r="V293" s="51"/>
    </row>
    <row r="294" spans="1:22" ht="20.100000000000001" customHeight="1" x14ac:dyDescent="0.3">
      <c r="A294" s="44">
        <v>286</v>
      </c>
      <c r="B294" s="22">
        <f>+'Order Details Apr24 - Mar25'!P294</f>
        <v>0</v>
      </c>
      <c r="C294" s="23"/>
      <c r="D294" s="53">
        <f>+'Order Details Apr24 - Mar25'!T294</f>
        <v>0</v>
      </c>
      <c r="E294" s="25"/>
      <c r="F294" s="183">
        <f>+'Order Details Apr24 - Mar25'!D294</f>
        <v>0</v>
      </c>
      <c r="G294" s="184"/>
      <c r="H294" s="26">
        <f>+'Order Details Apr24 - Mar25'!G294</f>
        <v>0</v>
      </c>
      <c r="I294" s="27">
        <f>+'Order Details Apr24 - Mar25'!I294</f>
        <v>0</v>
      </c>
      <c r="J294" s="28"/>
      <c r="K294" s="185">
        <f>+'Order Details Apr24 - Mar25'!R294</f>
        <v>0</v>
      </c>
      <c r="L294" s="186"/>
      <c r="M294" s="187"/>
      <c r="N294" s="27">
        <f>+'Order Details Apr24 - Mar25'!F294*'Order Details Apr24 - Mar25'!N294</f>
        <v>0</v>
      </c>
      <c r="O294" s="25"/>
      <c r="P294" s="22"/>
      <c r="Q294" s="26"/>
      <c r="R294" s="82"/>
      <c r="S294" s="22">
        <f t="shared" si="4"/>
        <v>0</v>
      </c>
      <c r="T294" s="22"/>
      <c r="U294" s="31"/>
      <c r="V294" s="51"/>
    </row>
    <row r="295" spans="1:22" ht="20.100000000000001" customHeight="1" x14ac:dyDescent="0.3">
      <c r="A295" s="44">
        <v>287</v>
      </c>
      <c r="B295" s="22">
        <f>+'Order Details Apr24 - Mar25'!P295</f>
        <v>0</v>
      </c>
      <c r="C295" s="23"/>
      <c r="D295" s="53">
        <f>+'Order Details Apr24 - Mar25'!T295</f>
        <v>0</v>
      </c>
      <c r="E295" s="25"/>
      <c r="F295" s="183">
        <f>+'Order Details Apr24 - Mar25'!D295</f>
        <v>0</v>
      </c>
      <c r="G295" s="184"/>
      <c r="H295" s="26">
        <f>+'Order Details Apr24 - Mar25'!G295</f>
        <v>0</v>
      </c>
      <c r="I295" s="27">
        <f>+'Order Details Apr24 - Mar25'!I295</f>
        <v>0</v>
      </c>
      <c r="J295" s="28"/>
      <c r="K295" s="185">
        <f>+'Order Details Apr24 - Mar25'!R295</f>
        <v>0</v>
      </c>
      <c r="L295" s="186"/>
      <c r="M295" s="187"/>
      <c r="N295" s="27">
        <f>+'Order Details Apr24 - Mar25'!F295*'Order Details Apr24 - Mar25'!N295</f>
        <v>0</v>
      </c>
      <c r="O295" s="25"/>
      <c r="P295" s="22"/>
      <c r="Q295" s="26"/>
      <c r="R295" s="82"/>
      <c r="S295" s="22">
        <f t="shared" si="4"/>
        <v>0</v>
      </c>
      <c r="T295" s="22"/>
      <c r="U295" s="31"/>
      <c r="V295" s="51"/>
    </row>
    <row r="296" spans="1:22" ht="20.100000000000001" customHeight="1" x14ac:dyDescent="0.3">
      <c r="A296" s="44">
        <v>288</v>
      </c>
      <c r="B296" s="22">
        <f>+'Order Details Apr24 - Mar25'!P296</f>
        <v>0</v>
      </c>
      <c r="C296" s="23"/>
      <c r="D296" s="53">
        <f>+'Order Details Apr24 - Mar25'!T296</f>
        <v>0</v>
      </c>
      <c r="E296" s="25"/>
      <c r="F296" s="183">
        <f>+'Order Details Apr24 - Mar25'!D296</f>
        <v>0</v>
      </c>
      <c r="G296" s="184"/>
      <c r="H296" s="26">
        <f>+'Order Details Apr24 - Mar25'!G296</f>
        <v>0</v>
      </c>
      <c r="I296" s="27">
        <f>+'Order Details Apr24 - Mar25'!I296</f>
        <v>0</v>
      </c>
      <c r="J296" s="28"/>
      <c r="K296" s="185">
        <f>+'Order Details Apr24 - Mar25'!R296</f>
        <v>0</v>
      </c>
      <c r="L296" s="186"/>
      <c r="M296" s="187"/>
      <c r="N296" s="27">
        <f>+'Order Details Apr24 - Mar25'!F296*'Order Details Apr24 - Mar25'!N296</f>
        <v>0</v>
      </c>
      <c r="O296" s="25"/>
      <c r="P296" s="22"/>
      <c r="Q296" s="26"/>
      <c r="R296" s="82"/>
      <c r="S296" s="22">
        <f t="shared" si="4"/>
        <v>0</v>
      </c>
      <c r="T296" s="22"/>
      <c r="U296" s="31"/>
      <c r="V296" s="51"/>
    </row>
    <row r="297" spans="1:22" ht="20.100000000000001" customHeight="1" x14ac:dyDescent="0.3">
      <c r="A297" s="44">
        <v>289</v>
      </c>
      <c r="B297" s="22">
        <f>+'Order Details Apr24 - Mar25'!P297</f>
        <v>0</v>
      </c>
      <c r="C297" s="23"/>
      <c r="D297" s="53">
        <f>+'Order Details Apr24 - Mar25'!T297</f>
        <v>0</v>
      </c>
      <c r="E297" s="25"/>
      <c r="F297" s="183">
        <f>+'Order Details Apr24 - Mar25'!D297</f>
        <v>0</v>
      </c>
      <c r="G297" s="184"/>
      <c r="H297" s="26">
        <f>+'Order Details Apr24 - Mar25'!G297</f>
        <v>0</v>
      </c>
      <c r="I297" s="27">
        <f>+'Order Details Apr24 - Mar25'!I297</f>
        <v>0</v>
      </c>
      <c r="J297" s="28"/>
      <c r="K297" s="185">
        <f>+'Order Details Apr24 - Mar25'!R297</f>
        <v>0</v>
      </c>
      <c r="L297" s="186"/>
      <c r="M297" s="187"/>
      <c r="N297" s="27">
        <f>+'Order Details Apr24 - Mar25'!F297*'Order Details Apr24 - Mar25'!N297</f>
        <v>0</v>
      </c>
      <c r="O297" s="25"/>
      <c r="P297" s="22"/>
      <c r="Q297" s="26"/>
      <c r="R297" s="82"/>
      <c r="S297" s="22">
        <f t="shared" si="4"/>
        <v>0</v>
      </c>
      <c r="T297" s="22"/>
      <c r="U297" s="31"/>
      <c r="V297" s="51"/>
    </row>
    <row r="298" spans="1:22" ht="20.100000000000001" customHeight="1" x14ac:dyDescent="0.3">
      <c r="A298" s="44">
        <v>290</v>
      </c>
      <c r="B298" s="22">
        <f>+'Order Details Apr24 - Mar25'!P298</f>
        <v>0</v>
      </c>
      <c r="C298" s="23"/>
      <c r="D298" s="53">
        <f>+'Order Details Apr24 - Mar25'!T298</f>
        <v>0</v>
      </c>
      <c r="E298" s="25"/>
      <c r="F298" s="183">
        <f>+'Order Details Apr24 - Mar25'!D298</f>
        <v>0</v>
      </c>
      <c r="G298" s="184"/>
      <c r="H298" s="26">
        <f>+'Order Details Apr24 - Mar25'!G298</f>
        <v>0</v>
      </c>
      <c r="I298" s="27">
        <f>+'Order Details Apr24 - Mar25'!I298</f>
        <v>0</v>
      </c>
      <c r="J298" s="28"/>
      <c r="K298" s="185">
        <f>+'Order Details Apr24 - Mar25'!R298</f>
        <v>0</v>
      </c>
      <c r="L298" s="186"/>
      <c r="M298" s="187"/>
      <c r="N298" s="27">
        <f>+'Order Details Apr24 - Mar25'!F298*'Order Details Apr24 - Mar25'!N298</f>
        <v>0</v>
      </c>
      <c r="O298" s="25"/>
      <c r="P298" s="22"/>
      <c r="Q298" s="26"/>
      <c r="R298" s="82"/>
      <c r="S298" s="22">
        <f t="shared" si="4"/>
        <v>0</v>
      </c>
      <c r="T298" s="22"/>
      <c r="U298" s="31"/>
      <c r="V298" s="51"/>
    </row>
    <row r="299" spans="1:22" ht="20.100000000000001" customHeight="1" x14ac:dyDescent="0.3">
      <c r="A299" s="44">
        <v>291</v>
      </c>
      <c r="B299" s="22">
        <f>+'Order Details Apr24 - Mar25'!P299</f>
        <v>0</v>
      </c>
      <c r="C299" s="23"/>
      <c r="D299" s="53">
        <f>+'Order Details Apr24 - Mar25'!T299</f>
        <v>0</v>
      </c>
      <c r="E299" s="25"/>
      <c r="F299" s="183">
        <f>+'Order Details Apr24 - Mar25'!D299</f>
        <v>0</v>
      </c>
      <c r="G299" s="184"/>
      <c r="H299" s="26">
        <f>+'Order Details Apr24 - Mar25'!G299</f>
        <v>0</v>
      </c>
      <c r="I299" s="27">
        <f>+'Order Details Apr24 - Mar25'!I299</f>
        <v>0</v>
      </c>
      <c r="J299" s="28"/>
      <c r="K299" s="185">
        <f>+'Order Details Apr24 - Mar25'!R299</f>
        <v>0</v>
      </c>
      <c r="L299" s="186"/>
      <c r="M299" s="187"/>
      <c r="N299" s="27">
        <f>+'Order Details Apr24 - Mar25'!F299*'Order Details Apr24 - Mar25'!N299</f>
        <v>0</v>
      </c>
      <c r="O299" s="25"/>
      <c r="P299" s="22"/>
      <c r="Q299" s="26"/>
      <c r="R299" s="82"/>
      <c r="S299" s="22">
        <f t="shared" si="4"/>
        <v>0</v>
      </c>
      <c r="T299" s="22"/>
      <c r="U299" s="31"/>
      <c r="V299" s="51"/>
    </row>
    <row r="300" spans="1:22" ht="20.100000000000001" customHeight="1" x14ac:dyDescent="0.3">
      <c r="A300" s="44">
        <v>292</v>
      </c>
      <c r="B300" s="22">
        <f>+'Order Details Apr24 - Mar25'!P300</f>
        <v>0</v>
      </c>
      <c r="C300" s="23"/>
      <c r="D300" s="53">
        <f>+'Order Details Apr24 - Mar25'!T300</f>
        <v>0</v>
      </c>
      <c r="E300" s="25"/>
      <c r="F300" s="183">
        <f>+'Order Details Apr24 - Mar25'!D300</f>
        <v>0</v>
      </c>
      <c r="G300" s="184"/>
      <c r="H300" s="26">
        <f>+'Order Details Apr24 - Mar25'!G300</f>
        <v>0</v>
      </c>
      <c r="I300" s="27">
        <f>+'Order Details Apr24 - Mar25'!I300</f>
        <v>0</v>
      </c>
      <c r="J300" s="28"/>
      <c r="K300" s="185">
        <f>+'Order Details Apr24 - Mar25'!R300</f>
        <v>0</v>
      </c>
      <c r="L300" s="186"/>
      <c r="M300" s="187"/>
      <c r="N300" s="27">
        <f>+'Order Details Apr24 - Mar25'!F300*'Order Details Apr24 - Mar25'!N300</f>
        <v>0</v>
      </c>
      <c r="O300" s="25"/>
      <c r="P300" s="22"/>
      <c r="Q300" s="26"/>
      <c r="R300" s="82"/>
      <c r="S300" s="22">
        <f t="shared" si="4"/>
        <v>0</v>
      </c>
      <c r="T300" s="22"/>
      <c r="U300" s="31"/>
      <c r="V300" s="51"/>
    </row>
    <row r="301" spans="1:22" ht="20.100000000000001" customHeight="1" x14ac:dyDescent="0.3">
      <c r="A301" s="44">
        <v>293</v>
      </c>
      <c r="B301" s="22">
        <f>+'Order Details Apr24 - Mar25'!P301</f>
        <v>0</v>
      </c>
      <c r="C301" s="23"/>
      <c r="D301" s="53">
        <f>+'Order Details Apr24 - Mar25'!T301</f>
        <v>0</v>
      </c>
      <c r="E301" s="25"/>
      <c r="F301" s="183">
        <f>+'Order Details Apr24 - Mar25'!D301</f>
        <v>0</v>
      </c>
      <c r="G301" s="184"/>
      <c r="H301" s="26">
        <f>+'Order Details Apr24 - Mar25'!G301</f>
        <v>0</v>
      </c>
      <c r="I301" s="27">
        <f>+'Order Details Apr24 - Mar25'!I301</f>
        <v>0</v>
      </c>
      <c r="J301" s="28"/>
      <c r="K301" s="185">
        <f>+'Order Details Apr24 - Mar25'!R301</f>
        <v>0</v>
      </c>
      <c r="L301" s="186"/>
      <c r="M301" s="187"/>
      <c r="N301" s="27">
        <f>+'Order Details Apr24 - Mar25'!F301*'Order Details Apr24 - Mar25'!N301</f>
        <v>0</v>
      </c>
      <c r="O301" s="25"/>
      <c r="P301" s="22"/>
      <c r="Q301" s="26"/>
      <c r="R301" s="82"/>
      <c r="S301" s="22">
        <f t="shared" si="4"/>
        <v>0</v>
      </c>
      <c r="T301" s="22"/>
      <c r="U301" s="31"/>
      <c r="V301" s="51"/>
    </row>
    <row r="302" spans="1:22" ht="20.100000000000001" customHeight="1" x14ac:dyDescent="0.3">
      <c r="A302" s="44">
        <v>294</v>
      </c>
      <c r="B302" s="22">
        <f>+'Order Details Apr24 - Mar25'!P302</f>
        <v>0</v>
      </c>
      <c r="C302" s="23"/>
      <c r="D302" s="53">
        <f>+'Order Details Apr24 - Mar25'!T302</f>
        <v>0</v>
      </c>
      <c r="E302" s="25"/>
      <c r="F302" s="183">
        <f>+'Order Details Apr24 - Mar25'!D302</f>
        <v>0</v>
      </c>
      <c r="G302" s="184"/>
      <c r="H302" s="26">
        <f>+'Order Details Apr24 - Mar25'!G302</f>
        <v>0</v>
      </c>
      <c r="I302" s="27">
        <f>+'Order Details Apr24 - Mar25'!I302</f>
        <v>0</v>
      </c>
      <c r="J302" s="28"/>
      <c r="K302" s="185">
        <f>+'Order Details Apr24 - Mar25'!R302</f>
        <v>0</v>
      </c>
      <c r="L302" s="186"/>
      <c r="M302" s="187"/>
      <c r="N302" s="27">
        <f>+'Order Details Apr24 - Mar25'!F302*'Order Details Apr24 - Mar25'!N302</f>
        <v>0</v>
      </c>
      <c r="O302" s="25"/>
      <c r="P302" s="22"/>
      <c r="Q302" s="26"/>
      <c r="R302" s="82"/>
      <c r="S302" s="22">
        <f t="shared" si="4"/>
        <v>0</v>
      </c>
      <c r="T302" s="22"/>
      <c r="U302" s="31"/>
      <c r="V302" s="51"/>
    </row>
    <row r="303" spans="1:22" ht="20.100000000000001" customHeight="1" x14ac:dyDescent="0.3">
      <c r="A303" s="44">
        <v>295</v>
      </c>
      <c r="B303" s="22">
        <f>+'Order Details Apr24 - Mar25'!P303</f>
        <v>0</v>
      </c>
      <c r="C303" s="23"/>
      <c r="D303" s="53">
        <f>+'Order Details Apr24 - Mar25'!T303</f>
        <v>0</v>
      </c>
      <c r="E303" s="25"/>
      <c r="F303" s="183">
        <f>+'Order Details Apr24 - Mar25'!D303</f>
        <v>0</v>
      </c>
      <c r="G303" s="184"/>
      <c r="H303" s="26">
        <f>+'Order Details Apr24 - Mar25'!G303</f>
        <v>0</v>
      </c>
      <c r="I303" s="27">
        <f>+'Order Details Apr24 - Mar25'!I303</f>
        <v>0</v>
      </c>
      <c r="J303" s="28"/>
      <c r="K303" s="185">
        <f>+'Order Details Apr24 - Mar25'!R303</f>
        <v>0</v>
      </c>
      <c r="L303" s="186"/>
      <c r="M303" s="187"/>
      <c r="N303" s="27">
        <f>+'Order Details Apr24 - Mar25'!F303*'Order Details Apr24 - Mar25'!N303</f>
        <v>0</v>
      </c>
      <c r="O303" s="25"/>
      <c r="P303" s="22"/>
      <c r="Q303" s="26"/>
      <c r="R303" s="82"/>
      <c r="S303" s="22">
        <f t="shared" si="4"/>
        <v>0</v>
      </c>
      <c r="T303" s="22"/>
      <c r="U303" s="31"/>
      <c r="V303" s="51"/>
    </row>
    <row r="304" spans="1:22" ht="20.100000000000001" customHeight="1" x14ac:dyDescent="0.3">
      <c r="A304" s="44">
        <v>296</v>
      </c>
      <c r="B304" s="22">
        <f>+'Order Details Apr24 - Mar25'!P304</f>
        <v>0</v>
      </c>
      <c r="C304" s="23"/>
      <c r="D304" s="53">
        <f>+'Order Details Apr24 - Mar25'!T304</f>
        <v>0</v>
      </c>
      <c r="E304" s="25"/>
      <c r="F304" s="183">
        <f>+'Order Details Apr24 - Mar25'!D304</f>
        <v>0</v>
      </c>
      <c r="G304" s="184"/>
      <c r="H304" s="26">
        <f>+'Order Details Apr24 - Mar25'!G304</f>
        <v>0</v>
      </c>
      <c r="I304" s="27">
        <f>+'Order Details Apr24 - Mar25'!I304</f>
        <v>0</v>
      </c>
      <c r="J304" s="28"/>
      <c r="K304" s="185">
        <f>+'Order Details Apr24 - Mar25'!R304</f>
        <v>0</v>
      </c>
      <c r="L304" s="186"/>
      <c r="M304" s="187"/>
      <c r="N304" s="27">
        <f>+'Order Details Apr24 - Mar25'!F304*'Order Details Apr24 - Mar25'!N304</f>
        <v>0</v>
      </c>
      <c r="O304" s="25"/>
      <c r="P304" s="22"/>
      <c r="Q304" s="26"/>
      <c r="R304" s="82"/>
      <c r="S304" s="22">
        <f t="shared" si="4"/>
        <v>0</v>
      </c>
      <c r="T304" s="22"/>
      <c r="U304" s="31"/>
      <c r="V304" s="51"/>
    </row>
    <row r="305" spans="1:22" ht="20.100000000000001" customHeight="1" x14ac:dyDescent="0.3">
      <c r="A305" s="44">
        <v>297</v>
      </c>
      <c r="B305" s="22">
        <f>+'Order Details Apr24 - Mar25'!P305</f>
        <v>0</v>
      </c>
      <c r="C305" s="23"/>
      <c r="D305" s="53">
        <f>+'Order Details Apr24 - Mar25'!T305</f>
        <v>0</v>
      </c>
      <c r="E305" s="25"/>
      <c r="F305" s="183">
        <f>+'Order Details Apr24 - Mar25'!D305</f>
        <v>0</v>
      </c>
      <c r="G305" s="184"/>
      <c r="H305" s="26">
        <f>+'Order Details Apr24 - Mar25'!G305</f>
        <v>0</v>
      </c>
      <c r="I305" s="27">
        <f>+'Order Details Apr24 - Mar25'!I305</f>
        <v>0</v>
      </c>
      <c r="J305" s="28"/>
      <c r="K305" s="185">
        <f>+'Order Details Apr24 - Mar25'!R305</f>
        <v>0</v>
      </c>
      <c r="L305" s="186"/>
      <c r="M305" s="187"/>
      <c r="N305" s="27">
        <f>+'Order Details Apr24 - Mar25'!F305*'Order Details Apr24 - Mar25'!N305</f>
        <v>0</v>
      </c>
      <c r="O305" s="25"/>
      <c r="P305" s="22"/>
      <c r="Q305" s="26"/>
      <c r="R305" s="82"/>
      <c r="S305" s="22">
        <f t="shared" si="4"/>
        <v>0</v>
      </c>
      <c r="T305" s="22"/>
      <c r="U305" s="31"/>
      <c r="V305" s="51"/>
    </row>
    <row r="306" spans="1:22" ht="20.100000000000001" customHeight="1" x14ac:dyDescent="0.3">
      <c r="A306" s="44">
        <v>298</v>
      </c>
      <c r="B306" s="22">
        <f>+'Order Details Apr24 - Mar25'!P306</f>
        <v>0</v>
      </c>
      <c r="C306" s="23"/>
      <c r="D306" s="53">
        <f>+'Order Details Apr24 - Mar25'!T306</f>
        <v>0</v>
      </c>
      <c r="E306" s="25"/>
      <c r="F306" s="183">
        <f>+'Order Details Apr24 - Mar25'!D306</f>
        <v>0</v>
      </c>
      <c r="G306" s="184"/>
      <c r="H306" s="26">
        <f>+'Order Details Apr24 - Mar25'!G306</f>
        <v>0</v>
      </c>
      <c r="I306" s="27">
        <f>+'Order Details Apr24 - Mar25'!I306</f>
        <v>0</v>
      </c>
      <c r="J306" s="28"/>
      <c r="K306" s="185">
        <f>+'Order Details Apr24 - Mar25'!R306</f>
        <v>0</v>
      </c>
      <c r="L306" s="186"/>
      <c r="M306" s="187"/>
      <c r="N306" s="27">
        <f>+'Order Details Apr24 - Mar25'!F306*'Order Details Apr24 - Mar25'!N306</f>
        <v>0</v>
      </c>
      <c r="O306" s="25"/>
      <c r="P306" s="22"/>
      <c r="Q306" s="26"/>
      <c r="R306" s="82"/>
      <c r="S306" s="22">
        <f t="shared" si="4"/>
        <v>0</v>
      </c>
      <c r="T306" s="22"/>
      <c r="U306" s="31"/>
      <c r="V306" s="51"/>
    </row>
    <row r="307" spans="1:22" ht="20.100000000000001" customHeight="1" x14ac:dyDescent="0.3">
      <c r="A307" s="44">
        <v>299</v>
      </c>
      <c r="B307" s="22">
        <f>+'Order Details Apr24 - Mar25'!P307</f>
        <v>0</v>
      </c>
      <c r="C307" s="23"/>
      <c r="D307" s="53">
        <f>+'Order Details Apr24 - Mar25'!T307</f>
        <v>0</v>
      </c>
      <c r="E307" s="25"/>
      <c r="F307" s="183">
        <f>+'Order Details Apr24 - Mar25'!D307</f>
        <v>0</v>
      </c>
      <c r="G307" s="184"/>
      <c r="H307" s="26">
        <f>+'Order Details Apr24 - Mar25'!G307</f>
        <v>0</v>
      </c>
      <c r="I307" s="27">
        <f>+'Order Details Apr24 - Mar25'!I307</f>
        <v>0</v>
      </c>
      <c r="J307" s="28"/>
      <c r="K307" s="185">
        <f>+'Order Details Apr24 - Mar25'!R307</f>
        <v>0</v>
      </c>
      <c r="L307" s="186"/>
      <c r="M307" s="187"/>
      <c r="N307" s="27">
        <f>+'Order Details Apr24 - Mar25'!F307*'Order Details Apr24 - Mar25'!N307</f>
        <v>0</v>
      </c>
      <c r="O307" s="25"/>
      <c r="P307" s="22"/>
      <c r="Q307" s="26"/>
      <c r="R307" s="82"/>
      <c r="S307" s="22">
        <f t="shared" si="4"/>
        <v>0</v>
      </c>
      <c r="T307" s="22"/>
      <c r="U307" s="31"/>
      <c r="V307" s="51"/>
    </row>
    <row r="308" spans="1:22" ht="20.100000000000001" customHeight="1" x14ac:dyDescent="0.3">
      <c r="A308" s="44">
        <v>300</v>
      </c>
      <c r="B308" s="22">
        <f>+'Order Details Apr24 - Mar25'!P308</f>
        <v>0</v>
      </c>
      <c r="C308" s="23"/>
      <c r="D308" s="53">
        <f>+'Order Details Apr24 - Mar25'!T308</f>
        <v>0</v>
      </c>
      <c r="E308" s="25"/>
      <c r="F308" s="183">
        <f>+'Order Details Apr24 - Mar25'!D308</f>
        <v>0</v>
      </c>
      <c r="G308" s="184"/>
      <c r="H308" s="26">
        <f>+'Order Details Apr24 - Mar25'!G308</f>
        <v>0</v>
      </c>
      <c r="I308" s="27">
        <f>+'Order Details Apr24 - Mar25'!I308</f>
        <v>0</v>
      </c>
      <c r="J308" s="28"/>
      <c r="K308" s="185">
        <f>+'Order Details Apr24 - Mar25'!R308</f>
        <v>0</v>
      </c>
      <c r="L308" s="186"/>
      <c r="M308" s="187"/>
      <c r="N308" s="27">
        <f>+'Order Details Apr24 - Mar25'!F308*'Order Details Apr24 - Mar25'!N308</f>
        <v>0</v>
      </c>
      <c r="O308" s="25"/>
      <c r="P308" s="22"/>
      <c r="Q308" s="26"/>
      <c r="R308" s="82"/>
      <c r="S308" s="22">
        <f t="shared" si="4"/>
        <v>0</v>
      </c>
      <c r="T308" s="22"/>
      <c r="U308" s="31"/>
      <c r="V308" s="51"/>
    </row>
    <row r="309" spans="1:22" ht="20.100000000000001" customHeight="1" x14ac:dyDescent="0.3">
      <c r="A309" s="44">
        <v>301</v>
      </c>
      <c r="B309" s="22">
        <f>+'Order Details Apr24 - Mar25'!P309</f>
        <v>0</v>
      </c>
      <c r="C309" s="23"/>
      <c r="D309" s="53">
        <f>+'Order Details Apr24 - Mar25'!T309</f>
        <v>0</v>
      </c>
      <c r="E309" s="25"/>
      <c r="F309" s="183">
        <f>+'Order Details Apr24 - Mar25'!D309</f>
        <v>0</v>
      </c>
      <c r="G309" s="184"/>
      <c r="H309" s="26">
        <f>+'Order Details Apr24 - Mar25'!G309</f>
        <v>0</v>
      </c>
      <c r="I309" s="27">
        <f>+'Order Details Apr24 - Mar25'!I309</f>
        <v>0</v>
      </c>
      <c r="J309" s="28"/>
      <c r="K309" s="185">
        <f>+'Order Details Apr24 - Mar25'!R309</f>
        <v>0</v>
      </c>
      <c r="L309" s="186"/>
      <c r="M309" s="187"/>
      <c r="N309" s="27">
        <f>+'Order Details Apr24 - Mar25'!F309*'Order Details Apr24 - Mar25'!N309</f>
        <v>0</v>
      </c>
      <c r="O309" s="25"/>
      <c r="P309" s="22"/>
      <c r="Q309" s="26"/>
      <c r="R309" s="82"/>
      <c r="S309" s="22">
        <f t="shared" si="4"/>
        <v>0</v>
      </c>
      <c r="T309" s="22"/>
      <c r="U309" s="31"/>
      <c r="V309" s="51"/>
    </row>
    <row r="310" spans="1:22" ht="20.100000000000001" customHeight="1" x14ac:dyDescent="0.3">
      <c r="A310" s="44">
        <v>302</v>
      </c>
      <c r="B310" s="22">
        <f>+'Order Details Apr24 - Mar25'!P310</f>
        <v>0</v>
      </c>
      <c r="C310" s="23"/>
      <c r="D310" s="53">
        <f>+'Order Details Apr24 - Mar25'!T310</f>
        <v>0</v>
      </c>
      <c r="E310" s="25"/>
      <c r="F310" s="183">
        <f>+'Order Details Apr24 - Mar25'!D310</f>
        <v>0</v>
      </c>
      <c r="G310" s="184"/>
      <c r="H310" s="26">
        <f>+'Order Details Apr24 - Mar25'!G310</f>
        <v>0</v>
      </c>
      <c r="I310" s="27">
        <f>+'Order Details Apr24 - Mar25'!I310</f>
        <v>0</v>
      </c>
      <c r="J310" s="28"/>
      <c r="K310" s="185">
        <f>+'Order Details Apr24 - Mar25'!R310</f>
        <v>0</v>
      </c>
      <c r="L310" s="186"/>
      <c r="M310" s="187"/>
      <c r="N310" s="27">
        <f>+'Order Details Apr24 - Mar25'!F310*'Order Details Apr24 - Mar25'!N310</f>
        <v>0</v>
      </c>
      <c r="O310" s="25"/>
      <c r="P310" s="22"/>
      <c r="Q310" s="26"/>
      <c r="R310" s="82"/>
      <c r="S310" s="22">
        <f t="shared" si="4"/>
        <v>0</v>
      </c>
      <c r="T310" s="22"/>
      <c r="U310" s="31"/>
      <c r="V310" s="51"/>
    </row>
    <row r="311" spans="1:22" ht="20.100000000000001" customHeight="1" x14ac:dyDescent="0.3">
      <c r="A311" s="44">
        <v>303</v>
      </c>
      <c r="B311" s="22">
        <f>+'Order Details Apr24 - Mar25'!P311</f>
        <v>0</v>
      </c>
      <c r="C311" s="23"/>
      <c r="D311" s="53">
        <f>+'Order Details Apr24 - Mar25'!T311</f>
        <v>0</v>
      </c>
      <c r="E311" s="25"/>
      <c r="F311" s="183">
        <f>+'Order Details Apr24 - Mar25'!D311</f>
        <v>0</v>
      </c>
      <c r="G311" s="184"/>
      <c r="H311" s="26">
        <f>+'Order Details Apr24 - Mar25'!G311</f>
        <v>0</v>
      </c>
      <c r="I311" s="27">
        <f>+'Order Details Apr24 - Mar25'!I311</f>
        <v>0</v>
      </c>
      <c r="J311" s="28"/>
      <c r="K311" s="185">
        <f>+'Order Details Apr24 - Mar25'!R311</f>
        <v>0</v>
      </c>
      <c r="L311" s="186"/>
      <c r="M311" s="187"/>
      <c r="N311" s="27">
        <f>+'Order Details Apr24 - Mar25'!F311*'Order Details Apr24 - Mar25'!N311</f>
        <v>0</v>
      </c>
      <c r="O311" s="25"/>
      <c r="P311" s="22"/>
      <c r="Q311" s="26"/>
      <c r="R311" s="82"/>
      <c r="S311" s="22">
        <f t="shared" si="4"/>
        <v>0</v>
      </c>
      <c r="T311" s="22"/>
      <c r="U311" s="31"/>
      <c r="V311" s="51"/>
    </row>
    <row r="312" spans="1:22" ht="20.100000000000001" customHeight="1" x14ac:dyDescent="0.3">
      <c r="A312" s="44">
        <v>304</v>
      </c>
      <c r="B312" s="22">
        <f>+'Order Details Apr24 - Mar25'!P312</f>
        <v>0</v>
      </c>
      <c r="C312" s="23"/>
      <c r="D312" s="53">
        <f>+'Order Details Apr24 - Mar25'!T312</f>
        <v>0</v>
      </c>
      <c r="E312" s="25"/>
      <c r="F312" s="183">
        <f>+'Order Details Apr24 - Mar25'!D312</f>
        <v>0</v>
      </c>
      <c r="G312" s="184"/>
      <c r="H312" s="26">
        <f>+'Order Details Apr24 - Mar25'!G312</f>
        <v>0</v>
      </c>
      <c r="I312" s="27">
        <f>+'Order Details Apr24 - Mar25'!I312</f>
        <v>0</v>
      </c>
      <c r="J312" s="28"/>
      <c r="K312" s="185">
        <f>+'Order Details Apr24 - Mar25'!R312</f>
        <v>0</v>
      </c>
      <c r="L312" s="186"/>
      <c r="M312" s="187"/>
      <c r="N312" s="27">
        <f>+'Order Details Apr24 - Mar25'!F312*'Order Details Apr24 - Mar25'!N312</f>
        <v>0</v>
      </c>
      <c r="O312" s="25"/>
      <c r="P312" s="22"/>
      <c r="Q312" s="26"/>
      <c r="R312" s="82"/>
      <c r="S312" s="22">
        <f t="shared" si="4"/>
        <v>0</v>
      </c>
      <c r="T312" s="22"/>
      <c r="U312" s="31"/>
      <c r="V312" s="51"/>
    </row>
    <row r="313" spans="1:22" ht="20.100000000000001" customHeight="1" x14ac:dyDescent="0.3">
      <c r="A313" s="44">
        <v>305</v>
      </c>
      <c r="B313" s="22">
        <f>+'Order Details Apr24 - Mar25'!P313</f>
        <v>0</v>
      </c>
      <c r="C313" s="23"/>
      <c r="D313" s="53">
        <f>+'Order Details Apr24 - Mar25'!T313</f>
        <v>0</v>
      </c>
      <c r="E313" s="25"/>
      <c r="F313" s="183">
        <f>+'Order Details Apr24 - Mar25'!D313</f>
        <v>0</v>
      </c>
      <c r="G313" s="184"/>
      <c r="H313" s="26">
        <f>+'Order Details Apr24 - Mar25'!G313</f>
        <v>0</v>
      </c>
      <c r="I313" s="27">
        <f>+'Order Details Apr24 - Mar25'!I313</f>
        <v>0</v>
      </c>
      <c r="J313" s="28"/>
      <c r="K313" s="185">
        <f>+'Order Details Apr24 - Mar25'!R313</f>
        <v>0</v>
      </c>
      <c r="L313" s="186"/>
      <c r="M313" s="187"/>
      <c r="N313" s="27">
        <f>+'Order Details Apr24 - Mar25'!F313*'Order Details Apr24 - Mar25'!N313</f>
        <v>0</v>
      </c>
      <c r="O313" s="25"/>
      <c r="P313" s="22"/>
      <c r="Q313" s="26"/>
      <c r="R313" s="82"/>
      <c r="S313" s="22">
        <f t="shared" si="4"/>
        <v>0</v>
      </c>
      <c r="T313" s="22"/>
      <c r="U313" s="31"/>
      <c r="V313" s="51"/>
    </row>
    <row r="314" spans="1:22" ht="20.100000000000001" customHeight="1" x14ac:dyDescent="0.3">
      <c r="A314" s="44">
        <v>306</v>
      </c>
      <c r="B314" s="22">
        <f>+'Order Details Apr24 - Mar25'!P314</f>
        <v>0</v>
      </c>
      <c r="C314" s="23"/>
      <c r="D314" s="53">
        <f>+'Order Details Apr24 - Mar25'!T314</f>
        <v>0</v>
      </c>
      <c r="E314" s="25"/>
      <c r="F314" s="183">
        <f>+'Order Details Apr24 - Mar25'!D314</f>
        <v>0</v>
      </c>
      <c r="G314" s="184"/>
      <c r="H314" s="26">
        <f>+'Order Details Apr24 - Mar25'!G314</f>
        <v>0</v>
      </c>
      <c r="I314" s="27">
        <f>+'Order Details Apr24 - Mar25'!I314</f>
        <v>0</v>
      </c>
      <c r="J314" s="28"/>
      <c r="K314" s="185">
        <f>+'Order Details Apr24 - Mar25'!R314</f>
        <v>0</v>
      </c>
      <c r="L314" s="186"/>
      <c r="M314" s="187"/>
      <c r="N314" s="27">
        <f>+'Order Details Apr24 - Mar25'!F314*'Order Details Apr24 - Mar25'!N314</f>
        <v>0</v>
      </c>
      <c r="O314" s="25"/>
      <c r="P314" s="22"/>
      <c r="Q314" s="26"/>
      <c r="R314" s="82"/>
      <c r="S314" s="22">
        <f t="shared" si="4"/>
        <v>0</v>
      </c>
      <c r="T314" s="22"/>
      <c r="U314" s="31"/>
      <c r="V314" s="51"/>
    </row>
    <row r="315" spans="1:22" ht="20.100000000000001" customHeight="1" x14ac:dyDescent="0.3">
      <c r="A315" s="44">
        <v>307</v>
      </c>
      <c r="B315" s="22">
        <f>+'Order Details Apr24 - Mar25'!P315</f>
        <v>0</v>
      </c>
      <c r="C315" s="23"/>
      <c r="D315" s="53">
        <f>+'Order Details Apr24 - Mar25'!T315</f>
        <v>0</v>
      </c>
      <c r="E315" s="25"/>
      <c r="F315" s="183">
        <f>+'Order Details Apr24 - Mar25'!D315</f>
        <v>0</v>
      </c>
      <c r="G315" s="184"/>
      <c r="H315" s="26">
        <f>+'Order Details Apr24 - Mar25'!G315</f>
        <v>0</v>
      </c>
      <c r="I315" s="27">
        <f>+'Order Details Apr24 - Mar25'!I315</f>
        <v>0</v>
      </c>
      <c r="J315" s="28"/>
      <c r="K315" s="185">
        <f>+'Order Details Apr24 - Mar25'!R315</f>
        <v>0</v>
      </c>
      <c r="L315" s="186"/>
      <c r="M315" s="187"/>
      <c r="N315" s="27">
        <f>+'Order Details Apr24 - Mar25'!F315*'Order Details Apr24 - Mar25'!N315</f>
        <v>0</v>
      </c>
      <c r="O315" s="25"/>
      <c r="P315" s="22"/>
      <c r="Q315" s="26"/>
      <c r="R315" s="82"/>
      <c r="S315" s="22">
        <f t="shared" si="4"/>
        <v>0</v>
      </c>
      <c r="T315" s="22"/>
      <c r="U315" s="31"/>
      <c r="V315" s="51"/>
    </row>
    <row r="316" spans="1:22" ht="20.100000000000001" customHeight="1" x14ac:dyDescent="0.3">
      <c r="A316" s="44">
        <v>308</v>
      </c>
      <c r="B316" s="22">
        <f>+'Order Details Apr24 - Mar25'!P316</f>
        <v>0</v>
      </c>
      <c r="C316" s="23"/>
      <c r="D316" s="53">
        <f>+'Order Details Apr24 - Mar25'!T316</f>
        <v>0</v>
      </c>
      <c r="E316" s="25"/>
      <c r="F316" s="183">
        <f>+'Order Details Apr24 - Mar25'!D316</f>
        <v>0</v>
      </c>
      <c r="G316" s="184"/>
      <c r="H316" s="26">
        <f>+'Order Details Apr24 - Mar25'!G316</f>
        <v>0</v>
      </c>
      <c r="I316" s="27">
        <f>+'Order Details Apr24 - Mar25'!I316</f>
        <v>0</v>
      </c>
      <c r="J316" s="28"/>
      <c r="K316" s="185">
        <f>+'Order Details Apr24 - Mar25'!R316</f>
        <v>0</v>
      </c>
      <c r="L316" s="186"/>
      <c r="M316" s="187"/>
      <c r="N316" s="27">
        <f>+'Order Details Apr24 - Mar25'!F316*'Order Details Apr24 - Mar25'!N316</f>
        <v>0</v>
      </c>
      <c r="O316" s="25"/>
      <c r="P316" s="22"/>
      <c r="Q316" s="26"/>
      <c r="R316" s="82"/>
      <c r="S316" s="22">
        <f t="shared" si="4"/>
        <v>0</v>
      </c>
      <c r="T316" s="22"/>
      <c r="U316" s="31"/>
      <c r="V316" s="51"/>
    </row>
    <row r="317" spans="1:22" ht="20.100000000000001" customHeight="1" x14ac:dyDescent="0.3">
      <c r="A317" s="44">
        <v>309</v>
      </c>
      <c r="B317" s="22">
        <f>+'Order Details Apr24 - Mar25'!P317</f>
        <v>0</v>
      </c>
      <c r="C317" s="23"/>
      <c r="D317" s="53">
        <f>+'Order Details Apr24 - Mar25'!T317</f>
        <v>0</v>
      </c>
      <c r="E317" s="25"/>
      <c r="F317" s="183">
        <f>+'Order Details Apr24 - Mar25'!D317</f>
        <v>0</v>
      </c>
      <c r="G317" s="184"/>
      <c r="H317" s="26">
        <f>+'Order Details Apr24 - Mar25'!G317</f>
        <v>0</v>
      </c>
      <c r="I317" s="27">
        <f>+'Order Details Apr24 - Mar25'!I317</f>
        <v>0</v>
      </c>
      <c r="J317" s="28"/>
      <c r="K317" s="185">
        <f>+'Order Details Apr24 - Mar25'!R317</f>
        <v>0</v>
      </c>
      <c r="L317" s="186"/>
      <c r="M317" s="187"/>
      <c r="N317" s="27">
        <f>+'Order Details Apr24 - Mar25'!F317*'Order Details Apr24 - Mar25'!N317</f>
        <v>0</v>
      </c>
      <c r="O317" s="25"/>
      <c r="P317" s="22"/>
      <c r="Q317" s="26"/>
      <c r="R317" s="82"/>
      <c r="S317" s="22">
        <f t="shared" si="4"/>
        <v>0</v>
      </c>
      <c r="T317" s="22"/>
      <c r="U317" s="31"/>
      <c r="V317" s="51"/>
    </row>
    <row r="318" spans="1:22" ht="20.100000000000001" customHeight="1" x14ac:dyDescent="0.3">
      <c r="A318" s="44">
        <v>310</v>
      </c>
      <c r="B318" s="22">
        <f>+'Order Details Apr24 - Mar25'!P318</f>
        <v>0</v>
      </c>
      <c r="C318" s="23"/>
      <c r="D318" s="53">
        <f>+'Order Details Apr24 - Mar25'!T318</f>
        <v>0</v>
      </c>
      <c r="E318" s="25"/>
      <c r="F318" s="183">
        <f>+'Order Details Apr24 - Mar25'!D318</f>
        <v>0</v>
      </c>
      <c r="G318" s="184"/>
      <c r="H318" s="26">
        <f>+'Order Details Apr24 - Mar25'!G318</f>
        <v>0</v>
      </c>
      <c r="I318" s="27">
        <f>+'Order Details Apr24 - Mar25'!I318</f>
        <v>0</v>
      </c>
      <c r="J318" s="28"/>
      <c r="K318" s="185">
        <f>+'Order Details Apr24 - Mar25'!R318</f>
        <v>0</v>
      </c>
      <c r="L318" s="186"/>
      <c r="M318" s="187"/>
      <c r="N318" s="27">
        <f>+'Order Details Apr24 - Mar25'!F318*'Order Details Apr24 - Mar25'!N318</f>
        <v>0</v>
      </c>
      <c r="O318" s="25"/>
      <c r="P318" s="22"/>
      <c r="Q318" s="26"/>
      <c r="R318" s="82"/>
      <c r="S318" s="22">
        <f t="shared" si="4"/>
        <v>0</v>
      </c>
      <c r="T318" s="22"/>
      <c r="U318" s="31"/>
      <c r="V318" s="51"/>
    </row>
    <row r="319" spans="1:22" ht="20.100000000000001" customHeight="1" x14ac:dyDescent="0.3">
      <c r="A319" s="44">
        <v>311</v>
      </c>
      <c r="B319" s="22">
        <f>+'Order Details Apr24 - Mar25'!P319</f>
        <v>0</v>
      </c>
      <c r="C319" s="23"/>
      <c r="D319" s="53">
        <f>+'Order Details Apr24 - Mar25'!T319</f>
        <v>0</v>
      </c>
      <c r="E319" s="25"/>
      <c r="F319" s="183">
        <f>+'Order Details Apr24 - Mar25'!D319</f>
        <v>0</v>
      </c>
      <c r="G319" s="184"/>
      <c r="H319" s="26">
        <f>+'Order Details Apr24 - Mar25'!G319</f>
        <v>0</v>
      </c>
      <c r="I319" s="27">
        <f>+'Order Details Apr24 - Mar25'!I319</f>
        <v>0</v>
      </c>
      <c r="J319" s="28"/>
      <c r="K319" s="185">
        <f>+'Order Details Apr24 - Mar25'!R319</f>
        <v>0</v>
      </c>
      <c r="L319" s="186"/>
      <c r="M319" s="187"/>
      <c r="N319" s="27">
        <f>+'Order Details Apr24 - Mar25'!F319*'Order Details Apr24 - Mar25'!N319</f>
        <v>0</v>
      </c>
      <c r="O319" s="25"/>
      <c r="P319" s="22"/>
      <c r="Q319" s="26"/>
      <c r="R319" s="82"/>
      <c r="S319" s="22">
        <f t="shared" si="4"/>
        <v>0</v>
      </c>
      <c r="T319" s="22"/>
      <c r="U319" s="31"/>
      <c r="V319" s="51"/>
    </row>
    <row r="320" spans="1:22" ht="20.100000000000001" customHeight="1" x14ac:dyDescent="0.3">
      <c r="A320" s="44">
        <v>312</v>
      </c>
      <c r="B320" s="22">
        <f>+'Order Details Apr24 - Mar25'!P320</f>
        <v>0</v>
      </c>
      <c r="C320" s="23"/>
      <c r="D320" s="53">
        <f>+'Order Details Apr24 - Mar25'!T320</f>
        <v>0</v>
      </c>
      <c r="E320" s="25"/>
      <c r="F320" s="183">
        <f>+'Order Details Apr24 - Mar25'!D320</f>
        <v>0</v>
      </c>
      <c r="G320" s="184"/>
      <c r="H320" s="26">
        <f>+'Order Details Apr24 - Mar25'!G320</f>
        <v>0</v>
      </c>
      <c r="I320" s="27">
        <f>+'Order Details Apr24 - Mar25'!I320</f>
        <v>0</v>
      </c>
      <c r="J320" s="28"/>
      <c r="K320" s="185">
        <f>+'Order Details Apr24 - Mar25'!R320</f>
        <v>0</v>
      </c>
      <c r="L320" s="186"/>
      <c r="M320" s="187"/>
      <c r="N320" s="27">
        <f>+'Order Details Apr24 - Mar25'!F320*'Order Details Apr24 - Mar25'!N320</f>
        <v>0</v>
      </c>
      <c r="O320" s="25"/>
      <c r="P320" s="22"/>
      <c r="Q320" s="26"/>
      <c r="R320" s="82"/>
      <c r="S320" s="22">
        <f t="shared" si="4"/>
        <v>0</v>
      </c>
      <c r="T320" s="22"/>
      <c r="U320" s="31"/>
      <c r="V320" s="51"/>
    </row>
    <row r="321" spans="1:22" ht="20.100000000000001" customHeight="1" x14ac:dyDescent="0.3">
      <c r="A321" s="44">
        <v>313</v>
      </c>
      <c r="B321" s="22">
        <f>+'Order Details Apr24 - Mar25'!P321</f>
        <v>0</v>
      </c>
      <c r="C321" s="23"/>
      <c r="D321" s="53">
        <f>+'Order Details Apr24 - Mar25'!T321</f>
        <v>0</v>
      </c>
      <c r="E321" s="25"/>
      <c r="F321" s="183">
        <f>+'Order Details Apr24 - Mar25'!D321</f>
        <v>0</v>
      </c>
      <c r="G321" s="184"/>
      <c r="H321" s="26">
        <f>+'Order Details Apr24 - Mar25'!G321</f>
        <v>0</v>
      </c>
      <c r="I321" s="27">
        <f>+'Order Details Apr24 - Mar25'!I321</f>
        <v>0</v>
      </c>
      <c r="J321" s="28"/>
      <c r="K321" s="185">
        <f>+'Order Details Apr24 - Mar25'!R321</f>
        <v>0</v>
      </c>
      <c r="L321" s="186"/>
      <c r="M321" s="187"/>
      <c r="N321" s="27">
        <f>+'Order Details Apr24 - Mar25'!F321*'Order Details Apr24 - Mar25'!N321</f>
        <v>0</v>
      </c>
      <c r="O321" s="25"/>
      <c r="P321" s="22"/>
      <c r="Q321" s="26"/>
      <c r="R321" s="82"/>
      <c r="S321" s="22">
        <f t="shared" si="4"/>
        <v>0</v>
      </c>
      <c r="T321" s="22"/>
      <c r="U321" s="31"/>
      <c r="V321" s="51"/>
    </row>
    <row r="322" spans="1:22" ht="20.100000000000001" customHeight="1" x14ac:dyDescent="0.3">
      <c r="A322" s="44">
        <v>314</v>
      </c>
      <c r="B322" s="22">
        <f>+'Order Details Apr24 - Mar25'!P322</f>
        <v>0</v>
      </c>
      <c r="C322" s="23"/>
      <c r="D322" s="53">
        <f>+'Order Details Apr24 - Mar25'!T322</f>
        <v>0</v>
      </c>
      <c r="E322" s="25"/>
      <c r="F322" s="183">
        <f>+'Order Details Apr24 - Mar25'!D322</f>
        <v>0</v>
      </c>
      <c r="G322" s="184"/>
      <c r="H322" s="26">
        <f>+'Order Details Apr24 - Mar25'!G322</f>
        <v>0</v>
      </c>
      <c r="I322" s="27">
        <f>+'Order Details Apr24 - Mar25'!I322</f>
        <v>0</v>
      </c>
      <c r="J322" s="28"/>
      <c r="K322" s="185">
        <f>+'Order Details Apr24 - Mar25'!R322</f>
        <v>0</v>
      </c>
      <c r="L322" s="186"/>
      <c r="M322" s="187"/>
      <c r="N322" s="27">
        <f>+'Order Details Apr24 - Mar25'!F322*'Order Details Apr24 - Mar25'!N322</f>
        <v>0</v>
      </c>
      <c r="O322" s="25"/>
      <c r="P322" s="22"/>
      <c r="Q322" s="26"/>
      <c r="R322" s="82"/>
      <c r="S322" s="22">
        <f t="shared" si="4"/>
        <v>0</v>
      </c>
      <c r="T322" s="22"/>
      <c r="U322" s="31"/>
      <c r="V322" s="51"/>
    </row>
    <row r="323" spans="1:22" ht="20.100000000000001" customHeight="1" x14ac:dyDescent="0.3">
      <c r="A323" s="44">
        <v>315</v>
      </c>
      <c r="B323" s="22">
        <f>+'Order Details Apr24 - Mar25'!P323</f>
        <v>0</v>
      </c>
      <c r="C323" s="23"/>
      <c r="D323" s="53">
        <f>+'Order Details Apr24 - Mar25'!T323</f>
        <v>0</v>
      </c>
      <c r="E323" s="25"/>
      <c r="F323" s="183">
        <f>+'Order Details Apr24 - Mar25'!D323</f>
        <v>0</v>
      </c>
      <c r="G323" s="184"/>
      <c r="H323" s="26">
        <f>+'Order Details Apr24 - Mar25'!G323</f>
        <v>0</v>
      </c>
      <c r="I323" s="27">
        <f>+'Order Details Apr24 - Mar25'!I323</f>
        <v>0</v>
      </c>
      <c r="J323" s="28"/>
      <c r="K323" s="185">
        <f>+'Order Details Apr24 - Mar25'!R323</f>
        <v>0</v>
      </c>
      <c r="L323" s="186"/>
      <c r="M323" s="187"/>
      <c r="N323" s="27">
        <f>+'Order Details Apr24 - Mar25'!F323*'Order Details Apr24 - Mar25'!N323</f>
        <v>0</v>
      </c>
      <c r="O323" s="25"/>
      <c r="P323" s="22"/>
      <c r="Q323" s="26"/>
      <c r="R323" s="82"/>
      <c r="S323" s="22">
        <f t="shared" si="4"/>
        <v>0</v>
      </c>
      <c r="T323" s="22"/>
      <c r="U323" s="31"/>
      <c r="V323" s="51"/>
    </row>
    <row r="324" spans="1:22" ht="20.100000000000001" customHeight="1" x14ac:dyDescent="0.3">
      <c r="A324" s="44">
        <v>316</v>
      </c>
      <c r="B324" s="22">
        <f>+'Order Details Apr24 - Mar25'!P324</f>
        <v>0</v>
      </c>
      <c r="C324" s="23"/>
      <c r="D324" s="53">
        <f>+'Order Details Apr24 - Mar25'!T324</f>
        <v>0</v>
      </c>
      <c r="E324" s="25"/>
      <c r="F324" s="183">
        <f>+'Order Details Apr24 - Mar25'!D324</f>
        <v>0</v>
      </c>
      <c r="G324" s="184"/>
      <c r="H324" s="26">
        <f>+'Order Details Apr24 - Mar25'!G324</f>
        <v>0</v>
      </c>
      <c r="I324" s="27">
        <f>+'Order Details Apr24 - Mar25'!I324</f>
        <v>0</v>
      </c>
      <c r="J324" s="28"/>
      <c r="K324" s="185">
        <f>+'Order Details Apr24 - Mar25'!R324</f>
        <v>0</v>
      </c>
      <c r="L324" s="186"/>
      <c r="M324" s="187"/>
      <c r="N324" s="27">
        <f>+'Order Details Apr24 - Mar25'!F324*'Order Details Apr24 - Mar25'!N324</f>
        <v>0</v>
      </c>
      <c r="O324" s="25"/>
      <c r="P324" s="22"/>
      <c r="Q324" s="26"/>
      <c r="R324" s="82"/>
      <c r="S324" s="22">
        <f t="shared" si="4"/>
        <v>0</v>
      </c>
      <c r="T324" s="22"/>
      <c r="U324" s="31"/>
      <c r="V324" s="51"/>
    </row>
    <row r="325" spans="1:22" ht="20.100000000000001" customHeight="1" x14ac:dyDescent="0.3">
      <c r="A325" s="44">
        <v>317</v>
      </c>
      <c r="B325" s="22">
        <f>+'Order Details Apr24 - Mar25'!P325</f>
        <v>0</v>
      </c>
      <c r="C325" s="23"/>
      <c r="D325" s="53">
        <f>+'Order Details Apr24 - Mar25'!T325</f>
        <v>0</v>
      </c>
      <c r="E325" s="25"/>
      <c r="F325" s="183">
        <f>+'Order Details Apr24 - Mar25'!D325</f>
        <v>0</v>
      </c>
      <c r="G325" s="184"/>
      <c r="H325" s="26">
        <f>+'Order Details Apr24 - Mar25'!G325</f>
        <v>0</v>
      </c>
      <c r="I325" s="27">
        <f>+'Order Details Apr24 - Mar25'!I325</f>
        <v>0</v>
      </c>
      <c r="J325" s="28"/>
      <c r="K325" s="185">
        <f>+'Order Details Apr24 - Mar25'!R325</f>
        <v>0</v>
      </c>
      <c r="L325" s="186"/>
      <c r="M325" s="187"/>
      <c r="N325" s="27">
        <f>+'Order Details Apr24 - Mar25'!F325*'Order Details Apr24 - Mar25'!N325</f>
        <v>0</v>
      </c>
      <c r="O325" s="25"/>
      <c r="P325" s="22"/>
      <c r="Q325" s="26"/>
      <c r="R325" s="82"/>
      <c r="S325" s="22">
        <f t="shared" si="4"/>
        <v>0</v>
      </c>
      <c r="T325" s="22"/>
      <c r="U325" s="31"/>
      <c r="V325" s="51"/>
    </row>
    <row r="326" spans="1:22" ht="20.100000000000001" customHeight="1" x14ac:dyDescent="0.3">
      <c r="A326" s="44">
        <v>318</v>
      </c>
      <c r="B326" s="22">
        <f>+'Order Details Apr24 - Mar25'!P326</f>
        <v>0</v>
      </c>
      <c r="C326" s="23"/>
      <c r="D326" s="53">
        <f>+'Order Details Apr24 - Mar25'!T326</f>
        <v>0</v>
      </c>
      <c r="E326" s="25"/>
      <c r="F326" s="183">
        <f>+'Order Details Apr24 - Mar25'!D326</f>
        <v>0</v>
      </c>
      <c r="G326" s="184"/>
      <c r="H326" s="26">
        <f>+'Order Details Apr24 - Mar25'!G326</f>
        <v>0</v>
      </c>
      <c r="I326" s="27">
        <f>+'Order Details Apr24 - Mar25'!I326</f>
        <v>0</v>
      </c>
      <c r="J326" s="28"/>
      <c r="K326" s="185">
        <f>+'Order Details Apr24 - Mar25'!R326</f>
        <v>0</v>
      </c>
      <c r="L326" s="186"/>
      <c r="M326" s="187"/>
      <c r="N326" s="27">
        <f>+'Order Details Apr24 - Mar25'!F326*'Order Details Apr24 - Mar25'!N326</f>
        <v>0</v>
      </c>
      <c r="O326" s="25"/>
      <c r="P326" s="22"/>
      <c r="Q326" s="26"/>
      <c r="R326" s="82"/>
      <c r="S326" s="22">
        <f t="shared" si="4"/>
        <v>0</v>
      </c>
      <c r="T326" s="22"/>
      <c r="U326" s="31"/>
      <c r="V326" s="51"/>
    </row>
    <row r="327" spans="1:22" ht="20.100000000000001" customHeight="1" x14ac:dyDescent="0.3">
      <c r="A327" s="44">
        <v>319</v>
      </c>
      <c r="B327" s="22">
        <f>+'Order Details Apr24 - Mar25'!P327</f>
        <v>0</v>
      </c>
      <c r="C327" s="23"/>
      <c r="D327" s="53">
        <f>+'Order Details Apr24 - Mar25'!T327</f>
        <v>0</v>
      </c>
      <c r="E327" s="25"/>
      <c r="F327" s="183">
        <f>+'Order Details Apr24 - Mar25'!D327</f>
        <v>0</v>
      </c>
      <c r="G327" s="184"/>
      <c r="H327" s="26">
        <f>+'Order Details Apr24 - Mar25'!G327</f>
        <v>0</v>
      </c>
      <c r="I327" s="27">
        <f>+'Order Details Apr24 - Mar25'!I327</f>
        <v>0</v>
      </c>
      <c r="J327" s="28"/>
      <c r="K327" s="185">
        <f>+'Order Details Apr24 - Mar25'!R327</f>
        <v>0</v>
      </c>
      <c r="L327" s="186"/>
      <c r="M327" s="187"/>
      <c r="N327" s="27">
        <f>+'Order Details Apr24 - Mar25'!F327*'Order Details Apr24 - Mar25'!N327</f>
        <v>0</v>
      </c>
      <c r="O327" s="25"/>
      <c r="P327" s="22"/>
      <c r="Q327" s="26"/>
      <c r="R327" s="82"/>
      <c r="S327" s="22">
        <f t="shared" si="4"/>
        <v>0</v>
      </c>
      <c r="T327" s="22"/>
      <c r="U327" s="31"/>
      <c r="V327" s="51"/>
    </row>
    <row r="328" spans="1:22" ht="20.100000000000001" customHeight="1" x14ac:dyDescent="0.3">
      <c r="A328" s="44">
        <v>320</v>
      </c>
      <c r="B328" s="22">
        <f>+'Order Details Apr24 - Mar25'!P328</f>
        <v>0</v>
      </c>
      <c r="C328" s="23"/>
      <c r="D328" s="53">
        <f>+'Order Details Apr24 - Mar25'!T328</f>
        <v>0</v>
      </c>
      <c r="E328" s="25"/>
      <c r="F328" s="183">
        <f>+'Order Details Apr24 - Mar25'!D328</f>
        <v>0</v>
      </c>
      <c r="G328" s="184"/>
      <c r="H328" s="26">
        <f>+'Order Details Apr24 - Mar25'!G328</f>
        <v>0</v>
      </c>
      <c r="I328" s="27">
        <f>+'Order Details Apr24 - Mar25'!I328</f>
        <v>0</v>
      </c>
      <c r="J328" s="28"/>
      <c r="K328" s="185">
        <f>+'Order Details Apr24 - Mar25'!R328</f>
        <v>0</v>
      </c>
      <c r="L328" s="186"/>
      <c r="M328" s="187"/>
      <c r="N328" s="27">
        <f>+'Order Details Apr24 - Mar25'!F328*'Order Details Apr24 - Mar25'!N328</f>
        <v>0</v>
      </c>
      <c r="O328" s="25"/>
      <c r="P328" s="22"/>
      <c r="Q328" s="26"/>
      <c r="R328" s="82"/>
      <c r="S328" s="22">
        <f t="shared" si="4"/>
        <v>0</v>
      </c>
      <c r="T328" s="22"/>
      <c r="U328" s="31"/>
      <c r="V328" s="51"/>
    </row>
    <row r="329" spans="1:22" ht="20.100000000000001" customHeight="1" x14ac:dyDescent="0.3">
      <c r="A329" s="44">
        <v>321</v>
      </c>
      <c r="B329" s="22">
        <f>+'Order Details Apr24 - Mar25'!P329</f>
        <v>0</v>
      </c>
      <c r="C329" s="23"/>
      <c r="D329" s="53">
        <f>+'Order Details Apr24 - Mar25'!T329</f>
        <v>0</v>
      </c>
      <c r="E329" s="25"/>
      <c r="F329" s="183">
        <f>+'Order Details Apr24 - Mar25'!D329</f>
        <v>0</v>
      </c>
      <c r="G329" s="184"/>
      <c r="H329" s="26">
        <f>+'Order Details Apr24 - Mar25'!G329</f>
        <v>0</v>
      </c>
      <c r="I329" s="27">
        <f>+'Order Details Apr24 - Mar25'!I329</f>
        <v>0</v>
      </c>
      <c r="J329" s="28"/>
      <c r="K329" s="185">
        <f>+'Order Details Apr24 - Mar25'!R329</f>
        <v>0</v>
      </c>
      <c r="L329" s="186"/>
      <c r="M329" s="187"/>
      <c r="N329" s="27">
        <f>+'Order Details Apr24 - Mar25'!F329*'Order Details Apr24 - Mar25'!N329</f>
        <v>0</v>
      </c>
      <c r="O329" s="25"/>
      <c r="P329" s="22"/>
      <c r="Q329" s="26"/>
      <c r="R329" s="82"/>
      <c r="S329" s="22">
        <f t="shared" si="4"/>
        <v>0</v>
      </c>
      <c r="T329" s="22"/>
      <c r="U329" s="31"/>
      <c r="V329" s="51"/>
    </row>
    <row r="330" spans="1:22" ht="20.100000000000001" customHeight="1" x14ac:dyDescent="0.3">
      <c r="A330" s="44">
        <v>322</v>
      </c>
      <c r="B330" s="22">
        <f>+'Order Details Apr24 - Mar25'!P330</f>
        <v>0</v>
      </c>
      <c r="C330" s="23"/>
      <c r="D330" s="53">
        <f>+'Order Details Apr24 - Mar25'!T330</f>
        <v>0</v>
      </c>
      <c r="E330" s="25"/>
      <c r="F330" s="183">
        <f>+'Order Details Apr24 - Mar25'!D330</f>
        <v>0</v>
      </c>
      <c r="G330" s="184"/>
      <c r="H330" s="26">
        <f>+'Order Details Apr24 - Mar25'!G330</f>
        <v>0</v>
      </c>
      <c r="I330" s="27">
        <f>+'Order Details Apr24 - Mar25'!I330</f>
        <v>0</v>
      </c>
      <c r="J330" s="28"/>
      <c r="K330" s="185">
        <f>+'Order Details Apr24 - Mar25'!R330</f>
        <v>0</v>
      </c>
      <c r="L330" s="186"/>
      <c r="M330" s="187"/>
      <c r="N330" s="27">
        <f>+'Order Details Apr24 - Mar25'!F330*'Order Details Apr24 - Mar25'!N330</f>
        <v>0</v>
      </c>
      <c r="O330" s="25"/>
      <c r="P330" s="22"/>
      <c r="Q330" s="26"/>
      <c r="R330" s="82"/>
      <c r="S330" s="22">
        <f t="shared" ref="S330:S343" si="5">P330+R330</f>
        <v>0</v>
      </c>
      <c r="T330" s="22"/>
      <c r="U330" s="31"/>
      <c r="V330" s="51"/>
    </row>
    <row r="331" spans="1:22" ht="20.100000000000001" customHeight="1" x14ac:dyDescent="0.3">
      <c r="A331" s="44">
        <v>323</v>
      </c>
      <c r="B331" s="22">
        <f>+'Order Details Apr24 - Mar25'!P331</f>
        <v>0</v>
      </c>
      <c r="C331" s="23"/>
      <c r="D331" s="53">
        <f>+'Order Details Apr24 - Mar25'!T331</f>
        <v>0</v>
      </c>
      <c r="E331" s="25"/>
      <c r="F331" s="183">
        <f>+'Order Details Apr24 - Mar25'!D331</f>
        <v>0</v>
      </c>
      <c r="G331" s="184"/>
      <c r="H331" s="26">
        <f>+'Order Details Apr24 - Mar25'!G331</f>
        <v>0</v>
      </c>
      <c r="I331" s="27">
        <f>+'Order Details Apr24 - Mar25'!I331</f>
        <v>0</v>
      </c>
      <c r="J331" s="28"/>
      <c r="K331" s="185">
        <f>+'Order Details Apr24 - Mar25'!R331</f>
        <v>0</v>
      </c>
      <c r="L331" s="186"/>
      <c r="M331" s="187"/>
      <c r="N331" s="27">
        <f>+'Order Details Apr24 - Mar25'!F331*'Order Details Apr24 - Mar25'!N331</f>
        <v>0</v>
      </c>
      <c r="O331" s="25"/>
      <c r="P331" s="22"/>
      <c r="Q331" s="26"/>
      <c r="R331" s="82"/>
      <c r="S331" s="22">
        <f t="shared" si="5"/>
        <v>0</v>
      </c>
      <c r="T331" s="22"/>
      <c r="U331" s="31"/>
      <c r="V331" s="51"/>
    </row>
    <row r="332" spans="1:22" ht="20.100000000000001" customHeight="1" x14ac:dyDescent="0.3">
      <c r="A332" s="44">
        <v>324</v>
      </c>
      <c r="B332" s="22">
        <f>+'Order Details Apr24 - Mar25'!P332</f>
        <v>0</v>
      </c>
      <c r="C332" s="23"/>
      <c r="D332" s="53">
        <f>+'Order Details Apr24 - Mar25'!T332</f>
        <v>0</v>
      </c>
      <c r="E332" s="25"/>
      <c r="F332" s="183">
        <f>+'Order Details Apr24 - Mar25'!D332</f>
        <v>0</v>
      </c>
      <c r="G332" s="184"/>
      <c r="H332" s="26">
        <f>+'Order Details Apr24 - Mar25'!G332</f>
        <v>0</v>
      </c>
      <c r="I332" s="27">
        <f>+'Order Details Apr24 - Mar25'!I332</f>
        <v>0</v>
      </c>
      <c r="J332" s="28"/>
      <c r="K332" s="185">
        <f>+'Order Details Apr24 - Mar25'!R332</f>
        <v>0</v>
      </c>
      <c r="L332" s="186"/>
      <c r="M332" s="187"/>
      <c r="N332" s="27">
        <f>+'Order Details Apr24 - Mar25'!F332*'Order Details Apr24 - Mar25'!N332</f>
        <v>0</v>
      </c>
      <c r="O332" s="25"/>
      <c r="P332" s="22"/>
      <c r="Q332" s="26"/>
      <c r="R332" s="82"/>
      <c r="S332" s="22">
        <f t="shared" si="5"/>
        <v>0</v>
      </c>
      <c r="T332" s="22"/>
      <c r="U332" s="31"/>
      <c r="V332" s="51"/>
    </row>
    <row r="333" spans="1:22" ht="20.100000000000001" customHeight="1" x14ac:dyDescent="0.3">
      <c r="A333" s="44">
        <v>325</v>
      </c>
      <c r="B333" s="22">
        <f>+'Order Details Apr24 - Mar25'!P333</f>
        <v>0</v>
      </c>
      <c r="C333" s="23"/>
      <c r="D333" s="53">
        <f>+'Order Details Apr24 - Mar25'!T333</f>
        <v>0</v>
      </c>
      <c r="E333" s="25"/>
      <c r="F333" s="183">
        <f>+'Order Details Apr24 - Mar25'!D333</f>
        <v>0</v>
      </c>
      <c r="G333" s="184"/>
      <c r="H333" s="26">
        <f>+'Order Details Apr24 - Mar25'!G333</f>
        <v>0</v>
      </c>
      <c r="I333" s="27">
        <f>+'Order Details Apr24 - Mar25'!I333</f>
        <v>0</v>
      </c>
      <c r="J333" s="28"/>
      <c r="K333" s="185">
        <f>+'Order Details Apr24 - Mar25'!R333</f>
        <v>0</v>
      </c>
      <c r="L333" s="186"/>
      <c r="M333" s="187"/>
      <c r="N333" s="27">
        <f>+'Order Details Apr24 - Mar25'!F333*'Order Details Apr24 - Mar25'!N333</f>
        <v>0</v>
      </c>
      <c r="O333" s="25"/>
      <c r="P333" s="22"/>
      <c r="Q333" s="26"/>
      <c r="R333" s="82"/>
      <c r="S333" s="22">
        <f t="shared" si="5"/>
        <v>0</v>
      </c>
      <c r="T333" s="22"/>
      <c r="U333" s="31"/>
      <c r="V333" s="51"/>
    </row>
    <row r="334" spans="1:22" ht="20.100000000000001" customHeight="1" x14ac:dyDescent="0.3">
      <c r="A334" s="44">
        <v>326</v>
      </c>
      <c r="B334" s="22">
        <f>+'Order Details Apr24 - Mar25'!P334</f>
        <v>0</v>
      </c>
      <c r="C334" s="23"/>
      <c r="D334" s="53">
        <f>+'Order Details Apr24 - Mar25'!T334</f>
        <v>0</v>
      </c>
      <c r="E334" s="25"/>
      <c r="F334" s="183">
        <f>+'Order Details Apr24 - Mar25'!D334</f>
        <v>0</v>
      </c>
      <c r="G334" s="184"/>
      <c r="H334" s="26">
        <f>+'Order Details Apr24 - Mar25'!G334</f>
        <v>0</v>
      </c>
      <c r="I334" s="27">
        <f>+'Order Details Apr24 - Mar25'!I334</f>
        <v>0</v>
      </c>
      <c r="J334" s="28"/>
      <c r="K334" s="185">
        <f>+'Order Details Apr24 - Mar25'!R334</f>
        <v>0</v>
      </c>
      <c r="L334" s="186"/>
      <c r="M334" s="187"/>
      <c r="N334" s="27">
        <f>+'Order Details Apr24 - Mar25'!F334*'Order Details Apr24 - Mar25'!N334</f>
        <v>0</v>
      </c>
      <c r="O334" s="25"/>
      <c r="P334" s="22"/>
      <c r="Q334" s="26"/>
      <c r="R334" s="82"/>
      <c r="S334" s="22">
        <f t="shared" si="5"/>
        <v>0</v>
      </c>
      <c r="T334" s="22"/>
      <c r="U334" s="31"/>
      <c r="V334" s="51"/>
    </row>
    <row r="335" spans="1:22" ht="20.100000000000001" customHeight="1" x14ac:dyDescent="0.3">
      <c r="A335" s="44">
        <v>327</v>
      </c>
      <c r="B335" s="22">
        <f>+'Order Details Apr24 - Mar25'!P335</f>
        <v>0</v>
      </c>
      <c r="C335" s="23"/>
      <c r="D335" s="53">
        <f>+'Order Details Apr24 - Mar25'!T335</f>
        <v>0</v>
      </c>
      <c r="E335" s="25"/>
      <c r="F335" s="183">
        <f>+'Order Details Apr24 - Mar25'!D335</f>
        <v>0</v>
      </c>
      <c r="G335" s="184"/>
      <c r="H335" s="26">
        <f>+'Order Details Apr24 - Mar25'!G335</f>
        <v>0</v>
      </c>
      <c r="I335" s="27">
        <f>+'Order Details Apr24 - Mar25'!I335</f>
        <v>0</v>
      </c>
      <c r="J335" s="28"/>
      <c r="K335" s="185">
        <f>+'Order Details Apr24 - Mar25'!R335</f>
        <v>0</v>
      </c>
      <c r="L335" s="186"/>
      <c r="M335" s="187"/>
      <c r="N335" s="27">
        <f>+'Order Details Apr24 - Mar25'!F335*'Order Details Apr24 - Mar25'!N335</f>
        <v>0</v>
      </c>
      <c r="O335" s="25"/>
      <c r="P335" s="22"/>
      <c r="Q335" s="26"/>
      <c r="R335" s="82"/>
      <c r="S335" s="22">
        <f t="shared" si="5"/>
        <v>0</v>
      </c>
      <c r="T335" s="22"/>
      <c r="U335" s="31"/>
      <c r="V335" s="51"/>
    </row>
    <row r="336" spans="1:22" ht="20.100000000000001" customHeight="1" x14ac:dyDescent="0.3">
      <c r="A336" s="44">
        <v>328</v>
      </c>
      <c r="B336" s="22">
        <f>+'Order Details Apr24 - Mar25'!P336</f>
        <v>0</v>
      </c>
      <c r="C336" s="23"/>
      <c r="D336" s="53">
        <f>+'Order Details Apr24 - Mar25'!T336</f>
        <v>0</v>
      </c>
      <c r="E336" s="25"/>
      <c r="F336" s="183">
        <f>+'Order Details Apr24 - Mar25'!D336</f>
        <v>0</v>
      </c>
      <c r="G336" s="184"/>
      <c r="H336" s="26">
        <f>+'Order Details Apr24 - Mar25'!G336</f>
        <v>0</v>
      </c>
      <c r="I336" s="27">
        <f>+'Order Details Apr24 - Mar25'!I336</f>
        <v>0</v>
      </c>
      <c r="J336" s="28"/>
      <c r="K336" s="185">
        <f>+'Order Details Apr24 - Mar25'!R336</f>
        <v>0</v>
      </c>
      <c r="L336" s="186"/>
      <c r="M336" s="187"/>
      <c r="N336" s="27">
        <f>+'Order Details Apr24 - Mar25'!F336*'Order Details Apr24 - Mar25'!N336</f>
        <v>0</v>
      </c>
      <c r="O336" s="25"/>
      <c r="P336" s="22"/>
      <c r="Q336" s="26"/>
      <c r="R336" s="82"/>
      <c r="S336" s="22">
        <f t="shared" si="5"/>
        <v>0</v>
      </c>
      <c r="T336" s="22"/>
      <c r="U336" s="31"/>
      <c r="V336" s="51"/>
    </row>
    <row r="337" spans="1:22" ht="20.100000000000001" customHeight="1" x14ac:dyDescent="0.3">
      <c r="A337" s="44">
        <v>329</v>
      </c>
      <c r="B337" s="22">
        <f>+'Order Details Apr24 - Mar25'!P337</f>
        <v>0</v>
      </c>
      <c r="C337" s="23"/>
      <c r="D337" s="53">
        <f>+'Order Details Apr24 - Mar25'!T337</f>
        <v>0</v>
      </c>
      <c r="E337" s="25"/>
      <c r="F337" s="183">
        <f>+'Order Details Apr24 - Mar25'!D337</f>
        <v>0</v>
      </c>
      <c r="G337" s="184"/>
      <c r="H337" s="26">
        <f>+'Order Details Apr24 - Mar25'!G337</f>
        <v>0</v>
      </c>
      <c r="I337" s="27">
        <f>+'Order Details Apr24 - Mar25'!I337</f>
        <v>0</v>
      </c>
      <c r="J337" s="28"/>
      <c r="K337" s="185">
        <f>+'Order Details Apr24 - Mar25'!R337</f>
        <v>0</v>
      </c>
      <c r="L337" s="186"/>
      <c r="M337" s="187"/>
      <c r="N337" s="27">
        <f>+'Order Details Apr24 - Mar25'!F337*'Order Details Apr24 - Mar25'!N337</f>
        <v>0</v>
      </c>
      <c r="O337" s="25"/>
      <c r="P337" s="22"/>
      <c r="Q337" s="26"/>
      <c r="R337" s="82"/>
      <c r="S337" s="22">
        <f t="shared" si="5"/>
        <v>0</v>
      </c>
      <c r="T337" s="22"/>
      <c r="U337" s="31"/>
      <c r="V337" s="51"/>
    </row>
    <row r="338" spans="1:22" ht="20.100000000000001" customHeight="1" x14ac:dyDescent="0.3">
      <c r="A338" s="44">
        <v>330</v>
      </c>
      <c r="B338" s="22">
        <f>+'Order Details Apr24 - Mar25'!P338</f>
        <v>0</v>
      </c>
      <c r="C338" s="23"/>
      <c r="D338" s="53">
        <f>+'Order Details Apr24 - Mar25'!T338</f>
        <v>0</v>
      </c>
      <c r="E338" s="25"/>
      <c r="F338" s="183">
        <f>+'Order Details Apr24 - Mar25'!D338</f>
        <v>0</v>
      </c>
      <c r="G338" s="184"/>
      <c r="H338" s="26">
        <f>+'Order Details Apr24 - Mar25'!G338</f>
        <v>0</v>
      </c>
      <c r="I338" s="27">
        <f>+'Order Details Apr24 - Mar25'!I338</f>
        <v>0</v>
      </c>
      <c r="J338" s="28"/>
      <c r="K338" s="185">
        <f>+'Order Details Apr24 - Mar25'!R338</f>
        <v>0</v>
      </c>
      <c r="L338" s="186"/>
      <c r="M338" s="187"/>
      <c r="N338" s="27">
        <f>+'Order Details Apr24 - Mar25'!F338*'Order Details Apr24 - Mar25'!N338</f>
        <v>0</v>
      </c>
      <c r="O338" s="25"/>
      <c r="P338" s="22"/>
      <c r="Q338" s="26"/>
      <c r="R338" s="82"/>
      <c r="S338" s="22">
        <f t="shared" si="5"/>
        <v>0</v>
      </c>
      <c r="T338" s="22"/>
      <c r="U338" s="31"/>
      <c r="V338" s="51"/>
    </row>
    <row r="339" spans="1:22" ht="20.100000000000001" customHeight="1" x14ac:dyDescent="0.3">
      <c r="A339" s="44">
        <v>331</v>
      </c>
      <c r="B339" s="22">
        <f>+'Order Details Apr24 - Mar25'!P339</f>
        <v>0</v>
      </c>
      <c r="C339" s="23"/>
      <c r="D339" s="53">
        <f>+'Order Details Apr24 - Mar25'!T339</f>
        <v>0</v>
      </c>
      <c r="E339" s="25"/>
      <c r="F339" s="183">
        <f>+'Order Details Apr24 - Mar25'!D339</f>
        <v>0</v>
      </c>
      <c r="G339" s="184"/>
      <c r="H339" s="26">
        <f>+'Order Details Apr24 - Mar25'!G339</f>
        <v>0</v>
      </c>
      <c r="I339" s="27">
        <f>+'Order Details Apr24 - Mar25'!I339</f>
        <v>0</v>
      </c>
      <c r="J339" s="28"/>
      <c r="K339" s="185">
        <f>+'Order Details Apr24 - Mar25'!R339</f>
        <v>0</v>
      </c>
      <c r="L339" s="186"/>
      <c r="M339" s="187"/>
      <c r="N339" s="27">
        <f>+'Order Details Apr24 - Mar25'!F339*'Order Details Apr24 - Mar25'!N339</f>
        <v>0</v>
      </c>
      <c r="O339" s="25"/>
      <c r="P339" s="22"/>
      <c r="Q339" s="26"/>
      <c r="R339" s="82"/>
      <c r="S339" s="22">
        <f t="shared" si="5"/>
        <v>0</v>
      </c>
      <c r="T339" s="22"/>
      <c r="U339" s="31"/>
      <c r="V339" s="51"/>
    </row>
    <row r="340" spans="1:22" ht="20.100000000000001" customHeight="1" x14ac:dyDescent="0.3">
      <c r="A340" s="44">
        <v>332</v>
      </c>
      <c r="B340" s="22">
        <f>+'Order Details Apr24 - Mar25'!P340</f>
        <v>0</v>
      </c>
      <c r="C340" s="23"/>
      <c r="D340" s="53">
        <f>+'Order Details Apr24 - Mar25'!T340</f>
        <v>0</v>
      </c>
      <c r="E340" s="25"/>
      <c r="F340" s="183">
        <f>+'Order Details Apr24 - Mar25'!D340</f>
        <v>0</v>
      </c>
      <c r="G340" s="184"/>
      <c r="H340" s="26">
        <f>+'Order Details Apr24 - Mar25'!G340</f>
        <v>0</v>
      </c>
      <c r="I340" s="27">
        <f>+'Order Details Apr24 - Mar25'!I340</f>
        <v>0</v>
      </c>
      <c r="J340" s="28"/>
      <c r="K340" s="185">
        <f>+'Order Details Apr24 - Mar25'!R340</f>
        <v>0</v>
      </c>
      <c r="L340" s="186"/>
      <c r="M340" s="187"/>
      <c r="N340" s="27">
        <f>+'Order Details Apr24 - Mar25'!F340*'Order Details Apr24 - Mar25'!N340</f>
        <v>0</v>
      </c>
      <c r="O340" s="25"/>
      <c r="P340" s="22"/>
      <c r="Q340" s="26"/>
      <c r="R340" s="82"/>
      <c r="S340" s="22">
        <f t="shared" si="5"/>
        <v>0</v>
      </c>
      <c r="T340" s="22"/>
      <c r="U340" s="31"/>
      <c r="V340" s="51"/>
    </row>
    <row r="341" spans="1:22" ht="20.100000000000001" customHeight="1" x14ac:dyDescent="0.3">
      <c r="A341" s="44">
        <v>333</v>
      </c>
      <c r="B341" s="22">
        <f>+'Order Details Apr24 - Mar25'!P341</f>
        <v>0</v>
      </c>
      <c r="C341" s="23"/>
      <c r="D341" s="53">
        <f>+'Order Details Apr24 - Mar25'!T341</f>
        <v>0</v>
      </c>
      <c r="E341" s="25"/>
      <c r="F341" s="183">
        <f>+'Order Details Apr24 - Mar25'!D341</f>
        <v>0</v>
      </c>
      <c r="G341" s="184"/>
      <c r="H341" s="26">
        <f>+'Order Details Apr24 - Mar25'!G341</f>
        <v>0</v>
      </c>
      <c r="I341" s="27">
        <f>+'Order Details Apr24 - Mar25'!I341</f>
        <v>0</v>
      </c>
      <c r="J341" s="28"/>
      <c r="K341" s="185">
        <f>+'Order Details Apr24 - Mar25'!R341</f>
        <v>0</v>
      </c>
      <c r="L341" s="186"/>
      <c r="M341" s="187"/>
      <c r="N341" s="27">
        <f>+'Order Details Apr24 - Mar25'!F341*'Order Details Apr24 - Mar25'!N341</f>
        <v>0</v>
      </c>
      <c r="O341" s="25"/>
      <c r="P341" s="22"/>
      <c r="Q341" s="26"/>
      <c r="R341" s="82"/>
      <c r="S341" s="22">
        <f t="shared" si="5"/>
        <v>0</v>
      </c>
      <c r="T341" s="22"/>
      <c r="U341" s="31"/>
      <c r="V341" s="51"/>
    </row>
    <row r="342" spans="1:22" ht="20.100000000000001" customHeight="1" x14ac:dyDescent="0.3">
      <c r="A342" s="44">
        <v>334</v>
      </c>
      <c r="B342" s="22">
        <f>+'Order Details Apr24 - Mar25'!P342</f>
        <v>0</v>
      </c>
      <c r="C342" s="23"/>
      <c r="D342" s="53">
        <f>+'Order Details Apr24 - Mar25'!T342</f>
        <v>0</v>
      </c>
      <c r="E342" s="25"/>
      <c r="F342" s="183">
        <f>+'Order Details Apr24 - Mar25'!D342</f>
        <v>0</v>
      </c>
      <c r="G342" s="184"/>
      <c r="H342" s="26">
        <f>+'Order Details Apr24 - Mar25'!G342</f>
        <v>0</v>
      </c>
      <c r="I342" s="27">
        <f>+'Order Details Apr24 - Mar25'!I342</f>
        <v>0</v>
      </c>
      <c r="J342" s="28"/>
      <c r="K342" s="185">
        <f>+'Order Details Apr24 - Mar25'!R342</f>
        <v>0</v>
      </c>
      <c r="L342" s="186"/>
      <c r="M342" s="187"/>
      <c r="N342" s="27">
        <f>+'Order Details Apr24 - Mar25'!F342*'Order Details Apr24 - Mar25'!N342</f>
        <v>0</v>
      </c>
      <c r="O342" s="25"/>
      <c r="P342" s="22"/>
      <c r="Q342" s="26"/>
      <c r="R342" s="82"/>
      <c r="S342" s="22">
        <f t="shared" si="5"/>
        <v>0</v>
      </c>
      <c r="T342" s="22"/>
      <c r="U342" s="31"/>
      <c r="V342" s="51"/>
    </row>
    <row r="343" spans="1:22" ht="20.100000000000001" customHeight="1" x14ac:dyDescent="0.3">
      <c r="A343" s="44">
        <v>335</v>
      </c>
      <c r="B343" s="22">
        <f>+'Order Details Apr24 - Mar25'!P343</f>
        <v>0</v>
      </c>
      <c r="C343" s="23"/>
      <c r="D343" s="53">
        <f>+'Order Details Apr24 - Mar25'!T343</f>
        <v>0</v>
      </c>
      <c r="E343" s="25"/>
      <c r="F343" s="183">
        <f>+'Order Details Apr24 - Mar25'!D343</f>
        <v>0</v>
      </c>
      <c r="G343" s="184"/>
      <c r="H343" s="26">
        <f>+'Order Details Apr24 - Mar25'!G343</f>
        <v>0</v>
      </c>
      <c r="I343" s="27">
        <f>+'Order Details Apr24 - Mar25'!I343</f>
        <v>0</v>
      </c>
      <c r="J343" s="28"/>
      <c r="K343" s="185">
        <f>+'Order Details Apr24 - Mar25'!R343</f>
        <v>0</v>
      </c>
      <c r="L343" s="186"/>
      <c r="M343" s="187"/>
      <c r="N343" s="27">
        <f>+'Order Details Apr24 - Mar25'!F343*'Order Details Apr24 - Mar25'!N343</f>
        <v>0</v>
      </c>
      <c r="O343" s="25"/>
      <c r="P343" s="22"/>
      <c r="Q343" s="26"/>
      <c r="R343" s="82"/>
      <c r="S343" s="22">
        <f t="shared" si="5"/>
        <v>0</v>
      </c>
      <c r="T343" s="22"/>
      <c r="U343" s="31"/>
      <c r="V343" s="51"/>
    </row>
    <row r="344" spans="1:22" ht="20.100000000000001" customHeight="1" x14ac:dyDescent="0.3">
      <c r="A344" s="44">
        <v>336</v>
      </c>
      <c r="B344" s="22">
        <f>+'Order Details Apr24 - Mar25'!P344</f>
        <v>0</v>
      </c>
      <c r="C344" s="23"/>
      <c r="D344" s="53">
        <f>+'Order Details Apr24 - Mar25'!T344</f>
        <v>0</v>
      </c>
      <c r="E344" s="25"/>
      <c r="F344" s="183">
        <f>+'Order Details Apr24 - Mar25'!D344</f>
        <v>0</v>
      </c>
      <c r="G344" s="184"/>
      <c r="H344" s="26">
        <f>+'Order Details Apr24 - Mar25'!G344</f>
        <v>0</v>
      </c>
      <c r="I344" s="27">
        <f>+'Order Details Apr24 - Mar25'!I344</f>
        <v>0</v>
      </c>
      <c r="J344" s="28"/>
      <c r="K344" s="185">
        <f>+'Order Details Apr24 - Mar25'!R344</f>
        <v>0</v>
      </c>
      <c r="L344" s="186"/>
      <c r="M344" s="187"/>
      <c r="N344" s="27">
        <f>+'Order Details Apr24 - Mar25'!F344*'Order Details Apr24 - Mar25'!N344</f>
        <v>0</v>
      </c>
      <c r="O344" s="25"/>
      <c r="P344" s="22"/>
      <c r="Q344" s="26"/>
      <c r="R344" s="82"/>
      <c r="S344" s="22">
        <f t="shared" ref="S344:S350" si="6">P344+R344</f>
        <v>0</v>
      </c>
      <c r="T344" s="22"/>
      <c r="U344" s="31"/>
      <c r="V344" s="51"/>
    </row>
    <row r="345" spans="1:22" ht="20.100000000000001" customHeight="1" x14ac:dyDescent="0.3">
      <c r="A345" s="44">
        <v>337</v>
      </c>
      <c r="B345" s="22">
        <f>+'Order Details Apr24 - Mar25'!P345</f>
        <v>0</v>
      </c>
      <c r="C345" s="23"/>
      <c r="D345" s="53">
        <f>+'Order Details Apr24 - Mar25'!T345</f>
        <v>0</v>
      </c>
      <c r="E345" s="25"/>
      <c r="F345" s="183">
        <f>+'Order Details Apr24 - Mar25'!D345</f>
        <v>0</v>
      </c>
      <c r="G345" s="184"/>
      <c r="H345" s="26">
        <f>+'Order Details Apr24 - Mar25'!G345</f>
        <v>0</v>
      </c>
      <c r="I345" s="27">
        <f>+'Order Details Apr24 - Mar25'!I345</f>
        <v>0</v>
      </c>
      <c r="J345" s="28"/>
      <c r="K345" s="185">
        <f>+'Order Details Apr24 - Mar25'!R345</f>
        <v>0</v>
      </c>
      <c r="L345" s="186"/>
      <c r="M345" s="187"/>
      <c r="N345" s="27">
        <f>+'Order Details Apr24 - Mar25'!F345*'Order Details Apr24 - Mar25'!N345</f>
        <v>0</v>
      </c>
      <c r="O345" s="25"/>
      <c r="P345" s="22"/>
      <c r="Q345" s="26"/>
      <c r="R345" s="82"/>
      <c r="S345" s="22">
        <f t="shared" si="6"/>
        <v>0</v>
      </c>
      <c r="T345" s="22"/>
      <c r="U345" s="31"/>
      <c r="V345" s="51"/>
    </row>
    <row r="346" spans="1:22" ht="20.100000000000001" customHeight="1" x14ac:dyDescent="0.3">
      <c r="A346" s="44">
        <v>338</v>
      </c>
      <c r="B346" s="22">
        <f>+'Order Details Apr24 - Mar25'!P346</f>
        <v>0</v>
      </c>
      <c r="C346" s="23"/>
      <c r="D346" s="53">
        <f>+'Order Details Apr24 - Mar25'!T346</f>
        <v>0</v>
      </c>
      <c r="E346" s="25"/>
      <c r="F346" s="183">
        <f>+'Order Details Apr24 - Mar25'!D346</f>
        <v>0</v>
      </c>
      <c r="G346" s="184"/>
      <c r="H346" s="26">
        <f>+'Order Details Apr24 - Mar25'!G346</f>
        <v>0</v>
      </c>
      <c r="I346" s="27">
        <f>+'Order Details Apr24 - Mar25'!I346</f>
        <v>0</v>
      </c>
      <c r="J346" s="28"/>
      <c r="K346" s="185">
        <f>+'Order Details Apr24 - Mar25'!R346</f>
        <v>0</v>
      </c>
      <c r="L346" s="186"/>
      <c r="M346" s="187"/>
      <c r="N346" s="27">
        <f>+'Order Details Apr24 - Mar25'!F346*'Order Details Apr24 - Mar25'!N346</f>
        <v>0</v>
      </c>
      <c r="O346" s="25"/>
      <c r="P346" s="22"/>
      <c r="Q346" s="26"/>
      <c r="R346" s="82"/>
      <c r="S346" s="22">
        <f t="shared" si="6"/>
        <v>0</v>
      </c>
      <c r="T346" s="22"/>
      <c r="U346" s="31"/>
      <c r="V346" s="51"/>
    </row>
    <row r="347" spans="1:22" ht="20.100000000000001" customHeight="1" x14ac:dyDescent="0.3">
      <c r="A347" s="44">
        <v>339</v>
      </c>
      <c r="B347" s="22">
        <f>+'Order Details Apr24 - Mar25'!P347</f>
        <v>0</v>
      </c>
      <c r="C347" s="23"/>
      <c r="D347" s="53">
        <f>+'Order Details Apr24 - Mar25'!T347</f>
        <v>0</v>
      </c>
      <c r="E347" s="25"/>
      <c r="F347" s="183">
        <f>+'Order Details Apr24 - Mar25'!D347</f>
        <v>0</v>
      </c>
      <c r="G347" s="184"/>
      <c r="H347" s="26">
        <f>+'Order Details Apr24 - Mar25'!G347</f>
        <v>0</v>
      </c>
      <c r="I347" s="27">
        <f>+'Order Details Apr24 - Mar25'!I347</f>
        <v>0</v>
      </c>
      <c r="J347" s="28"/>
      <c r="K347" s="185">
        <f>+'Order Details Apr24 - Mar25'!R347</f>
        <v>0</v>
      </c>
      <c r="L347" s="186"/>
      <c r="M347" s="187"/>
      <c r="N347" s="27">
        <f>+'Order Details Apr24 - Mar25'!F347*'Order Details Apr24 - Mar25'!N347</f>
        <v>0</v>
      </c>
      <c r="O347" s="25"/>
      <c r="P347" s="22"/>
      <c r="Q347" s="26"/>
      <c r="R347" s="82"/>
      <c r="S347" s="22">
        <f t="shared" si="6"/>
        <v>0</v>
      </c>
      <c r="T347" s="22"/>
      <c r="U347" s="31"/>
      <c r="V347" s="51"/>
    </row>
    <row r="348" spans="1:22" ht="20.100000000000001" customHeight="1" x14ac:dyDescent="0.3">
      <c r="A348" s="44">
        <v>340</v>
      </c>
      <c r="B348" s="22">
        <f>+'Order Details Apr24 - Mar25'!P348</f>
        <v>0</v>
      </c>
      <c r="C348" s="23"/>
      <c r="D348" s="53">
        <f>+'Order Details Apr24 - Mar25'!T348</f>
        <v>0</v>
      </c>
      <c r="E348" s="25"/>
      <c r="F348" s="183">
        <f>+'Order Details Apr24 - Mar25'!D348</f>
        <v>0</v>
      </c>
      <c r="G348" s="184"/>
      <c r="H348" s="26">
        <f>+'Order Details Apr24 - Mar25'!G348</f>
        <v>0</v>
      </c>
      <c r="I348" s="27">
        <f>+'Order Details Apr24 - Mar25'!I348</f>
        <v>0</v>
      </c>
      <c r="J348" s="28"/>
      <c r="K348" s="185">
        <f>+'Order Details Apr24 - Mar25'!R348</f>
        <v>0</v>
      </c>
      <c r="L348" s="186"/>
      <c r="M348" s="187"/>
      <c r="N348" s="27">
        <f>+'Order Details Apr24 - Mar25'!F348*'Order Details Apr24 - Mar25'!N348</f>
        <v>0</v>
      </c>
      <c r="O348" s="25"/>
      <c r="P348" s="22"/>
      <c r="Q348" s="26"/>
      <c r="R348" s="82"/>
      <c r="S348" s="22">
        <f t="shared" si="6"/>
        <v>0</v>
      </c>
      <c r="T348" s="22"/>
      <c r="U348" s="31"/>
      <c r="V348" s="51"/>
    </row>
    <row r="349" spans="1:22" ht="20.100000000000001" customHeight="1" x14ac:dyDescent="0.3">
      <c r="A349" s="44">
        <v>341</v>
      </c>
      <c r="B349" s="22">
        <f>+'Order Details Apr24 - Mar25'!P349</f>
        <v>0</v>
      </c>
      <c r="C349" s="23"/>
      <c r="D349" s="53">
        <f>+'Order Details Apr24 - Mar25'!T349</f>
        <v>0</v>
      </c>
      <c r="E349" s="25"/>
      <c r="F349" s="183">
        <f>+'Order Details Apr24 - Mar25'!D349</f>
        <v>0</v>
      </c>
      <c r="G349" s="184"/>
      <c r="H349" s="26">
        <f>+'Order Details Apr24 - Mar25'!G349</f>
        <v>0</v>
      </c>
      <c r="I349" s="27">
        <f>+'Order Details Apr24 - Mar25'!I349</f>
        <v>0</v>
      </c>
      <c r="J349" s="28"/>
      <c r="K349" s="185">
        <f>+'Order Details Apr24 - Mar25'!R349</f>
        <v>0</v>
      </c>
      <c r="L349" s="186"/>
      <c r="M349" s="187"/>
      <c r="N349" s="27">
        <f>+'Order Details Apr24 - Mar25'!F349*'Order Details Apr24 - Mar25'!N349</f>
        <v>0</v>
      </c>
      <c r="O349" s="25"/>
      <c r="P349" s="22"/>
      <c r="Q349" s="26"/>
      <c r="R349" s="82"/>
      <c r="S349" s="22">
        <f t="shared" si="6"/>
        <v>0</v>
      </c>
      <c r="T349" s="22"/>
      <c r="U349" s="31"/>
      <c r="V349" s="51"/>
    </row>
    <row r="350" spans="1:22" ht="20.100000000000001" customHeight="1" x14ac:dyDescent="0.3">
      <c r="A350" s="44">
        <v>342</v>
      </c>
      <c r="B350" s="22">
        <f>+'Order Details Apr24 - Mar25'!P350</f>
        <v>0</v>
      </c>
      <c r="C350" s="23"/>
      <c r="D350" s="53">
        <f>+'Order Details Apr24 - Mar25'!T350</f>
        <v>0</v>
      </c>
      <c r="E350" s="25"/>
      <c r="F350" s="183">
        <f>+'Order Details Apr24 - Mar25'!D350</f>
        <v>0</v>
      </c>
      <c r="G350" s="184"/>
      <c r="H350" s="26">
        <f>+'Order Details Apr24 - Mar25'!G350</f>
        <v>0</v>
      </c>
      <c r="I350" s="27">
        <f>+'Order Details Apr24 - Mar25'!I350</f>
        <v>0</v>
      </c>
      <c r="J350" s="28"/>
      <c r="K350" s="185">
        <f>+'Order Details Apr24 - Mar25'!R350</f>
        <v>0</v>
      </c>
      <c r="L350" s="186"/>
      <c r="M350" s="187"/>
      <c r="N350" s="27">
        <f>+'Order Details Apr24 - Mar25'!F350*'Order Details Apr24 - Mar25'!N350</f>
        <v>0</v>
      </c>
      <c r="O350" s="25"/>
      <c r="P350" s="22"/>
      <c r="Q350" s="26"/>
      <c r="R350" s="82"/>
      <c r="S350" s="22">
        <f t="shared" si="6"/>
        <v>0</v>
      </c>
      <c r="T350" s="22"/>
      <c r="U350" s="31"/>
      <c r="V350" s="51"/>
    </row>
    <row r="351" spans="1:22" x14ac:dyDescent="0.3">
      <c r="Q351" s="26"/>
    </row>
  </sheetData>
  <autoFilter ref="D1:D351"/>
  <mergeCells count="690">
    <mergeCell ref="S3:U3"/>
    <mergeCell ref="F5:I5"/>
    <mergeCell ref="K5:N5"/>
    <mergeCell ref="P5:U5"/>
    <mergeCell ref="F7:G7"/>
    <mergeCell ref="K7:M7"/>
    <mergeCell ref="F12:G12"/>
    <mergeCell ref="K12:M12"/>
    <mergeCell ref="F13:G13"/>
    <mergeCell ref="K13:M13"/>
    <mergeCell ref="F14:G14"/>
    <mergeCell ref="K14:M14"/>
    <mergeCell ref="F9:G9"/>
    <mergeCell ref="K9:M9"/>
    <mergeCell ref="F10:G10"/>
    <mergeCell ref="K10:M10"/>
    <mergeCell ref="F11:G11"/>
    <mergeCell ref="K11:M11"/>
    <mergeCell ref="F18:G18"/>
    <mergeCell ref="K18:M18"/>
    <mergeCell ref="F19:G19"/>
    <mergeCell ref="K19:M19"/>
    <mergeCell ref="F20:G20"/>
    <mergeCell ref="K20:M20"/>
    <mergeCell ref="F15:G15"/>
    <mergeCell ref="K15:M15"/>
    <mergeCell ref="F16:G16"/>
    <mergeCell ref="K16:M16"/>
    <mergeCell ref="F17:G17"/>
    <mergeCell ref="K17:M17"/>
    <mergeCell ref="F24:G24"/>
    <mergeCell ref="K24:M24"/>
    <mergeCell ref="F25:G25"/>
    <mergeCell ref="K25:M25"/>
    <mergeCell ref="F26:G26"/>
    <mergeCell ref="K26:M26"/>
    <mergeCell ref="F21:G21"/>
    <mergeCell ref="K21:M21"/>
    <mergeCell ref="F22:G22"/>
    <mergeCell ref="K22:M22"/>
    <mergeCell ref="F23:G23"/>
    <mergeCell ref="K23:M23"/>
    <mergeCell ref="F30:G30"/>
    <mergeCell ref="K30:M30"/>
    <mergeCell ref="F31:G31"/>
    <mergeCell ref="K31:M31"/>
    <mergeCell ref="F32:G32"/>
    <mergeCell ref="K32:M32"/>
    <mergeCell ref="F27:G27"/>
    <mergeCell ref="K27:M27"/>
    <mergeCell ref="F28:G28"/>
    <mergeCell ref="K28:M28"/>
    <mergeCell ref="F29:G29"/>
    <mergeCell ref="K29:M29"/>
    <mergeCell ref="F36:G36"/>
    <mergeCell ref="K36:M36"/>
    <mergeCell ref="F37:G37"/>
    <mergeCell ref="K37:M37"/>
    <mergeCell ref="F38:G38"/>
    <mergeCell ref="K38:M38"/>
    <mergeCell ref="F33:G33"/>
    <mergeCell ref="K33:M33"/>
    <mergeCell ref="F34:G34"/>
    <mergeCell ref="K34:M34"/>
    <mergeCell ref="F35:G35"/>
    <mergeCell ref="K35:M35"/>
    <mergeCell ref="F42:G42"/>
    <mergeCell ref="K42:M42"/>
    <mergeCell ref="F43:G43"/>
    <mergeCell ref="K43:M43"/>
    <mergeCell ref="F44:G44"/>
    <mergeCell ref="K44:M44"/>
    <mergeCell ref="F39:G39"/>
    <mergeCell ref="K39:M39"/>
    <mergeCell ref="F40:G40"/>
    <mergeCell ref="K40:M40"/>
    <mergeCell ref="F41:G41"/>
    <mergeCell ref="K41:M41"/>
    <mergeCell ref="F48:G48"/>
    <mergeCell ref="K48:M48"/>
    <mergeCell ref="F49:G49"/>
    <mergeCell ref="K49:M49"/>
    <mergeCell ref="F50:G50"/>
    <mergeCell ref="K50:M50"/>
    <mergeCell ref="F45:G45"/>
    <mergeCell ref="K45:M45"/>
    <mergeCell ref="F46:G46"/>
    <mergeCell ref="K46:M46"/>
    <mergeCell ref="F47:G47"/>
    <mergeCell ref="K47:M47"/>
    <mergeCell ref="F54:G54"/>
    <mergeCell ref="K54:M54"/>
    <mergeCell ref="F55:G55"/>
    <mergeCell ref="K55:M55"/>
    <mergeCell ref="F56:G56"/>
    <mergeCell ref="K56:M56"/>
    <mergeCell ref="F51:G51"/>
    <mergeCell ref="K51:M51"/>
    <mergeCell ref="F52:G52"/>
    <mergeCell ref="K52:M52"/>
    <mergeCell ref="F53:G53"/>
    <mergeCell ref="K53:M53"/>
    <mergeCell ref="F60:G60"/>
    <mergeCell ref="K60:M60"/>
    <mergeCell ref="F61:G61"/>
    <mergeCell ref="K61:M61"/>
    <mergeCell ref="F62:G62"/>
    <mergeCell ref="K62:M62"/>
    <mergeCell ref="F57:G57"/>
    <mergeCell ref="K57:M57"/>
    <mergeCell ref="F58:G58"/>
    <mergeCell ref="K58:M58"/>
    <mergeCell ref="F59:G59"/>
    <mergeCell ref="K59:M59"/>
    <mergeCell ref="F66:G66"/>
    <mergeCell ref="K66:M66"/>
    <mergeCell ref="F67:G67"/>
    <mergeCell ref="K67:M67"/>
    <mergeCell ref="F68:G68"/>
    <mergeCell ref="K68:M68"/>
    <mergeCell ref="F63:G63"/>
    <mergeCell ref="K63:M63"/>
    <mergeCell ref="F64:G64"/>
    <mergeCell ref="K64:M64"/>
    <mergeCell ref="F65:G65"/>
    <mergeCell ref="K65:M65"/>
    <mergeCell ref="F72:G72"/>
    <mergeCell ref="K72:M72"/>
    <mergeCell ref="F73:G73"/>
    <mergeCell ref="K73:M73"/>
    <mergeCell ref="F74:G74"/>
    <mergeCell ref="K74:M74"/>
    <mergeCell ref="F69:G69"/>
    <mergeCell ref="K69:M69"/>
    <mergeCell ref="F70:G70"/>
    <mergeCell ref="K70:M70"/>
    <mergeCell ref="F71:G71"/>
    <mergeCell ref="K71:M71"/>
    <mergeCell ref="F78:G78"/>
    <mergeCell ref="K78:M78"/>
    <mergeCell ref="F79:G79"/>
    <mergeCell ref="K79:M79"/>
    <mergeCell ref="F80:G80"/>
    <mergeCell ref="K80:M80"/>
    <mergeCell ref="F75:G75"/>
    <mergeCell ref="K75:M75"/>
    <mergeCell ref="F76:G76"/>
    <mergeCell ref="K76:M76"/>
    <mergeCell ref="F77:G77"/>
    <mergeCell ref="K77:M77"/>
    <mergeCell ref="F84:G84"/>
    <mergeCell ref="K84:M84"/>
    <mergeCell ref="F85:G85"/>
    <mergeCell ref="K85:M85"/>
    <mergeCell ref="F86:G86"/>
    <mergeCell ref="K86:M86"/>
    <mergeCell ref="F81:G81"/>
    <mergeCell ref="K81:M81"/>
    <mergeCell ref="F82:G82"/>
    <mergeCell ref="K82:M82"/>
    <mergeCell ref="F83:G83"/>
    <mergeCell ref="K83:M83"/>
    <mergeCell ref="F90:G90"/>
    <mergeCell ref="K90:M90"/>
    <mergeCell ref="F91:G91"/>
    <mergeCell ref="K91:M91"/>
    <mergeCell ref="F92:G92"/>
    <mergeCell ref="K92:M92"/>
    <mergeCell ref="F87:G87"/>
    <mergeCell ref="K87:M87"/>
    <mergeCell ref="F88:G88"/>
    <mergeCell ref="K88:M88"/>
    <mergeCell ref="F89:G89"/>
    <mergeCell ref="K89:M89"/>
    <mergeCell ref="F96:G96"/>
    <mergeCell ref="K96:M96"/>
    <mergeCell ref="F97:G97"/>
    <mergeCell ref="K97:M97"/>
    <mergeCell ref="F98:G98"/>
    <mergeCell ref="K98:M98"/>
    <mergeCell ref="F93:G93"/>
    <mergeCell ref="K93:M93"/>
    <mergeCell ref="F94:G94"/>
    <mergeCell ref="K94:M94"/>
    <mergeCell ref="F95:G95"/>
    <mergeCell ref="K95:M95"/>
    <mergeCell ref="F102:G102"/>
    <mergeCell ref="K102:M102"/>
    <mergeCell ref="F103:G103"/>
    <mergeCell ref="K103:M103"/>
    <mergeCell ref="F104:G104"/>
    <mergeCell ref="K104:M104"/>
    <mergeCell ref="F99:G99"/>
    <mergeCell ref="K99:M99"/>
    <mergeCell ref="F100:G100"/>
    <mergeCell ref="K100:M100"/>
    <mergeCell ref="F101:G101"/>
    <mergeCell ref="K101:M101"/>
    <mergeCell ref="F108:G108"/>
    <mergeCell ref="K108:M108"/>
    <mergeCell ref="F109:G109"/>
    <mergeCell ref="K109:M109"/>
    <mergeCell ref="F110:G110"/>
    <mergeCell ref="K110:M110"/>
    <mergeCell ref="F105:G105"/>
    <mergeCell ref="K105:M105"/>
    <mergeCell ref="F106:G106"/>
    <mergeCell ref="K106:M106"/>
    <mergeCell ref="F107:G107"/>
    <mergeCell ref="K107:M107"/>
    <mergeCell ref="F114:G114"/>
    <mergeCell ref="K114:M114"/>
    <mergeCell ref="F115:G115"/>
    <mergeCell ref="K115:M115"/>
    <mergeCell ref="F116:G116"/>
    <mergeCell ref="K116:M116"/>
    <mergeCell ref="F111:G111"/>
    <mergeCell ref="K111:M111"/>
    <mergeCell ref="F112:G112"/>
    <mergeCell ref="K112:M112"/>
    <mergeCell ref="F113:G113"/>
    <mergeCell ref="K113:M113"/>
    <mergeCell ref="F120:G120"/>
    <mergeCell ref="K120:M120"/>
    <mergeCell ref="F121:G121"/>
    <mergeCell ref="K121:M121"/>
    <mergeCell ref="F122:G122"/>
    <mergeCell ref="K122:M122"/>
    <mergeCell ref="F117:G117"/>
    <mergeCell ref="K117:M117"/>
    <mergeCell ref="F118:G118"/>
    <mergeCell ref="K118:M118"/>
    <mergeCell ref="F119:G119"/>
    <mergeCell ref="K119:M119"/>
    <mergeCell ref="F126:G126"/>
    <mergeCell ref="K126:M126"/>
    <mergeCell ref="F127:G127"/>
    <mergeCell ref="K127:M127"/>
    <mergeCell ref="F128:G128"/>
    <mergeCell ref="K128:M128"/>
    <mergeCell ref="F123:G123"/>
    <mergeCell ref="K123:M123"/>
    <mergeCell ref="F124:G124"/>
    <mergeCell ref="K124:M124"/>
    <mergeCell ref="F125:G125"/>
    <mergeCell ref="K125:M125"/>
    <mergeCell ref="F132:G132"/>
    <mergeCell ref="K132:M132"/>
    <mergeCell ref="F133:G133"/>
    <mergeCell ref="K133:M133"/>
    <mergeCell ref="F134:G134"/>
    <mergeCell ref="K134:M134"/>
    <mergeCell ref="F129:G129"/>
    <mergeCell ref="K129:M129"/>
    <mergeCell ref="F130:G130"/>
    <mergeCell ref="K130:M130"/>
    <mergeCell ref="F131:G131"/>
    <mergeCell ref="K131:M131"/>
    <mergeCell ref="F138:G138"/>
    <mergeCell ref="K138:M138"/>
    <mergeCell ref="F139:G139"/>
    <mergeCell ref="K139:M139"/>
    <mergeCell ref="F140:G140"/>
    <mergeCell ref="K140:M140"/>
    <mergeCell ref="F135:G135"/>
    <mergeCell ref="K135:M135"/>
    <mergeCell ref="F136:G136"/>
    <mergeCell ref="K136:M136"/>
    <mergeCell ref="F137:G137"/>
    <mergeCell ref="K137:M137"/>
    <mergeCell ref="F144:G144"/>
    <mergeCell ref="K144:M144"/>
    <mergeCell ref="F145:G145"/>
    <mergeCell ref="K145:M145"/>
    <mergeCell ref="F146:G146"/>
    <mergeCell ref="K146:M146"/>
    <mergeCell ref="F141:G141"/>
    <mergeCell ref="K141:M141"/>
    <mergeCell ref="F142:G142"/>
    <mergeCell ref="K142:M142"/>
    <mergeCell ref="F143:G143"/>
    <mergeCell ref="K143:M143"/>
    <mergeCell ref="F150:G150"/>
    <mergeCell ref="K150:M150"/>
    <mergeCell ref="F151:G151"/>
    <mergeCell ref="K151:M151"/>
    <mergeCell ref="F152:G152"/>
    <mergeCell ref="K152:M152"/>
    <mergeCell ref="F147:G147"/>
    <mergeCell ref="K147:M147"/>
    <mergeCell ref="F148:G148"/>
    <mergeCell ref="K148:M148"/>
    <mergeCell ref="F149:G149"/>
    <mergeCell ref="K149:M149"/>
    <mergeCell ref="F156:G156"/>
    <mergeCell ref="K156:M156"/>
    <mergeCell ref="F157:G157"/>
    <mergeCell ref="K157:M157"/>
    <mergeCell ref="F158:G158"/>
    <mergeCell ref="K158:M158"/>
    <mergeCell ref="F153:G153"/>
    <mergeCell ref="K153:M153"/>
    <mergeCell ref="F154:G154"/>
    <mergeCell ref="K154:M154"/>
    <mergeCell ref="F155:G155"/>
    <mergeCell ref="K155:M155"/>
    <mergeCell ref="F162:G162"/>
    <mergeCell ref="K162:M162"/>
    <mergeCell ref="F163:G163"/>
    <mergeCell ref="K163:M163"/>
    <mergeCell ref="F164:G164"/>
    <mergeCell ref="K164:M164"/>
    <mergeCell ref="F159:G159"/>
    <mergeCell ref="K159:M159"/>
    <mergeCell ref="F160:G160"/>
    <mergeCell ref="K160:M160"/>
    <mergeCell ref="F161:G161"/>
    <mergeCell ref="K161:M161"/>
    <mergeCell ref="F168:G168"/>
    <mergeCell ref="K168:M168"/>
    <mergeCell ref="F169:G169"/>
    <mergeCell ref="K169:M169"/>
    <mergeCell ref="F170:G170"/>
    <mergeCell ref="K170:M170"/>
    <mergeCell ref="F165:G165"/>
    <mergeCell ref="K165:M165"/>
    <mergeCell ref="F166:G166"/>
    <mergeCell ref="K166:M166"/>
    <mergeCell ref="F167:G167"/>
    <mergeCell ref="K167:M167"/>
    <mergeCell ref="F174:G174"/>
    <mergeCell ref="K174:M174"/>
    <mergeCell ref="F175:G175"/>
    <mergeCell ref="K175:M175"/>
    <mergeCell ref="F176:G176"/>
    <mergeCell ref="K176:M176"/>
    <mergeCell ref="F171:G171"/>
    <mergeCell ref="K171:M171"/>
    <mergeCell ref="F172:G172"/>
    <mergeCell ref="K172:M172"/>
    <mergeCell ref="F173:G173"/>
    <mergeCell ref="K173:M173"/>
    <mergeCell ref="F180:G180"/>
    <mergeCell ref="K180:M180"/>
    <mergeCell ref="F181:G181"/>
    <mergeCell ref="K181:M181"/>
    <mergeCell ref="F182:G182"/>
    <mergeCell ref="K182:M182"/>
    <mergeCell ref="F177:G177"/>
    <mergeCell ref="K177:M177"/>
    <mergeCell ref="F178:G178"/>
    <mergeCell ref="K178:M178"/>
    <mergeCell ref="F179:G179"/>
    <mergeCell ref="K179:M179"/>
    <mergeCell ref="F186:G186"/>
    <mergeCell ref="K186:M186"/>
    <mergeCell ref="F187:G187"/>
    <mergeCell ref="K187:M187"/>
    <mergeCell ref="F188:G188"/>
    <mergeCell ref="K188:M188"/>
    <mergeCell ref="F183:G183"/>
    <mergeCell ref="K183:M183"/>
    <mergeCell ref="F184:G184"/>
    <mergeCell ref="K184:M184"/>
    <mergeCell ref="F185:G185"/>
    <mergeCell ref="K185:M185"/>
    <mergeCell ref="F192:G192"/>
    <mergeCell ref="K192:M192"/>
    <mergeCell ref="F193:G193"/>
    <mergeCell ref="K193:M193"/>
    <mergeCell ref="F194:G194"/>
    <mergeCell ref="K194:M194"/>
    <mergeCell ref="F189:G189"/>
    <mergeCell ref="K189:M189"/>
    <mergeCell ref="F190:G190"/>
    <mergeCell ref="K190:M190"/>
    <mergeCell ref="F191:G191"/>
    <mergeCell ref="K191:M191"/>
    <mergeCell ref="F198:G198"/>
    <mergeCell ref="K198:M198"/>
    <mergeCell ref="F199:G199"/>
    <mergeCell ref="K199:M199"/>
    <mergeCell ref="F200:G200"/>
    <mergeCell ref="K200:M200"/>
    <mergeCell ref="F195:G195"/>
    <mergeCell ref="K195:M195"/>
    <mergeCell ref="F196:G196"/>
    <mergeCell ref="K196:M196"/>
    <mergeCell ref="F197:G197"/>
    <mergeCell ref="K197:M197"/>
    <mergeCell ref="F204:G204"/>
    <mergeCell ref="K204:M204"/>
    <mergeCell ref="F205:G205"/>
    <mergeCell ref="K205:M205"/>
    <mergeCell ref="F206:G206"/>
    <mergeCell ref="K206:M206"/>
    <mergeCell ref="F201:G201"/>
    <mergeCell ref="K201:M201"/>
    <mergeCell ref="F202:G202"/>
    <mergeCell ref="K202:M202"/>
    <mergeCell ref="F203:G203"/>
    <mergeCell ref="K203:M203"/>
    <mergeCell ref="F210:G210"/>
    <mergeCell ref="K210:M210"/>
    <mergeCell ref="F211:G211"/>
    <mergeCell ref="K211:M211"/>
    <mergeCell ref="F212:G212"/>
    <mergeCell ref="K212:M212"/>
    <mergeCell ref="F207:G207"/>
    <mergeCell ref="K207:M207"/>
    <mergeCell ref="F208:G208"/>
    <mergeCell ref="K208:M208"/>
    <mergeCell ref="F209:G209"/>
    <mergeCell ref="K209:M209"/>
    <mergeCell ref="F216:G216"/>
    <mergeCell ref="K216:M216"/>
    <mergeCell ref="F217:G217"/>
    <mergeCell ref="K217:M217"/>
    <mergeCell ref="F218:G218"/>
    <mergeCell ref="K218:M218"/>
    <mergeCell ref="F213:G213"/>
    <mergeCell ref="K213:M213"/>
    <mergeCell ref="F214:G214"/>
    <mergeCell ref="K214:M214"/>
    <mergeCell ref="F215:G215"/>
    <mergeCell ref="K215:M215"/>
    <mergeCell ref="F222:G222"/>
    <mergeCell ref="K222:M222"/>
    <mergeCell ref="F223:G223"/>
    <mergeCell ref="K223:M223"/>
    <mergeCell ref="F224:G224"/>
    <mergeCell ref="K224:M224"/>
    <mergeCell ref="F219:G219"/>
    <mergeCell ref="K219:M219"/>
    <mergeCell ref="F220:G220"/>
    <mergeCell ref="K220:M220"/>
    <mergeCell ref="F221:G221"/>
    <mergeCell ref="K221:M221"/>
    <mergeCell ref="F228:G228"/>
    <mergeCell ref="K228:M228"/>
    <mergeCell ref="F229:G229"/>
    <mergeCell ref="K229:M229"/>
    <mergeCell ref="F230:G230"/>
    <mergeCell ref="K230:M230"/>
    <mergeCell ref="F225:G225"/>
    <mergeCell ref="K225:M225"/>
    <mergeCell ref="F226:G226"/>
    <mergeCell ref="K226:M226"/>
    <mergeCell ref="F227:G227"/>
    <mergeCell ref="K227:M227"/>
    <mergeCell ref="F234:G234"/>
    <mergeCell ref="K234:M234"/>
    <mergeCell ref="F235:G235"/>
    <mergeCell ref="K235:M235"/>
    <mergeCell ref="F236:G236"/>
    <mergeCell ref="K236:M236"/>
    <mergeCell ref="F231:G231"/>
    <mergeCell ref="K231:M231"/>
    <mergeCell ref="F232:G232"/>
    <mergeCell ref="K232:M232"/>
    <mergeCell ref="F233:G233"/>
    <mergeCell ref="K233:M233"/>
    <mergeCell ref="F240:G240"/>
    <mergeCell ref="K240:M240"/>
    <mergeCell ref="F241:G241"/>
    <mergeCell ref="K241:M241"/>
    <mergeCell ref="F242:G242"/>
    <mergeCell ref="K242:M242"/>
    <mergeCell ref="F237:G237"/>
    <mergeCell ref="K237:M237"/>
    <mergeCell ref="F238:G238"/>
    <mergeCell ref="K238:M238"/>
    <mergeCell ref="F239:G239"/>
    <mergeCell ref="K239:M239"/>
    <mergeCell ref="F246:G246"/>
    <mergeCell ref="K246:M246"/>
    <mergeCell ref="F247:G247"/>
    <mergeCell ref="K247:M247"/>
    <mergeCell ref="F248:G248"/>
    <mergeCell ref="K248:M248"/>
    <mergeCell ref="F243:G243"/>
    <mergeCell ref="K243:M243"/>
    <mergeCell ref="F244:G244"/>
    <mergeCell ref="K244:M244"/>
    <mergeCell ref="F245:G245"/>
    <mergeCell ref="K245:M245"/>
    <mergeCell ref="F252:G252"/>
    <mergeCell ref="K252:M252"/>
    <mergeCell ref="F253:G253"/>
    <mergeCell ref="K253:M253"/>
    <mergeCell ref="F254:G254"/>
    <mergeCell ref="K254:M254"/>
    <mergeCell ref="F249:G249"/>
    <mergeCell ref="K249:M249"/>
    <mergeCell ref="F250:G250"/>
    <mergeCell ref="K250:M250"/>
    <mergeCell ref="F251:G251"/>
    <mergeCell ref="K251:M251"/>
    <mergeCell ref="F258:G258"/>
    <mergeCell ref="K258:M258"/>
    <mergeCell ref="F259:G259"/>
    <mergeCell ref="K259:M259"/>
    <mergeCell ref="F260:G260"/>
    <mergeCell ref="K260:M260"/>
    <mergeCell ref="F255:G255"/>
    <mergeCell ref="K255:M255"/>
    <mergeCell ref="F256:G256"/>
    <mergeCell ref="K256:M256"/>
    <mergeCell ref="F257:G257"/>
    <mergeCell ref="K257:M257"/>
    <mergeCell ref="F264:G264"/>
    <mergeCell ref="K264:M264"/>
    <mergeCell ref="F265:G265"/>
    <mergeCell ref="K265:M265"/>
    <mergeCell ref="F266:G266"/>
    <mergeCell ref="K266:M266"/>
    <mergeCell ref="F261:G261"/>
    <mergeCell ref="K261:M261"/>
    <mergeCell ref="F262:G262"/>
    <mergeCell ref="K262:M262"/>
    <mergeCell ref="F263:G263"/>
    <mergeCell ref="K263:M263"/>
    <mergeCell ref="F270:G270"/>
    <mergeCell ref="K270:M270"/>
    <mergeCell ref="F271:G271"/>
    <mergeCell ref="K271:M271"/>
    <mergeCell ref="F272:G272"/>
    <mergeCell ref="K272:M272"/>
    <mergeCell ref="F267:G267"/>
    <mergeCell ref="K267:M267"/>
    <mergeCell ref="F268:G268"/>
    <mergeCell ref="K268:M268"/>
    <mergeCell ref="F269:G269"/>
    <mergeCell ref="K269:M269"/>
    <mergeCell ref="F276:G276"/>
    <mergeCell ref="K276:M276"/>
    <mergeCell ref="F277:G277"/>
    <mergeCell ref="K277:M277"/>
    <mergeCell ref="F278:G278"/>
    <mergeCell ref="K278:M278"/>
    <mergeCell ref="F273:G273"/>
    <mergeCell ref="K273:M273"/>
    <mergeCell ref="F274:G274"/>
    <mergeCell ref="K274:M274"/>
    <mergeCell ref="F275:G275"/>
    <mergeCell ref="K275:M275"/>
    <mergeCell ref="F282:G282"/>
    <mergeCell ref="K282:M282"/>
    <mergeCell ref="F283:G283"/>
    <mergeCell ref="K283:M283"/>
    <mergeCell ref="F284:G284"/>
    <mergeCell ref="K284:M284"/>
    <mergeCell ref="F279:G279"/>
    <mergeCell ref="K279:M279"/>
    <mergeCell ref="F280:G280"/>
    <mergeCell ref="K280:M280"/>
    <mergeCell ref="F281:G281"/>
    <mergeCell ref="K281:M281"/>
    <mergeCell ref="F288:G288"/>
    <mergeCell ref="K288:M288"/>
    <mergeCell ref="F289:G289"/>
    <mergeCell ref="K289:M289"/>
    <mergeCell ref="F290:G290"/>
    <mergeCell ref="K290:M290"/>
    <mergeCell ref="F285:G285"/>
    <mergeCell ref="K285:M285"/>
    <mergeCell ref="F286:G286"/>
    <mergeCell ref="K286:M286"/>
    <mergeCell ref="F287:G287"/>
    <mergeCell ref="K287:M287"/>
    <mergeCell ref="F294:G294"/>
    <mergeCell ref="K294:M294"/>
    <mergeCell ref="F295:G295"/>
    <mergeCell ref="K295:M295"/>
    <mergeCell ref="F296:G296"/>
    <mergeCell ref="K296:M296"/>
    <mergeCell ref="F291:G291"/>
    <mergeCell ref="K291:M291"/>
    <mergeCell ref="F292:G292"/>
    <mergeCell ref="K292:M292"/>
    <mergeCell ref="F293:G293"/>
    <mergeCell ref="K293:M293"/>
    <mergeCell ref="F300:G300"/>
    <mergeCell ref="K300:M300"/>
    <mergeCell ref="F301:G301"/>
    <mergeCell ref="K301:M301"/>
    <mergeCell ref="F302:G302"/>
    <mergeCell ref="K302:M302"/>
    <mergeCell ref="F297:G297"/>
    <mergeCell ref="K297:M297"/>
    <mergeCell ref="F298:G298"/>
    <mergeCell ref="K298:M298"/>
    <mergeCell ref="F299:G299"/>
    <mergeCell ref="K299:M299"/>
    <mergeCell ref="F306:G306"/>
    <mergeCell ref="K306:M306"/>
    <mergeCell ref="F307:G307"/>
    <mergeCell ref="K307:M307"/>
    <mergeCell ref="F308:G308"/>
    <mergeCell ref="K308:M308"/>
    <mergeCell ref="F303:G303"/>
    <mergeCell ref="K303:M303"/>
    <mergeCell ref="F304:G304"/>
    <mergeCell ref="K304:M304"/>
    <mergeCell ref="F305:G305"/>
    <mergeCell ref="K305:M305"/>
    <mergeCell ref="F312:G312"/>
    <mergeCell ref="K312:M312"/>
    <mergeCell ref="F313:G313"/>
    <mergeCell ref="K313:M313"/>
    <mergeCell ref="F314:G314"/>
    <mergeCell ref="K314:M314"/>
    <mergeCell ref="F309:G309"/>
    <mergeCell ref="K309:M309"/>
    <mergeCell ref="F310:G310"/>
    <mergeCell ref="K310:M310"/>
    <mergeCell ref="F311:G311"/>
    <mergeCell ref="K311:M311"/>
    <mergeCell ref="F318:G318"/>
    <mergeCell ref="K318:M318"/>
    <mergeCell ref="F319:G319"/>
    <mergeCell ref="K319:M319"/>
    <mergeCell ref="F320:G320"/>
    <mergeCell ref="K320:M320"/>
    <mergeCell ref="F315:G315"/>
    <mergeCell ref="K315:M315"/>
    <mergeCell ref="F316:G316"/>
    <mergeCell ref="K316:M316"/>
    <mergeCell ref="F317:G317"/>
    <mergeCell ref="K317:M317"/>
    <mergeCell ref="F324:G324"/>
    <mergeCell ref="K324:M324"/>
    <mergeCell ref="F325:G325"/>
    <mergeCell ref="K325:M325"/>
    <mergeCell ref="F326:G326"/>
    <mergeCell ref="K326:M326"/>
    <mergeCell ref="F321:G321"/>
    <mergeCell ref="K321:M321"/>
    <mergeCell ref="F322:G322"/>
    <mergeCell ref="K322:M322"/>
    <mergeCell ref="F323:G323"/>
    <mergeCell ref="K323:M323"/>
    <mergeCell ref="F330:G330"/>
    <mergeCell ref="K330:M330"/>
    <mergeCell ref="F331:G331"/>
    <mergeCell ref="K331:M331"/>
    <mergeCell ref="F332:G332"/>
    <mergeCell ref="K332:M332"/>
    <mergeCell ref="F327:G327"/>
    <mergeCell ref="K327:M327"/>
    <mergeCell ref="F328:G328"/>
    <mergeCell ref="K328:M328"/>
    <mergeCell ref="F329:G329"/>
    <mergeCell ref="K329:M329"/>
    <mergeCell ref="F336:G336"/>
    <mergeCell ref="K336:M336"/>
    <mergeCell ref="F337:G337"/>
    <mergeCell ref="K337:M337"/>
    <mergeCell ref="F338:G338"/>
    <mergeCell ref="K338:M338"/>
    <mergeCell ref="F333:G333"/>
    <mergeCell ref="K333:M333"/>
    <mergeCell ref="F334:G334"/>
    <mergeCell ref="K334:M334"/>
    <mergeCell ref="F335:G335"/>
    <mergeCell ref="K335:M335"/>
    <mergeCell ref="F342:G342"/>
    <mergeCell ref="K342:M342"/>
    <mergeCell ref="F343:G343"/>
    <mergeCell ref="K343:M343"/>
    <mergeCell ref="F344:G344"/>
    <mergeCell ref="K344:M344"/>
    <mergeCell ref="F339:G339"/>
    <mergeCell ref="K339:M339"/>
    <mergeCell ref="F340:G340"/>
    <mergeCell ref="K340:M340"/>
    <mergeCell ref="F341:G341"/>
    <mergeCell ref="K341:M341"/>
    <mergeCell ref="F348:G348"/>
    <mergeCell ref="K348:M348"/>
    <mergeCell ref="F349:G349"/>
    <mergeCell ref="K349:M349"/>
    <mergeCell ref="F350:G350"/>
    <mergeCell ref="K350:M350"/>
    <mergeCell ref="F345:G345"/>
    <mergeCell ref="K345:M345"/>
    <mergeCell ref="F346:G346"/>
    <mergeCell ref="K346:M346"/>
    <mergeCell ref="F347:G347"/>
    <mergeCell ref="K347:M3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2:U300"/>
  <sheetViews>
    <sheetView topLeftCell="B1" workbookViewId="0">
      <pane ySplit="7" topLeftCell="A8" activePane="bottomLeft" state="frozen"/>
      <selection pane="bottomLeft" activeCell="D10" sqref="D10"/>
    </sheetView>
  </sheetViews>
  <sheetFormatPr defaultRowHeight="16.5" x14ac:dyDescent="0.3"/>
  <cols>
    <col min="1" max="1" width="4.140625" style="45" customWidth="1"/>
    <col min="2" max="2" width="10.5703125" style="35" customWidth="1"/>
    <col min="3" max="3" width="2.85546875" style="156" customWidth="1"/>
    <col min="4" max="4" width="29" style="35" customWidth="1"/>
    <col min="5" max="5" width="3.140625" style="149" customWidth="1"/>
    <col min="6" max="6" width="9.140625" style="35" customWidth="1"/>
    <col min="7" max="7" width="6.42578125" style="35" customWidth="1"/>
    <col min="8" max="8" width="7.85546875" style="35" customWidth="1"/>
    <col min="9" max="9" width="7.5703125" style="116" customWidth="1"/>
    <col min="10" max="10" width="2.85546875" style="153" customWidth="1"/>
    <col min="11" max="11" width="8.5703125" style="35" customWidth="1"/>
    <col min="12" max="12" width="6.85546875" style="35" customWidth="1"/>
    <col min="13" max="13" width="7.5703125" style="35" customWidth="1"/>
    <col min="14" max="14" width="10" style="35" customWidth="1"/>
    <col min="15" max="15" width="3.5703125" style="35" customWidth="1"/>
    <col min="16" max="16" width="10.7109375" style="38" customWidth="1"/>
    <col min="17" max="17" width="3" style="35" customWidth="1"/>
    <col min="18" max="18" width="19.5703125" style="38" customWidth="1"/>
    <col min="19" max="19" width="3.140625" style="35" customWidth="1"/>
    <col min="20" max="20" width="28" style="35" customWidth="1"/>
    <col min="21" max="21" width="3.42578125" style="35" customWidth="1"/>
    <col min="22" max="16384" width="9.140625" style="35"/>
  </cols>
  <sheetData>
    <row r="2" spans="1:21" x14ac:dyDescent="0.3">
      <c r="A2" s="43"/>
      <c r="B2" s="2"/>
      <c r="C2" s="154"/>
      <c r="D2" s="1"/>
      <c r="E2" s="146"/>
      <c r="F2" s="1"/>
      <c r="G2" s="1"/>
      <c r="H2" s="1"/>
      <c r="I2" s="114"/>
      <c r="J2" s="150"/>
      <c r="K2" s="3"/>
      <c r="L2" s="4"/>
      <c r="M2" s="5"/>
      <c r="N2" s="5"/>
      <c r="O2" s="1"/>
      <c r="P2" s="34"/>
      <c r="Q2" s="1"/>
      <c r="R2" s="86"/>
      <c r="S2" s="1"/>
      <c r="T2" s="1"/>
      <c r="U2" s="1"/>
    </row>
    <row r="3" spans="1:21" ht="20.100000000000001" hidden="1" customHeight="1" thickBot="1" x14ac:dyDescent="0.35">
      <c r="A3" s="43"/>
      <c r="B3" s="135" t="s">
        <v>15</v>
      </c>
      <c r="C3" s="154"/>
      <c r="D3" s="51"/>
      <c r="E3" s="146"/>
      <c r="F3" s="51"/>
      <c r="G3" s="203" t="s">
        <v>34</v>
      </c>
      <c r="H3" s="203"/>
      <c r="I3" s="203"/>
      <c r="J3" s="203"/>
      <c r="K3" s="203"/>
      <c r="L3" s="203"/>
      <c r="M3" s="203"/>
      <c r="N3" s="203"/>
      <c r="O3" s="203"/>
      <c r="P3" s="203"/>
      <c r="Q3" s="37"/>
      <c r="R3" s="56"/>
      <c r="S3" s="159"/>
      <c r="T3" s="160" t="s">
        <v>1201</v>
      </c>
      <c r="U3" s="60"/>
    </row>
    <row r="4" spans="1:21" hidden="1" x14ac:dyDescent="0.3">
      <c r="A4" s="43"/>
      <c r="B4" s="2"/>
      <c r="C4" s="154"/>
      <c r="D4" s="1"/>
      <c r="E4" s="146"/>
      <c r="F4" s="1"/>
      <c r="G4" s="1"/>
      <c r="H4" s="6"/>
      <c r="I4" s="113"/>
      <c r="J4" s="150"/>
      <c r="K4" s="3"/>
      <c r="L4" s="4"/>
      <c r="M4" s="5"/>
      <c r="N4" s="5"/>
      <c r="O4" s="1"/>
      <c r="P4" s="34"/>
      <c r="Q4" s="1"/>
      <c r="R4" s="86"/>
      <c r="S4" s="1"/>
      <c r="T4" s="1"/>
      <c r="U4" s="1"/>
    </row>
    <row r="5" spans="1:21" ht="30" hidden="1" customHeight="1" thickBot="1" x14ac:dyDescent="0.35">
      <c r="A5" s="43"/>
      <c r="B5" s="127" t="s">
        <v>0</v>
      </c>
      <c r="C5" s="147"/>
      <c r="D5" s="134" t="s">
        <v>936</v>
      </c>
      <c r="E5" s="147"/>
      <c r="F5" s="194" t="s">
        <v>76</v>
      </c>
      <c r="G5" s="195"/>
      <c r="H5" s="195"/>
      <c r="I5" s="196"/>
      <c r="J5" s="151"/>
      <c r="K5" s="197" t="s">
        <v>78</v>
      </c>
      <c r="L5" s="198"/>
      <c r="M5" s="198"/>
      <c r="N5" s="199"/>
      <c r="O5" s="7"/>
      <c r="P5" s="200" t="s">
        <v>77</v>
      </c>
      <c r="Q5" s="201"/>
      <c r="R5" s="201"/>
      <c r="S5" s="201"/>
      <c r="T5" s="202"/>
      <c r="U5" s="7"/>
    </row>
    <row r="6" spans="1:21" hidden="1" x14ac:dyDescent="0.3">
      <c r="A6" s="43"/>
      <c r="B6" s="2"/>
      <c r="C6" s="154"/>
      <c r="D6" s="1"/>
      <c r="E6" s="146"/>
      <c r="F6" s="10"/>
      <c r="G6" s="10"/>
      <c r="H6" s="1"/>
      <c r="I6" s="114"/>
      <c r="J6" s="150"/>
      <c r="K6" s="3"/>
      <c r="L6" s="4"/>
      <c r="M6" s="5"/>
      <c r="N6" s="5"/>
      <c r="O6" s="1"/>
      <c r="P6" s="34"/>
      <c r="Q6" s="1"/>
      <c r="R6" s="86"/>
      <c r="S6" s="1"/>
      <c r="T6" s="1"/>
      <c r="U6" s="1"/>
    </row>
    <row r="7" spans="1:21" ht="30" hidden="1" customHeight="1" thickBot="1" x14ac:dyDescent="0.35">
      <c r="A7" s="44"/>
      <c r="B7" s="121" t="s">
        <v>1</v>
      </c>
      <c r="C7" s="152"/>
      <c r="D7" s="122" t="s">
        <v>935</v>
      </c>
      <c r="E7" s="147"/>
      <c r="F7" s="129" t="s">
        <v>3</v>
      </c>
      <c r="G7" s="123" t="s">
        <v>5</v>
      </c>
      <c r="H7" s="123" t="s">
        <v>6</v>
      </c>
      <c r="I7" s="124" t="s">
        <v>4</v>
      </c>
      <c r="J7" s="152"/>
      <c r="K7" s="130" t="s">
        <v>7</v>
      </c>
      <c r="L7" s="131" t="s">
        <v>8</v>
      </c>
      <c r="M7" s="132" t="s">
        <v>9</v>
      </c>
      <c r="N7" s="133" t="s">
        <v>31</v>
      </c>
      <c r="O7" s="11"/>
      <c r="P7" s="121" t="s">
        <v>10</v>
      </c>
      <c r="Q7" s="11"/>
      <c r="R7" s="122" t="s">
        <v>938</v>
      </c>
      <c r="S7" s="46"/>
      <c r="T7" s="122" t="s">
        <v>12</v>
      </c>
      <c r="U7" s="11"/>
    </row>
    <row r="8" spans="1:21" hidden="1" x14ac:dyDescent="0.3">
      <c r="A8" s="43"/>
      <c r="B8" s="2"/>
      <c r="C8" s="154"/>
      <c r="D8" s="1"/>
      <c r="E8" s="146"/>
      <c r="F8" s="1"/>
      <c r="G8" s="1"/>
      <c r="H8" s="1"/>
      <c r="I8" s="114"/>
      <c r="J8" s="150"/>
      <c r="K8" s="3"/>
      <c r="L8" s="4"/>
      <c r="M8" s="5"/>
      <c r="N8" s="5"/>
      <c r="O8" s="1"/>
      <c r="P8" s="34"/>
      <c r="Q8" s="1"/>
      <c r="R8" s="86"/>
      <c r="S8" s="1"/>
      <c r="T8" s="1"/>
      <c r="U8" s="1"/>
    </row>
    <row r="9" spans="1:21" ht="20.100000000000001" hidden="1" customHeight="1" x14ac:dyDescent="0.3">
      <c r="A9" s="44">
        <v>1</v>
      </c>
      <c r="B9" s="112" t="s">
        <v>16</v>
      </c>
      <c r="C9" s="145"/>
      <c r="D9" s="33" t="s">
        <v>947</v>
      </c>
      <c r="E9" s="145"/>
      <c r="F9" s="83"/>
      <c r="G9" s="83"/>
      <c r="H9" s="83"/>
      <c r="I9" s="115"/>
      <c r="J9" s="151"/>
      <c r="K9" s="162"/>
      <c r="L9" s="163"/>
      <c r="M9" s="164">
        <f t="shared" ref="M9:M72" si="0">K9*L9</f>
        <v>0</v>
      </c>
      <c r="N9" s="164">
        <f t="shared" ref="N9:N72" si="1">K9+M9</f>
        <v>0</v>
      </c>
      <c r="O9" s="165"/>
      <c r="P9" s="68"/>
      <c r="Q9" s="165"/>
      <c r="R9" s="62" t="s">
        <v>970</v>
      </c>
      <c r="S9" s="166"/>
      <c r="T9" s="33" t="s">
        <v>947</v>
      </c>
      <c r="U9" s="21"/>
    </row>
    <row r="10" spans="1:21" ht="20.100000000000001" hidden="1" customHeight="1" x14ac:dyDescent="0.3">
      <c r="A10" s="44">
        <v>2</v>
      </c>
      <c r="B10" s="78">
        <v>45756</v>
      </c>
      <c r="C10" s="145"/>
      <c r="D10" s="80" t="s">
        <v>305</v>
      </c>
      <c r="E10" s="148"/>
      <c r="F10" s="82">
        <v>100</v>
      </c>
      <c r="G10" s="82">
        <v>1000</v>
      </c>
      <c r="H10" s="82">
        <f t="shared" ref="H10:H73" si="2">F10*G10</f>
        <v>100000</v>
      </c>
      <c r="I10" s="115" t="s">
        <v>51</v>
      </c>
      <c r="J10" s="151"/>
      <c r="K10" s="29">
        <v>6982</v>
      </c>
      <c r="L10" s="30">
        <v>0.05</v>
      </c>
      <c r="M10" s="31">
        <f t="shared" si="0"/>
        <v>349.1</v>
      </c>
      <c r="N10" s="31">
        <f t="shared" si="1"/>
        <v>7331.1</v>
      </c>
      <c r="O10" s="25"/>
      <c r="P10" s="22">
        <v>45757</v>
      </c>
      <c r="Q10" s="25"/>
      <c r="R10" s="26" t="s">
        <v>971</v>
      </c>
      <c r="S10" s="21"/>
      <c r="T10" s="32" t="s">
        <v>609</v>
      </c>
      <c r="U10" s="21"/>
    </row>
    <row r="11" spans="1:21" ht="20.100000000000001" hidden="1" customHeight="1" x14ac:dyDescent="0.3">
      <c r="A11" s="44">
        <v>3</v>
      </c>
      <c r="B11" s="78">
        <v>45756</v>
      </c>
      <c r="C11" s="145"/>
      <c r="D11" s="80" t="s">
        <v>863</v>
      </c>
      <c r="E11" s="148"/>
      <c r="F11" s="82">
        <v>1</v>
      </c>
      <c r="G11" s="82">
        <v>14</v>
      </c>
      <c r="H11" s="82">
        <f t="shared" si="2"/>
        <v>14</v>
      </c>
      <c r="I11" s="115" t="s">
        <v>18</v>
      </c>
      <c r="J11" s="151"/>
      <c r="K11" s="29">
        <v>319000</v>
      </c>
      <c r="L11" s="30">
        <v>0.12</v>
      </c>
      <c r="M11" s="31">
        <f t="shared" si="0"/>
        <v>38280</v>
      </c>
      <c r="N11" s="31">
        <f t="shared" si="1"/>
        <v>357280</v>
      </c>
      <c r="O11" s="25"/>
      <c r="P11" s="22">
        <v>45757</v>
      </c>
      <c r="Q11" s="81"/>
      <c r="R11" s="26" t="s">
        <v>971</v>
      </c>
      <c r="S11" s="21"/>
      <c r="T11" s="32" t="s">
        <v>609</v>
      </c>
      <c r="U11" s="21"/>
    </row>
    <row r="12" spans="1:21" ht="20.100000000000001" hidden="1" customHeight="1" x14ac:dyDescent="0.3">
      <c r="A12" s="44">
        <v>4</v>
      </c>
      <c r="B12" s="78">
        <v>45756</v>
      </c>
      <c r="C12" s="145"/>
      <c r="D12" s="80" t="s">
        <v>602</v>
      </c>
      <c r="E12" s="148"/>
      <c r="F12" s="82">
        <v>50</v>
      </c>
      <c r="G12" s="82">
        <v>1000</v>
      </c>
      <c r="H12" s="82">
        <f t="shared" si="2"/>
        <v>50000</v>
      </c>
      <c r="I12" s="144" t="s">
        <v>51</v>
      </c>
      <c r="J12" s="145"/>
      <c r="K12" s="91">
        <v>1500</v>
      </c>
      <c r="L12" s="92">
        <v>0.05</v>
      </c>
      <c r="M12" s="31">
        <f t="shared" si="0"/>
        <v>75</v>
      </c>
      <c r="N12" s="31">
        <f t="shared" si="1"/>
        <v>1575</v>
      </c>
      <c r="O12" s="25"/>
      <c r="P12" s="22">
        <v>45757</v>
      </c>
      <c r="Q12" s="81"/>
      <c r="R12" s="26" t="s">
        <v>972</v>
      </c>
      <c r="S12" s="21"/>
      <c r="T12" s="32" t="s">
        <v>1040</v>
      </c>
      <c r="U12" s="21"/>
    </row>
    <row r="13" spans="1:21" ht="20.100000000000001" hidden="1" customHeight="1" x14ac:dyDescent="0.3">
      <c r="A13" s="44">
        <v>5</v>
      </c>
      <c r="B13" s="78">
        <v>45756</v>
      </c>
      <c r="C13" s="145"/>
      <c r="D13" s="80" t="s">
        <v>887</v>
      </c>
      <c r="E13" s="148"/>
      <c r="F13" s="82">
        <v>50</v>
      </c>
      <c r="G13" s="82">
        <v>1000</v>
      </c>
      <c r="H13" s="82">
        <f t="shared" si="2"/>
        <v>50000</v>
      </c>
      <c r="I13" s="144" t="s">
        <v>51</v>
      </c>
      <c r="J13" s="145"/>
      <c r="K13" s="91">
        <v>2498.91</v>
      </c>
      <c r="L13" s="92">
        <v>0.05</v>
      </c>
      <c r="M13" s="31">
        <f t="shared" si="0"/>
        <v>124.9455</v>
      </c>
      <c r="N13" s="31">
        <f t="shared" si="1"/>
        <v>2623.8554999999997</v>
      </c>
      <c r="O13" s="25"/>
      <c r="P13" s="22">
        <v>45757</v>
      </c>
      <c r="Q13" s="81"/>
      <c r="R13" s="26" t="s">
        <v>972</v>
      </c>
      <c r="S13" s="21"/>
      <c r="T13" s="32" t="s">
        <v>1040</v>
      </c>
      <c r="U13" s="21"/>
    </row>
    <row r="14" spans="1:21" ht="20.100000000000001" hidden="1" customHeight="1" x14ac:dyDescent="0.3">
      <c r="A14" s="44">
        <v>6</v>
      </c>
      <c r="B14" s="78">
        <v>45756</v>
      </c>
      <c r="C14" s="145"/>
      <c r="D14" s="80" t="s">
        <v>891</v>
      </c>
      <c r="E14" s="148"/>
      <c r="F14" s="82">
        <v>50</v>
      </c>
      <c r="G14" s="82">
        <v>1000</v>
      </c>
      <c r="H14" s="82">
        <f t="shared" si="2"/>
        <v>50000</v>
      </c>
      <c r="I14" s="144" t="s">
        <v>51</v>
      </c>
      <c r="J14" s="145"/>
      <c r="K14" s="91">
        <v>106</v>
      </c>
      <c r="L14" s="92">
        <v>0.05</v>
      </c>
      <c r="M14" s="31">
        <f t="shared" si="0"/>
        <v>5.3000000000000007</v>
      </c>
      <c r="N14" s="31">
        <f t="shared" si="1"/>
        <v>111.3</v>
      </c>
      <c r="O14" s="25"/>
      <c r="P14" s="22">
        <v>45757</v>
      </c>
      <c r="Q14" s="81"/>
      <c r="R14" s="26" t="s">
        <v>973</v>
      </c>
      <c r="S14" s="21"/>
      <c r="T14" s="32" t="s">
        <v>309</v>
      </c>
      <c r="U14" s="21"/>
    </row>
    <row r="15" spans="1:21" ht="20.100000000000001" hidden="1" customHeight="1" x14ac:dyDescent="0.3">
      <c r="A15" s="44">
        <v>7</v>
      </c>
      <c r="B15" s="78">
        <v>45756</v>
      </c>
      <c r="C15" s="145"/>
      <c r="D15" s="80" t="s">
        <v>246</v>
      </c>
      <c r="E15" s="148"/>
      <c r="F15" s="82">
        <v>50</v>
      </c>
      <c r="G15" s="82">
        <v>1000</v>
      </c>
      <c r="H15" s="82">
        <f t="shared" si="2"/>
        <v>50000</v>
      </c>
      <c r="I15" s="144" t="s">
        <v>51</v>
      </c>
      <c r="J15" s="145"/>
      <c r="K15" s="91">
        <v>125</v>
      </c>
      <c r="L15" s="92">
        <v>0.05</v>
      </c>
      <c r="M15" s="31">
        <f t="shared" si="0"/>
        <v>6.25</v>
      </c>
      <c r="N15" s="31">
        <f t="shared" si="1"/>
        <v>131.25</v>
      </c>
      <c r="O15" s="25"/>
      <c r="P15" s="22">
        <v>45757</v>
      </c>
      <c r="Q15" s="81"/>
      <c r="R15" s="26" t="s">
        <v>973</v>
      </c>
      <c r="S15" s="21"/>
      <c r="T15" s="32" t="s">
        <v>309</v>
      </c>
      <c r="U15" s="21"/>
    </row>
    <row r="16" spans="1:21" s="39" customFormat="1" ht="20.100000000000001" hidden="1" customHeight="1" x14ac:dyDescent="0.2">
      <c r="A16" s="44">
        <v>8</v>
      </c>
      <c r="B16" s="78">
        <v>45756</v>
      </c>
      <c r="C16" s="145"/>
      <c r="D16" s="80" t="s">
        <v>696</v>
      </c>
      <c r="E16" s="148"/>
      <c r="F16" s="82">
        <v>50</v>
      </c>
      <c r="G16" s="82">
        <v>1000</v>
      </c>
      <c r="H16" s="82">
        <f t="shared" si="2"/>
        <v>50000</v>
      </c>
      <c r="I16" s="144" t="s">
        <v>51</v>
      </c>
      <c r="J16" s="145"/>
      <c r="K16" s="91">
        <v>1995</v>
      </c>
      <c r="L16" s="92">
        <v>0.05</v>
      </c>
      <c r="M16" s="31">
        <f t="shared" si="0"/>
        <v>99.75</v>
      </c>
      <c r="N16" s="31">
        <f t="shared" si="1"/>
        <v>2094.75</v>
      </c>
      <c r="O16" s="25"/>
      <c r="P16" s="22">
        <v>45757</v>
      </c>
      <c r="Q16" s="81"/>
      <c r="R16" s="26" t="s">
        <v>973</v>
      </c>
      <c r="S16" s="21"/>
      <c r="T16" s="32" t="s">
        <v>309</v>
      </c>
      <c r="U16" s="21"/>
    </row>
    <row r="17" spans="1:21" s="39" customFormat="1" ht="20.100000000000001" hidden="1" customHeight="1" x14ac:dyDescent="0.2">
      <c r="A17" s="44">
        <v>9</v>
      </c>
      <c r="B17" s="78">
        <v>45756</v>
      </c>
      <c r="C17" s="145"/>
      <c r="D17" s="80" t="s">
        <v>407</v>
      </c>
      <c r="E17" s="148"/>
      <c r="F17" s="82">
        <v>50</v>
      </c>
      <c r="G17" s="82">
        <v>1000</v>
      </c>
      <c r="H17" s="82">
        <f t="shared" si="2"/>
        <v>50000</v>
      </c>
      <c r="I17" s="144" t="s">
        <v>51</v>
      </c>
      <c r="J17" s="145"/>
      <c r="K17" s="91">
        <v>3255</v>
      </c>
      <c r="L17" s="92">
        <v>0.05</v>
      </c>
      <c r="M17" s="31">
        <f t="shared" si="0"/>
        <v>162.75</v>
      </c>
      <c r="N17" s="31">
        <f t="shared" si="1"/>
        <v>3417.75</v>
      </c>
      <c r="O17" s="25"/>
      <c r="P17" s="22">
        <v>45757</v>
      </c>
      <c r="Q17" s="81"/>
      <c r="R17" s="26" t="s">
        <v>973</v>
      </c>
      <c r="S17" s="21"/>
      <c r="T17" s="32" t="s">
        <v>309</v>
      </c>
      <c r="U17" s="21"/>
    </row>
    <row r="18" spans="1:21" s="39" customFormat="1" ht="20.100000000000001" hidden="1" customHeight="1" x14ac:dyDescent="0.2">
      <c r="A18" s="44">
        <v>10</v>
      </c>
      <c r="B18" s="78">
        <v>45756</v>
      </c>
      <c r="C18" s="145"/>
      <c r="D18" s="80" t="s">
        <v>360</v>
      </c>
      <c r="E18" s="148"/>
      <c r="F18" s="82">
        <v>125</v>
      </c>
      <c r="G18" s="82">
        <v>400</v>
      </c>
      <c r="H18" s="82">
        <f t="shared" si="2"/>
        <v>50000</v>
      </c>
      <c r="I18" s="144" t="s">
        <v>51</v>
      </c>
      <c r="J18" s="145"/>
      <c r="K18" s="91">
        <v>896</v>
      </c>
      <c r="L18" s="92">
        <v>0.05</v>
      </c>
      <c r="M18" s="31">
        <f t="shared" si="0"/>
        <v>44.800000000000004</v>
      </c>
      <c r="N18" s="31">
        <f t="shared" si="1"/>
        <v>940.8</v>
      </c>
      <c r="O18" s="25"/>
      <c r="P18" s="22">
        <v>45757</v>
      </c>
      <c r="Q18" s="81"/>
      <c r="R18" s="26" t="s">
        <v>973</v>
      </c>
      <c r="S18" s="21"/>
      <c r="T18" s="32" t="s">
        <v>309</v>
      </c>
      <c r="U18" s="21"/>
    </row>
    <row r="19" spans="1:21" s="39" customFormat="1" ht="20.100000000000001" hidden="1" customHeight="1" x14ac:dyDescent="0.2">
      <c r="A19" s="44">
        <v>11</v>
      </c>
      <c r="B19" s="78">
        <v>45756</v>
      </c>
      <c r="C19" s="145"/>
      <c r="D19" s="80" t="s">
        <v>926</v>
      </c>
      <c r="E19" s="148"/>
      <c r="F19" s="82">
        <v>50</v>
      </c>
      <c r="G19" s="82">
        <v>1000</v>
      </c>
      <c r="H19" s="82">
        <f t="shared" si="2"/>
        <v>50000</v>
      </c>
      <c r="I19" s="144" t="s">
        <v>51</v>
      </c>
      <c r="J19" s="145"/>
      <c r="K19" s="91">
        <v>1575</v>
      </c>
      <c r="L19" s="92">
        <v>0.05</v>
      </c>
      <c r="M19" s="31">
        <f t="shared" si="0"/>
        <v>78.75</v>
      </c>
      <c r="N19" s="31">
        <f t="shared" si="1"/>
        <v>1653.75</v>
      </c>
      <c r="O19" s="25"/>
      <c r="P19" s="22">
        <v>45757</v>
      </c>
      <c r="Q19" s="81"/>
      <c r="R19" s="26" t="s">
        <v>973</v>
      </c>
      <c r="S19" s="21"/>
      <c r="T19" s="32" t="s">
        <v>309</v>
      </c>
      <c r="U19" s="21"/>
    </row>
    <row r="20" spans="1:21" ht="20.100000000000001" hidden="1" customHeight="1" x14ac:dyDescent="0.3">
      <c r="A20" s="44">
        <v>12</v>
      </c>
      <c r="B20" s="78">
        <v>45756</v>
      </c>
      <c r="C20" s="145"/>
      <c r="D20" s="80" t="s">
        <v>249</v>
      </c>
      <c r="E20" s="148"/>
      <c r="F20" s="82">
        <v>50</v>
      </c>
      <c r="G20" s="82">
        <v>1000</v>
      </c>
      <c r="H20" s="82">
        <f t="shared" si="2"/>
        <v>50000</v>
      </c>
      <c r="I20" s="144" t="s">
        <v>51</v>
      </c>
      <c r="J20" s="145"/>
      <c r="K20" s="91">
        <v>2835</v>
      </c>
      <c r="L20" s="92">
        <v>0.05</v>
      </c>
      <c r="M20" s="31">
        <f t="shared" si="0"/>
        <v>141.75</v>
      </c>
      <c r="N20" s="31">
        <f t="shared" si="1"/>
        <v>2976.75</v>
      </c>
      <c r="O20" s="25"/>
      <c r="P20" s="22">
        <v>45757</v>
      </c>
      <c r="Q20" s="81"/>
      <c r="R20" s="26" t="s">
        <v>973</v>
      </c>
      <c r="S20" s="21"/>
      <c r="T20" s="32" t="s">
        <v>309</v>
      </c>
      <c r="U20" s="21"/>
    </row>
    <row r="21" spans="1:21" ht="20.100000000000001" hidden="1" customHeight="1" x14ac:dyDescent="0.3">
      <c r="A21" s="44">
        <v>13</v>
      </c>
      <c r="B21" s="78">
        <v>45756</v>
      </c>
      <c r="C21" s="145"/>
      <c r="D21" s="80" t="s">
        <v>892</v>
      </c>
      <c r="E21" s="148"/>
      <c r="F21" s="82">
        <v>50</v>
      </c>
      <c r="G21" s="82">
        <v>1000</v>
      </c>
      <c r="H21" s="82">
        <f t="shared" si="2"/>
        <v>50000</v>
      </c>
      <c r="I21" s="144" t="s">
        <v>51</v>
      </c>
      <c r="J21" s="145"/>
      <c r="K21" s="91">
        <v>3145</v>
      </c>
      <c r="L21" s="92">
        <v>0.05</v>
      </c>
      <c r="M21" s="31">
        <f t="shared" si="0"/>
        <v>157.25</v>
      </c>
      <c r="N21" s="31">
        <f t="shared" si="1"/>
        <v>3302.25</v>
      </c>
      <c r="O21" s="25"/>
      <c r="P21" s="22">
        <v>45757</v>
      </c>
      <c r="Q21" s="81"/>
      <c r="R21" s="26" t="s">
        <v>973</v>
      </c>
      <c r="S21" s="21"/>
      <c r="T21" s="32" t="s">
        <v>309</v>
      </c>
      <c r="U21" s="21"/>
    </row>
    <row r="22" spans="1:21" ht="20.100000000000001" hidden="1" customHeight="1" x14ac:dyDescent="0.3">
      <c r="A22" s="44">
        <v>14</v>
      </c>
      <c r="B22" s="78">
        <v>45756</v>
      </c>
      <c r="C22" s="145"/>
      <c r="D22" s="80" t="s">
        <v>944</v>
      </c>
      <c r="E22" s="148"/>
      <c r="F22" s="82">
        <v>50</v>
      </c>
      <c r="G22" s="82">
        <v>1000</v>
      </c>
      <c r="H22" s="82">
        <f t="shared" si="2"/>
        <v>50000</v>
      </c>
      <c r="I22" s="144" t="s">
        <v>51</v>
      </c>
      <c r="J22" s="145"/>
      <c r="K22" s="91">
        <v>1549</v>
      </c>
      <c r="L22" s="92">
        <v>0.05</v>
      </c>
      <c r="M22" s="31">
        <f t="shared" si="0"/>
        <v>77.45</v>
      </c>
      <c r="N22" s="31">
        <f t="shared" si="1"/>
        <v>1626.45</v>
      </c>
      <c r="O22" s="25"/>
      <c r="P22" s="22">
        <v>45757</v>
      </c>
      <c r="Q22" s="81"/>
      <c r="R22" s="26" t="s">
        <v>973</v>
      </c>
      <c r="S22" s="21"/>
      <c r="T22" s="32" t="s">
        <v>309</v>
      </c>
      <c r="U22" s="21"/>
    </row>
    <row r="23" spans="1:21" ht="20.100000000000001" hidden="1" customHeight="1" x14ac:dyDescent="0.3">
      <c r="A23" s="44">
        <v>15</v>
      </c>
      <c r="B23" s="78">
        <v>45756</v>
      </c>
      <c r="C23" s="145"/>
      <c r="D23" s="80" t="s">
        <v>894</v>
      </c>
      <c r="E23" s="148"/>
      <c r="F23" s="82">
        <v>50</v>
      </c>
      <c r="G23" s="82">
        <v>1000</v>
      </c>
      <c r="H23" s="82">
        <f t="shared" si="2"/>
        <v>50000</v>
      </c>
      <c r="I23" s="144" t="s">
        <v>51</v>
      </c>
      <c r="J23" s="145"/>
      <c r="K23" s="91">
        <v>945</v>
      </c>
      <c r="L23" s="92">
        <v>0.05</v>
      </c>
      <c r="M23" s="31">
        <f t="shared" si="0"/>
        <v>47.25</v>
      </c>
      <c r="N23" s="31">
        <f t="shared" si="1"/>
        <v>992.25</v>
      </c>
      <c r="O23" s="25"/>
      <c r="P23" s="22">
        <v>45757</v>
      </c>
      <c r="Q23" s="81"/>
      <c r="R23" s="26" t="s">
        <v>973</v>
      </c>
      <c r="S23" s="21"/>
      <c r="T23" s="32" t="s">
        <v>309</v>
      </c>
      <c r="U23" s="21"/>
    </row>
    <row r="24" spans="1:21" ht="20.100000000000001" hidden="1" customHeight="1" x14ac:dyDescent="0.3">
      <c r="A24" s="44">
        <v>16</v>
      </c>
      <c r="B24" s="78">
        <v>45756</v>
      </c>
      <c r="C24" s="145"/>
      <c r="D24" s="80" t="s">
        <v>945</v>
      </c>
      <c r="E24" s="148"/>
      <c r="F24" s="82">
        <v>50</v>
      </c>
      <c r="G24" s="82">
        <v>1000</v>
      </c>
      <c r="H24" s="82">
        <f t="shared" si="2"/>
        <v>50000</v>
      </c>
      <c r="I24" s="144" t="s">
        <v>51</v>
      </c>
      <c r="J24" s="145"/>
      <c r="K24" s="91">
        <v>1045</v>
      </c>
      <c r="L24" s="92">
        <v>0.05</v>
      </c>
      <c r="M24" s="31">
        <f t="shared" si="0"/>
        <v>52.25</v>
      </c>
      <c r="N24" s="31">
        <f t="shared" si="1"/>
        <v>1097.25</v>
      </c>
      <c r="O24" s="25"/>
      <c r="P24" s="22">
        <v>45757</v>
      </c>
      <c r="Q24" s="81"/>
      <c r="R24" s="26" t="s">
        <v>973</v>
      </c>
      <c r="S24" s="21"/>
      <c r="T24" s="32" t="s">
        <v>309</v>
      </c>
      <c r="U24" s="21"/>
    </row>
    <row r="25" spans="1:21" ht="20.100000000000001" hidden="1" customHeight="1" x14ac:dyDescent="0.3">
      <c r="A25" s="44">
        <v>17</v>
      </c>
      <c r="B25" s="78">
        <v>45756</v>
      </c>
      <c r="C25" s="145"/>
      <c r="D25" s="80" t="s">
        <v>526</v>
      </c>
      <c r="E25" s="148"/>
      <c r="F25" s="82">
        <v>50</v>
      </c>
      <c r="G25" s="82">
        <v>1000</v>
      </c>
      <c r="H25" s="82">
        <f t="shared" si="2"/>
        <v>50000</v>
      </c>
      <c r="I25" s="144" t="s">
        <v>51</v>
      </c>
      <c r="J25" s="145"/>
      <c r="K25" s="91">
        <v>1.75</v>
      </c>
      <c r="L25" s="92">
        <v>0.05</v>
      </c>
      <c r="M25" s="31">
        <f t="shared" si="0"/>
        <v>8.7500000000000008E-2</v>
      </c>
      <c r="N25" s="31">
        <f t="shared" si="1"/>
        <v>1.8374999999999999</v>
      </c>
      <c r="O25" s="25"/>
      <c r="P25" s="22">
        <v>45757</v>
      </c>
      <c r="Q25" s="81"/>
      <c r="R25" s="26" t="s">
        <v>973</v>
      </c>
      <c r="S25" s="21"/>
      <c r="T25" s="32" t="s">
        <v>309</v>
      </c>
      <c r="U25" s="21"/>
    </row>
    <row r="26" spans="1:21" ht="20.100000000000001" hidden="1" customHeight="1" x14ac:dyDescent="0.3">
      <c r="A26" s="44">
        <v>18</v>
      </c>
      <c r="B26" s="78">
        <v>45756</v>
      </c>
      <c r="C26" s="145"/>
      <c r="D26" s="80" t="s">
        <v>943</v>
      </c>
      <c r="E26" s="148"/>
      <c r="F26" s="82">
        <v>50</v>
      </c>
      <c r="G26" s="82">
        <v>1000</v>
      </c>
      <c r="H26" s="82">
        <f t="shared" si="2"/>
        <v>50000</v>
      </c>
      <c r="I26" s="144" t="s">
        <v>51</v>
      </c>
      <c r="J26" s="145"/>
      <c r="K26" s="91">
        <v>1.75</v>
      </c>
      <c r="L26" s="92">
        <v>0.05</v>
      </c>
      <c r="M26" s="31">
        <f t="shared" si="0"/>
        <v>8.7500000000000008E-2</v>
      </c>
      <c r="N26" s="31">
        <f t="shared" si="1"/>
        <v>1.8374999999999999</v>
      </c>
      <c r="O26" s="25"/>
      <c r="P26" s="22">
        <v>45757</v>
      </c>
      <c r="Q26" s="81"/>
      <c r="R26" s="26" t="s">
        <v>973</v>
      </c>
      <c r="S26" s="21"/>
      <c r="T26" s="32" t="s">
        <v>309</v>
      </c>
      <c r="U26" s="21"/>
    </row>
    <row r="27" spans="1:21" ht="20.100000000000001" hidden="1" customHeight="1" x14ac:dyDescent="0.3">
      <c r="A27" s="44">
        <v>19</v>
      </c>
      <c r="B27" s="78">
        <v>45756</v>
      </c>
      <c r="C27" s="145"/>
      <c r="D27" s="80" t="s">
        <v>946</v>
      </c>
      <c r="E27" s="148"/>
      <c r="F27" s="82">
        <v>50</v>
      </c>
      <c r="G27" s="82">
        <v>1000</v>
      </c>
      <c r="H27" s="82">
        <f t="shared" ref="H27" si="3">F27*G27</f>
        <v>50000</v>
      </c>
      <c r="I27" s="144" t="s">
        <v>51</v>
      </c>
      <c r="J27" s="145"/>
      <c r="K27" s="91">
        <v>3432</v>
      </c>
      <c r="L27" s="92">
        <v>0.05</v>
      </c>
      <c r="M27" s="31">
        <f t="shared" si="0"/>
        <v>171.60000000000002</v>
      </c>
      <c r="N27" s="31">
        <f t="shared" si="1"/>
        <v>3603.6</v>
      </c>
      <c r="O27" s="25"/>
      <c r="P27" s="22">
        <v>45757</v>
      </c>
      <c r="Q27" s="81"/>
      <c r="R27" s="26" t="s">
        <v>974</v>
      </c>
      <c r="S27" s="21"/>
      <c r="T27" s="32" t="s">
        <v>265</v>
      </c>
      <c r="U27" s="21"/>
    </row>
    <row r="28" spans="1:21" ht="20.100000000000001" hidden="1" customHeight="1" x14ac:dyDescent="0.3">
      <c r="A28" s="44">
        <v>20</v>
      </c>
      <c r="B28" s="78">
        <v>45776</v>
      </c>
      <c r="C28" s="145"/>
      <c r="D28" s="80" t="s">
        <v>291</v>
      </c>
      <c r="E28" s="148"/>
      <c r="F28" s="82">
        <v>25</v>
      </c>
      <c r="G28" s="82">
        <v>20</v>
      </c>
      <c r="H28" s="82">
        <f t="shared" si="2"/>
        <v>500</v>
      </c>
      <c r="I28" s="144" t="s">
        <v>18</v>
      </c>
      <c r="J28" s="145"/>
      <c r="K28" s="91">
        <v>2900</v>
      </c>
      <c r="L28" s="92"/>
      <c r="M28" s="31">
        <f t="shared" si="0"/>
        <v>0</v>
      </c>
      <c r="N28" s="31">
        <f t="shared" si="1"/>
        <v>2900</v>
      </c>
      <c r="O28" s="25"/>
      <c r="P28" s="78">
        <v>45777</v>
      </c>
      <c r="Q28" s="81"/>
      <c r="R28" s="26" t="s">
        <v>975</v>
      </c>
      <c r="S28" s="21"/>
      <c r="T28" s="32" t="s">
        <v>312</v>
      </c>
      <c r="U28" s="21"/>
    </row>
    <row r="29" spans="1:21" ht="20.100000000000001" hidden="1" customHeight="1" x14ac:dyDescent="0.3">
      <c r="A29" s="44">
        <v>21</v>
      </c>
      <c r="B29" s="78">
        <v>45776</v>
      </c>
      <c r="C29" s="145"/>
      <c r="D29" s="80" t="s">
        <v>561</v>
      </c>
      <c r="E29" s="148"/>
      <c r="F29" s="82">
        <v>20</v>
      </c>
      <c r="G29" s="82">
        <v>25</v>
      </c>
      <c r="H29" s="82">
        <f t="shared" si="2"/>
        <v>500</v>
      </c>
      <c r="I29" s="144" t="s">
        <v>18</v>
      </c>
      <c r="J29" s="145"/>
      <c r="K29" s="91">
        <v>6000</v>
      </c>
      <c r="L29" s="92"/>
      <c r="M29" s="31">
        <f t="shared" si="0"/>
        <v>0</v>
      </c>
      <c r="N29" s="31">
        <f t="shared" si="1"/>
        <v>6000</v>
      </c>
      <c r="O29" s="25"/>
      <c r="P29" s="78">
        <v>45777</v>
      </c>
      <c r="Q29" s="81"/>
      <c r="R29" s="26" t="s">
        <v>976</v>
      </c>
      <c r="S29" s="21"/>
      <c r="T29" s="32" t="s">
        <v>74</v>
      </c>
      <c r="U29" s="21"/>
    </row>
    <row r="30" spans="1:21" ht="20.100000000000001" hidden="1" customHeight="1" x14ac:dyDescent="0.3">
      <c r="A30" s="44">
        <v>22</v>
      </c>
      <c r="B30" s="78">
        <v>45776</v>
      </c>
      <c r="C30" s="145"/>
      <c r="D30" s="80" t="s">
        <v>681</v>
      </c>
      <c r="E30" s="148"/>
      <c r="F30" s="82">
        <v>20</v>
      </c>
      <c r="G30" s="82">
        <v>25</v>
      </c>
      <c r="H30" s="82">
        <f t="shared" ref="H30" si="4">F30*G30</f>
        <v>500</v>
      </c>
      <c r="I30" s="144" t="s">
        <v>18</v>
      </c>
      <c r="J30" s="145"/>
      <c r="K30" s="91">
        <v>14250</v>
      </c>
      <c r="L30" s="92"/>
      <c r="M30" s="31">
        <f t="shared" si="0"/>
        <v>0</v>
      </c>
      <c r="N30" s="31">
        <f t="shared" si="1"/>
        <v>14250</v>
      </c>
      <c r="O30" s="25"/>
      <c r="P30" s="78">
        <v>45777</v>
      </c>
      <c r="Q30" s="81"/>
      <c r="R30" s="26" t="s">
        <v>977</v>
      </c>
      <c r="S30" s="21"/>
      <c r="T30" s="32" t="s">
        <v>948</v>
      </c>
      <c r="U30" s="21"/>
    </row>
    <row r="31" spans="1:21" ht="20.100000000000001" hidden="1" customHeight="1" x14ac:dyDescent="0.3">
      <c r="A31" s="44">
        <v>23</v>
      </c>
      <c r="B31" s="78">
        <v>45776</v>
      </c>
      <c r="C31" s="145"/>
      <c r="D31" s="80" t="s">
        <v>949</v>
      </c>
      <c r="E31" s="148"/>
      <c r="F31" s="82">
        <v>500</v>
      </c>
      <c r="G31" s="82">
        <v>1</v>
      </c>
      <c r="H31" s="82">
        <f t="shared" si="2"/>
        <v>500</v>
      </c>
      <c r="I31" s="144" t="s">
        <v>18</v>
      </c>
      <c r="J31" s="145"/>
      <c r="K31" s="91">
        <v>45</v>
      </c>
      <c r="L31" s="92"/>
      <c r="M31" s="31">
        <f t="shared" si="0"/>
        <v>0</v>
      </c>
      <c r="N31" s="31">
        <f t="shared" si="1"/>
        <v>45</v>
      </c>
      <c r="O31" s="25"/>
      <c r="P31" s="78">
        <v>45777</v>
      </c>
      <c r="Q31" s="81"/>
      <c r="R31" s="26" t="s">
        <v>978</v>
      </c>
      <c r="S31" s="21"/>
      <c r="T31" s="32" t="s">
        <v>609</v>
      </c>
      <c r="U31" s="21"/>
    </row>
    <row r="32" spans="1:21" ht="20.100000000000001" hidden="1" customHeight="1" x14ac:dyDescent="0.3">
      <c r="A32" s="44">
        <v>24</v>
      </c>
      <c r="B32" s="78">
        <v>45776</v>
      </c>
      <c r="C32" s="145"/>
      <c r="D32" s="80" t="s">
        <v>673</v>
      </c>
      <c r="E32" s="148"/>
      <c r="F32" s="82">
        <v>8</v>
      </c>
      <c r="G32" s="82">
        <v>25</v>
      </c>
      <c r="H32" s="82">
        <f t="shared" si="2"/>
        <v>200</v>
      </c>
      <c r="I32" s="144" t="s">
        <v>18</v>
      </c>
      <c r="J32" s="145"/>
      <c r="K32" s="91">
        <v>44250</v>
      </c>
      <c r="L32" s="92"/>
      <c r="M32" s="31">
        <f t="shared" si="0"/>
        <v>0</v>
      </c>
      <c r="N32" s="31">
        <f t="shared" si="1"/>
        <v>44250</v>
      </c>
      <c r="O32" s="25"/>
      <c r="P32" s="78">
        <v>45777</v>
      </c>
      <c r="Q32" s="81"/>
      <c r="R32" s="26" t="s">
        <v>979</v>
      </c>
      <c r="S32" s="21"/>
      <c r="T32" s="32" t="s">
        <v>669</v>
      </c>
      <c r="U32" s="21"/>
    </row>
    <row r="33" spans="1:21" ht="20.100000000000001" hidden="1" customHeight="1" x14ac:dyDescent="0.3">
      <c r="A33" s="44">
        <v>25</v>
      </c>
      <c r="B33" s="78">
        <v>45776</v>
      </c>
      <c r="C33" s="145"/>
      <c r="D33" s="80" t="s">
        <v>950</v>
      </c>
      <c r="E33" s="148"/>
      <c r="F33" s="82">
        <v>10</v>
      </c>
      <c r="G33" s="82">
        <v>25</v>
      </c>
      <c r="H33" s="82">
        <f t="shared" si="2"/>
        <v>250</v>
      </c>
      <c r="I33" s="144" t="s">
        <v>18</v>
      </c>
      <c r="J33" s="145"/>
      <c r="K33" s="91">
        <v>6050</v>
      </c>
      <c r="L33" s="92"/>
      <c r="M33" s="31">
        <f t="shared" si="0"/>
        <v>0</v>
      </c>
      <c r="N33" s="31">
        <f t="shared" si="1"/>
        <v>6050</v>
      </c>
      <c r="O33" s="25"/>
      <c r="P33" s="78">
        <v>45777</v>
      </c>
      <c r="Q33" s="81"/>
      <c r="R33" s="26" t="s">
        <v>980</v>
      </c>
      <c r="S33" s="21"/>
      <c r="T33" s="32" t="s">
        <v>349</v>
      </c>
      <c r="U33" s="21"/>
    </row>
    <row r="34" spans="1:21" ht="20.100000000000001" hidden="1" customHeight="1" x14ac:dyDescent="0.3">
      <c r="A34" s="44">
        <v>26</v>
      </c>
      <c r="B34" s="78">
        <v>45780</v>
      </c>
      <c r="C34" s="145"/>
      <c r="D34" s="80" t="s">
        <v>951</v>
      </c>
      <c r="E34" s="145" t="s">
        <v>717</v>
      </c>
      <c r="F34" s="63">
        <v>20</v>
      </c>
      <c r="G34" s="82">
        <v>50</v>
      </c>
      <c r="H34" s="82">
        <f t="shared" si="2"/>
        <v>1000</v>
      </c>
      <c r="I34" s="144" t="s">
        <v>109</v>
      </c>
      <c r="J34" s="145" t="s">
        <v>717</v>
      </c>
      <c r="K34" s="89">
        <v>1000</v>
      </c>
      <c r="L34" s="92">
        <v>0.18</v>
      </c>
      <c r="M34" s="31">
        <f t="shared" si="0"/>
        <v>180</v>
      </c>
      <c r="N34" s="31">
        <f t="shared" si="1"/>
        <v>1180</v>
      </c>
      <c r="O34" s="25"/>
      <c r="P34" s="78">
        <v>45780</v>
      </c>
      <c r="Q34" s="81"/>
      <c r="R34" s="26" t="s">
        <v>981</v>
      </c>
      <c r="S34" s="21"/>
      <c r="T34" s="32" t="s">
        <v>68</v>
      </c>
      <c r="U34" s="21"/>
    </row>
    <row r="35" spans="1:21" ht="20.100000000000001" hidden="1" customHeight="1" x14ac:dyDescent="0.3">
      <c r="A35" s="44">
        <v>27</v>
      </c>
      <c r="B35" s="78">
        <v>45780</v>
      </c>
      <c r="C35" s="145"/>
      <c r="D35" s="80" t="s">
        <v>574</v>
      </c>
      <c r="E35" s="148"/>
      <c r="F35" s="82">
        <v>12</v>
      </c>
      <c r="G35" s="82">
        <v>5</v>
      </c>
      <c r="H35" s="82">
        <f t="shared" si="2"/>
        <v>60</v>
      </c>
      <c r="I35" s="144" t="s">
        <v>56</v>
      </c>
      <c r="J35" s="145"/>
      <c r="K35" s="91">
        <v>3273</v>
      </c>
      <c r="L35" s="92">
        <v>0.18</v>
      </c>
      <c r="M35" s="31">
        <f t="shared" si="0"/>
        <v>589.14</v>
      </c>
      <c r="N35" s="31">
        <f t="shared" si="1"/>
        <v>3862.14</v>
      </c>
      <c r="O35" s="25"/>
      <c r="P35" s="78">
        <v>45780</v>
      </c>
      <c r="Q35" s="81"/>
      <c r="R35" s="26" t="s">
        <v>981</v>
      </c>
      <c r="S35" s="21"/>
      <c r="T35" s="32" t="s">
        <v>68</v>
      </c>
      <c r="U35" s="21"/>
    </row>
    <row r="36" spans="1:21" ht="20.100000000000001" hidden="1" customHeight="1" x14ac:dyDescent="0.3">
      <c r="A36" s="44">
        <v>28</v>
      </c>
      <c r="B36" s="78">
        <v>45780</v>
      </c>
      <c r="C36" s="145"/>
      <c r="D36" s="80" t="s">
        <v>507</v>
      </c>
      <c r="E36" s="148"/>
      <c r="F36" s="82">
        <v>20</v>
      </c>
      <c r="G36" s="82">
        <v>5</v>
      </c>
      <c r="H36" s="82">
        <f t="shared" si="2"/>
        <v>100</v>
      </c>
      <c r="I36" s="144" t="s">
        <v>56</v>
      </c>
      <c r="J36" s="145" t="s">
        <v>717</v>
      </c>
      <c r="K36" s="89">
        <v>1172</v>
      </c>
      <c r="L36" s="92">
        <v>0.18</v>
      </c>
      <c r="M36" s="31">
        <f t="shared" si="0"/>
        <v>210.95999999999998</v>
      </c>
      <c r="N36" s="31">
        <f t="shared" si="1"/>
        <v>1382.96</v>
      </c>
      <c r="O36" s="25"/>
      <c r="P36" s="78">
        <v>45780</v>
      </c>
      <c r="Q36" s="81"/>
      <c r="R36" s="26" t="s">
        <v>981</v>
      </c>
      <c r="S36" s="21"/>
      <c r="T36" s="32" t="s">
        <v>68</v>
      </c>
      <c r="U36" s="21"/>
    </row>
    <row r="37" spans="1:21" ht="20.100000000000001" hidden="1" customHeight="1" x14ac:dyDescent="0.3">
      <c r="A37" s="44">
        <v>29</v>
      </c>
      <c r="B37" s="78">
        <v>45780</v>
      </c>
      <c r="C37" s="145"/>
      <c r="D37" s="80" t="s">
        <v>952</v>
      </c>
      <c r="E37" s="148"/>
      <c r="F37" s="82">
        <v>100</v>
      </c>
      <c r="G37" s="82">
        <v>5</v>
      </c>
      <c r="H37" s="82">
        <f t="shared" si="2"/>
        <v>500</v>
      </c>
      <c r="I37" s="144" t="s">
        <v>56</v>
      </c>
      <c r="J37" s="145"/>
      <c r="K37" s="91">
        <v>540</v>
      </c>
      <c r="L37" s="92">
        <v>0.18</v>
      </c>
      <c r="M37" s="31">
        <f t="shared" si="0"/>
        <v>97.2</v>
      </c>
      <c r="N37" s="31">
        <f t="shared" si="1"/>
        <v>637.20000000000005</v>
      </c>
      <c r="O37" s="25"/>
      <c r="P37" s="78">
        <v>45780</v>
      </c>
      <c r="Q37" s="81"/>
      <c r="R37" s="26" t="s">
        <v>982</v>
      </c>
      <c r="S37" s="21"/>
      <c r="T37" s="32" t="s">
        <v>953</v>
      </c>
      <c r="U37" s="21"/>
    </row>
    <row r="38" spans="1:21" ht="20.100000000000001" hidden="1" customHeight="1" x14ac:dyDescent="0.3">
      <c r="A38" s="44">
        <v>30</v>
      </c>
      <c r="B38" s="78">
        <v>45780</v>
      </c>
      <c r="C38" s="145"/>
      <c r="D38" s="80" t="s">
        <v>954</v>
      </c>
      <c r="E38" s="148"/>
      <c r="F38" s="82">
        <v>200</v>
      </c>
      <c r="G38" s="82">
        <v>100</v>
      </c>
      <c r="H38" s="82">
        <f t="shared" si="2"/>
        <v>20000</v>
      </c>
      <c r="I38" s="144" t="s">
        <v>230</v>
      </c>
      <c r="J38" s="145"/>
      <c r="K38" s="91">
        <v>102</v>
      </c>
      <c r="L38" s="92">
        <v>0.12</v>
      </c>
      <c r="M38" s="31">
        <f t="shared" si="0"/>
        <v>12.24</v>
      </c>
      <c r="N38" s="31">
        <f t="shared" si="1"/>
        <v>114.24</v>
      </c>
      <c r="O38" s="25"/>
      <c r="P38" s="78">
        <v>45780</v>
      </c>
      <c r="Q38" s="81"/>
      <c r="R38" s="26" t="s">
        <v>983</v>
      </c>
      <c r="S38" s="21"/>
      <c r="T38" s="32" t="s">
        <v>609</v>
      </c>
      <c r="U38" s="21"/>
    </row>
    <row r="39" spans="1:21" ht="20.100000000000001" hidden="1" customHeight="1" x14ac:dyDescent="0.3">
      <c r="A39" s="44">
        <v>31</v>
      </c>
      <c r="B39" s="78">
        <v>45780</v>
      </c>
      <c r="C39" s="145"/>
      <c r="D39" s="80" t="s">
        <v>549</v>
      </c>
      <c r="E39" s="148"/>
      <c r="F39" s="82">
        <v>100</v>
      </c>
      <c r="G39" s="82">
        <v>100</v>
      </c>
      <c r="H39" s="82">
        <f t="shared" si="2"/>
        <v>10000</v>
      </c>
      <c r="I39" s="144" t="s">
        <v>230</v>
      </c>
      <c r="J39" s="145"/>
      <c r="K39" s="91">
        <v>225</v>
      </c>
      <c r="L39" s="92">
        <v>0.12</v>
      </c>
      <c r="M39" s="31">
        <f t="shared" si="0"/>
        <v>27</v>
      </c>
      <c r="N39" s="31">
        <f t="shared" si="1"/>
        <v>252</v>
      </c>
      <c r="O39" s="25"/>
      <c r="P39" s="78">
        <v>45780</v>
      </c>
      <c r="Q39" s="81"/>
      <c r="R39" s="26" t="s">
        <v>983</v>
      </c>
      <c r="S39" s="21"/>
      <c r="T39" s="32" t="s">
        <v>609</v>
      </c>
      <c r="U39" s="21"/>
    </row>
    <row r="40" spans="1:21" ht="20.100000000000001" hidden="1" customHeight="1" x14ac:dyDescent="0.3">
      <c r="A40" s="44">
        <v>32</v>
      </c>
      <c r="B40" s="78">
        <v>45780</v>
      </c>
      <c r="C40" s="145"/>
      <c r="D40" s="80" t="s">
        <v>400</v>
      </c>
      <c r="E40" s="148"/>
      <c r="F40" s="82">
        <v>500</v>
      </c>
      <c r="G40" s="82">
        <v>1</v>
      </c>
      <c r="H40" s="82">
        <f t="shared" si="2"/>
        <v>500</v>
      </c>
      <c r="I40" s="144" t="s">
        <v>230</v>
      </c>
      <c r="J40" s="145"/>
      <c r="K40" s="91">
        <v>75</v>
      </c>
      <c r="L40" s="92">
        <v>0.12</v>
      </c>
      <c r="M40" s="31">
        <f t="shared" si="0"/>
        <v>9</v>
      </c>
      <c r="N40" s="31">
        <f t="shared" si="1"/>
        <v>84</v>
      </c>
      <c r="O40" s="25"/>
      <c r="P40" s="78">
        <v>45780</v>
      </c>
      <c r="Q40" s="81"/>
      <c r="R40" s="26" t="s">
        <v>984</v>
      </c>
      <c r="S40" s="21"/>
      <c r="T40" s="32" t="s">
        <v>713</v>
      </c>
      <c r="U40" s="21"/>
    </row>
    <row r="41" spans="1:21" ht="20.100000000000001" hidden="1" customHeight="1" x14ac:dyDescent="0.3">
      <c r="A41" s="44">
        <v>33</v>
      </c>
      <c r="B41" s="78">
        <v>45780</v>
      </c>
      <c r="C41" s="145"/>
      <c r="D41" s="80" t="s">
        <v>591</v>
      </c>
      <c r="E41" s="148"/>
      <c r="F41" s="82">
        <v>50</v>
      </c>
      <c r="G41" s="82">
        <v>1000</v>
      </c>
      <c r="H41" s="82">
        <f t="shared" si="2"/>
        <v>50000</v>
      </c>
      <c r="I41" s="144" t="s">
        <v>51</v>
      </c>
      <c r="J41" s="145"/>
      <c r="K41" s="91">
        <v>1025</v>
      </c>
      <c r="L41" s="92">
        <v>0.05</v>
      </c>
      <c r="M41" s="31">
        <f t="shared" si="0"/>
        <v>51.25</v>
      </c>
      <c r="N41" s="31">
        <f t="shared" si="1"/>
        <v>1076.25</v>
      </c>
      <c r="O41" s="25"/>
      <c r="P41" s="78">
        <v>45780</v>
      </c>
      <c r="Q41" s="81"/>
      <c r="R41" s="26" t="s">
        <v>985</v>
      </c>
      <c r="S41" s="21"/>
      <c r="T41" s="32" t="s">
        <v>309</v>
      </c>
      <c r="U41" s="21"/>
    </row>
    <row r="42" spans="1:21" ht="20.100000000000001" hidden="1" customHeight="1" x14ac:dyDescent="0.3">
      <c r="A42" s="44">
        <v>34</v>
      </c>
      <c r="B42" s="78">
        <v>45780</v>
      </c>
      <c r="C42" s="145"/>
      <c r="D42" s="80" t="s">
        <v>402</v>
      </c>
      <c r="E42" s="148"/>
      <c r="F42" s="82">
        <v>100</v>
      </c>
      <c r="G42" s="82">
        <v>1</v>
      </c>
      <c r="H42" s="82">
        <f t="shared" si="2"/>
        <v>100</v>
      </c>
      <c r="I42" s="144" t="s">
        <v>18</v>
      </c>
      <c r="J42" s="145"/>
      <c r="K42" s="91">
        <v>730</v>
      </c>
      <c r="L42" s="92"/>
      <c r="M42" s="31">
        <f t="shared" si="0"/>
        <v>0</v>
      </c>
      <c r="N42" s="31">
        <f t="shared" si="1"/>
        <v>730</v>
      </c>
      <c r="O42" s="25"/>
      <c r="P42" s="78">
        <v>45780</v>
      </c>
      <c r="Q42" s="81"/>
      <c r="R42" s="26" t="s">
        <v>986</v>
      </c>
      <c r="S42" s="21"/>
      <c r="T42" s="32" t="s">
        <v>955</v>
      </c>
      <c r="U42" s="21"/>
    </row>
    <row r="43" spans="1:21" ht="20.100000000000001" hidden="1" customHeight="1" x14ac:dyDescent="0.3">
      <c r="A43" s="44">
        <v>35</v>
      </c>
      <c r="B43" s="78">
        <v>45784</v>
      </c>
      <c r="C43" s="145"/>
      <c r="D43" s="80" t="s">
        <v>956</v>
      </c>
      <c r="E43" s="148"/>
      <c r="F43" s="82">
        <v>100</v>
      </c>
      <c r="G43" s="82">
        <v>1</v>
      </c>
      <c r="H43" s="82">
        <f t="shared" ref="H43" si="5">F43*G43</f>
        <v>100</v>
      </c>
      <c r="I43" s="144" t="s">
        <v>56</v>
      </c>
      <c r="J43" s="145"/>
      <c r="K43" s="91">
        <v>550</v>
      </c>
      <c r="L43" s="92"/>
      <c r="M43" s="31">
        <f t="shared" si="0"/>
        <v>0</v>
      </c>
      <c r="N43" s="31">
        <f t="shared" si="1"/>
        <v>550</v>
      </c>
      <c r="O43" s="25"/>
      <c r="P43" s="78">
        <v>45784</v>
      </c>
      <c r="Q43" s="81"/>
      <c r="R43" s="26" t="s">
        <v>987</v>
      </c>
      <c r="S43" s="21"/>
      <c r="T43" s="32" t="s">
        <v>957</v>
      </c>
      <c r="U43" s="21"/>
    </row>
    <row r="44" spans="1:21" ht="20.100000000000001" hidden="1" customHeight="1" x14ac:dyDescent="0.3">
      <c r="A44" s="44">
        <v>36</v>
      </c>
      <c r="B44" s="65">
        <v>45776</v>
      </c>
      <c r="C44" s="145" t="s">
        <v>959</v>
      </c>
      <c r="D44" s="80" t="s">
        <v>380</v>
      </c>
      <c r="E44" s="148"/>
      <c r="F44" s="82">
        <v>144</v>
      </c>
      <c r="G44" s="82">
        <v>1</v>
      </c>
      <c r="H44" s="82">
        <f t="shared" si="2"/>
        <v>144</v>
      </c>
      <c r="I44" s="144" t="s">
        <v>18</v>
      </c>
      <c r="J44" s="145"/>
      <c r="K44" s="91">
        <v>135</v>
      </c>
      <c r="L44" s="92"/>
      <c r="M44" s="31">
        <f t="shared" si="0"/>
        <v>0</v>
      </c>
      <c r="N44" s="31">
        <f>K44+M44</f>
        <v>135</v>
      </c>
      <c r="O44" s="25"/>
      <c r="P44" s="78">
        <v>45797</v>
      </c>
      <c r="Q44" s="81"/>
      <c r="R44" s="26" t="s">
        <v>988</v>
      </c>
      <c r="S44" s="21"/>
      <c r="T44" s="32" t="s">
        <v>958</v>
      </c>
      <c r="U44" s="21"/>
    </row>
    <row r="45" spans="1:21" ht="20.100000000000001" hidden="1" customHeight="1" x14ac:dyDescent="0.3">
      <c r="A45" s="44">
        <v>37</v>
      </c>
      <c r="B45" s="65">
        <v>45776</v>
      </c>
      <c r="C45" s="145" t="s">
        <v>959</v>
      </c>
      <c r="D45" s="80" t="s">
        <v>380</v>
      </c>
      <c r="E45" s="148"/>
      <c r="F45" s="82">
        <v>504</v>
      </c>
      <c r="G45" s="82">
        <v>1</v>
      </c>
      <c r="H45" s="82">
        <f t="shared" ref="H45" si="6">F45*G45</f>
        <v>504</v>
      </c>
      <c r="I45" s="144" t="s">
        <v>18</v>
      </c>
      <c r="J45" s="145"/>
      <c r="K45" s="91">
        <v>135</v>
      </c>
      <c r="L45" s="92"/>
      <c r="M45" s="31">
        <f t="shared" si="0"/>
        <v>0</v>
      </c>
      <c r="N45" s="31">
        <f t="shared" si="1"/>
        <v>135</v>
      </c>
      <c r="O45" s="25"/>
      <c r="P45" s="78">
        <v>45797</v>
      </c>
      <c r="Q45" s="81"/>
      <c r="R45" s="26" t="s">
        <v>989</v>
      </c>
      <c r="S45" s="21"/>
      <c r="T45" s="32" t="s">
        <v>609</v>
      </c>
      <c r="U45" s="21"/>
    </row>
    <row r="46" spans="1:21" ht="20.100000000000001" hidden="1" customHeight="1" x14ac:dyDescent="0.3">
      <c r="A46" s="44">
        <v>38</v>
      </c>
      <c r="B46" s="78">
        <v>45798</v>
      </c>
      <c r="C46" s="145"/>
      <c r="D46" s="80" t="s">
        <v>960</v>
      </c>
      <c r="E46" s="148"/>
      <c r="F46" s="82">
        <v>46</v>
      </c>
      <c r="G46" s="82">
        <v>1000</v>
      </c>
      <c r="H46" s="82">
        <f t="shared" si="2"/>
        <v>46000</v>
      </c>
      <c r="I46" s="144" t="s">
        <v>51</v>
      </c>
      <c r="J46" s="145"/>
      <c r="K46" s="91">
        <v>1875</v>
      </c>
      <c r="L46" s="92">
        <v>0.05</v>
      </c>
      <c r="M46" s="31">
        <f t="shared" si="0"/>
        <v>93.75</v>
      </c>
      <c r="N46" s="31">
        <f t="shared" si="1"/>
        <v>1968.75</v>
      </c>
      <c r="O46" s="25"/>
      <c r="P46" s="78">
        <v>45798</v>
      </c>
      <c r="Q46" s="81"/>
      <c r="R46" s="26" t="s">
        <v>990</v>
      </c>
      <c r="S46" s="21"/>
      <c r="T46" s="32" t="s">
        <v>609</v>
      </c>
      <c r="U46" s="21"/>
    </row>
    <row r="47" spans="1:21" ht="20.100000000000001" hidden="1" customHeight="1" x14ac:dyDescent="0.3">
      <c r="A47" s="44">
        <v>39</v>
      </c>
      <c r="B47" s="78">
        <v>45798</v>
      </c>
      <c r="C47" s="145"/>
      <c r="D47" s="80" t="s">
        <v>961</v>
      </c>
      <c r="E47" s="148"/>
      <c r="F47" s="82">
        <v>49</v>
      </c>
      <c r="G47" s="82">
        <v>1000</v>
      </c>
      <c r="H47" s="82">
        <f t="shared" si="2"/>
        <v>49000</v>
      </c>
      <c r="I47" s="144" t="s">
        <v>51</v>
      </c>
      <c r="J47" s="145"/>
      <c r="K47" s="91">
        <v>5615</v>
      </c>
      <c r="L47" s="92">
        <v>0.05</v>
      </c>
      <c r="M47" s="31">
        <f t="shared" si="0"/>
        <v>280.75</v>
      </c>
      <c r="N47" s="31">
        <f t="shared" si="1"/>
        <v>5895.75</v>
      </c>
      <c r="O47" s="25"/>
      <c r="P47" s="78">
        <v>45798</v>
      </c>
      <c r="Q47" s="81"/>
      <c r="R47" s="26" t="s">
        <v>990</v>
      </c>
      <c r="S47" s="21"/>
      <c r="T47" s="32" t="s">
        <v>609</v>
      </c>
      <c r="U47" s="21"/>
    </row>
    <row r="48" spans="1:21" ht="20.100000000000001" hidden="1" customHeight="1" x14ac:dyDescent="0.3">
      <c r="A48" s="44">
        <v>40</v>
      </c>
      <c r="B48" s="78">
        <v>45798</v>
      </c>
      <c r="C48" s="145"/>
      <c r="D48" s="80" t="s">
        <v>912</v>
      </c>
      <c r="E48" s="148"/>
      <c r="F48" s="82">
        <v>41</v>
      </c>
      <c r="G48" s="82">
        <v>1000</v>
      </c>
      <c r="H48" s="82">
        <f t="shared" si="2"/>
        <v>41000</v>
      </c>
      <c r="I48" s="144" t="s">
        <v>51</v>
      </c>
      <c r="J48" s="145"/>
      <c r="K48" s="91">
        <v>450</v>
      </c>
      <c r="L48" s="92">
        <v>0.05</v>
      </c>
      <c r="M48" s="31">
        <f t="shared" si="0"/>
        <v>22.5</v>
      </c>
      <c r="N48" s="31">
        <f t="shared" si="1"/>
        <v>472.5</v>
      </c>
      <c r="O48" s="25"/>
      <c r="P48" s="78">
        <v>45798</v>
      </c>
      <c r="Q48" s="81"/>
      <c r="R48" s="26" t="s">
        <v>991</v>
      </c>
      <c r="S48" s="21"/>
      <c r="T48" s="32" t="s">
        <v>1040</v>
      </c>
      <c r="U48" s="21"/>
    </row>
    <row r="49" spans="1:21" ht="20.100000000000001" hidden="1" customHeight="1" x14ac:dyDescent="0.3">
      <c r="A49" s="44">
        <v>41</v>
      </c>
      <c r="B49" s="78">
        <v>45798</v>
      </c>
      <c r="C49" s="145"/>
      <c r="D49" s="80" t="s">
        <v>962</v>
      </c>
      <c r="E49" s="148"/>
      <c r="F49" s="82">
        <v>49</v>
      </c>
      <c r="G49" s="82">
        <v>1000</v>
      </c>
      <c r="H49" s="82">
        <f t="shared" si="2"/>
        <v>49000</v>
      </c>
      <c r="I49" s="144" t="s">
        <v>51</v>
      </c>
      <c r="J49" s="145"/>
      <c r="K49" s="91">
        <v>1150</v>
      </c>
      <c r="L49" s="92">
        <v>0.05</v>
      </c>
      <c r="M49" s="31">
        <f t="shared" si="0"/>
        <v>57.5</v>
      </c>
      <c r="N49" s="31">
        <f t="shared" si="1"/>
        <v>1207.5</v>
      </c>
      <c r="O49" s="25"/>
      <c r="P49" s="78">
        <v>45798</v>
      </c>
      <c r="Q49" s="81"/>
      <c r="R49" s="26" t="s">
        <v>991</v>
      </c>
      <c r="S49" s="21"/>
      <c r="T49" s="32" t="s">
        <v>963</v>
      </c>
      <c r="U49" s="21"/>
    </row>
    <row r="50" spans="1:21" ht="20.100000000000001" hidden="1" customHeight="1" x14ac:dyDescent="0.3">
      <c r="A50" s="44">
        <v>42</v>
      </c>
      <c r="B50" s="78">
        <v>45798</v>
      </c>
      <c r="C50" s="145"/>
      <c r="D50" s="80" t="s">
        <v>602</v>
      </c>
      <c r="E50" s="148"/>
      <c r="F50" s="82">
        <v>41</v>
      </c>
      <c r="G50" s="82">
        <v>1000</v>
      </c>
      <c r="H50" s="82">
        <f t="shared" si="2"/>
        <v>41000</v>
      </c>
      <c r="I50" s="144" t="s">
        <v>51</v>
      </c>
      <c r="J50" s="145"/>
      <c r="K50" s="91">
        <v>1500.04</v>
      </c>
      <c r="L50" s="92">
        <v>0.05</v>
      </c>
      <c r="M50" s="31">
        <f t="shared" si="0"/>
        <v>75.001999999999995</v>
      </c>
      <c r="N50" s="31">
        <f t="shared" si="1"/>
        <v>1575.0419999999999</v>
      </c>
      <c r="O50" s="25"/>
      <c r="P50" s="78">
        <v>45798</v>
      </c>
      <c r="Q50" s="81"/>
      <c r="R50" s="26" t="s">
        <v>991</v>
      </c>
      <c r="S50" s="21"/>
      <c r="T50" s="32" t="s">
        <v>1040</v>
      </c>
      <c r="U50" s="21"/>
    </row>
    <row r="51" spans="1:21" ht="20.100000000000001" hidden="1" customHeight="1" x14ac:dyDescent="0.3">
      <c r="A51" s="44">
        <v>43</v>
      </c>
      <c r="B51" s="78">
        <v>45798</v>
      </c>
      <c r="C51" s="145"/>
      <c r="D51" s="80" t="s">
        <v>887</v>
      </c>
      <c r="E51" s="148"/>
      <c r="F51" s="82">
        <v>70</v>
      </c>
      <c r="G51" s="82">
        <v>1000</v>
      </c>
      <c r="H51" s="82">
        <f t="shared" si="2"/>
        <v>70000</v>
      </c>
      <c r="I51" s="144" t="s">
        <v>51</v>
      </c>
      <c r="J51" s="145"/>
      <c r="K51" s="91">
        <v>2499.31</v>
      </c>
      <c r="L51" s="92">
        <v>0.05</v>
      </c>
      <c r="M51" s="31">
        <f t="shared" si="0"/>
        <v>124.96550000000001</v>
      </c>
      <c r="N51" s="31">
        <f t="shared" si="1"/>
        <v>2624.2754999999997</v>
      </c>
      <c r="O51" s="25"/>
      <c r="P51" s="78">
        <v>45798</v>
      </c>
      <c r="Q51" s="81"/>
      <c r="R51" s="26" t="s">
        <v>991</v>
      </c>
      <c r="S51" s="21"/>
      <c r="T51" s="32" t="s">
        <v>1040</v>
      </c>
      <c r="U51" s="21"/>
    </row>
    <row r="52" spans="1:21" ht="20.100000000000001" hidden="1" customHeight="1" x14ac:dyDescent="0.3">
      <c r="A52" s="44">
        <v>44</v>
      </c>
      <c r="B52" s="78">
        <v>45798</v>
      </c>
      <c r="C52" s="145"/>
      <c r="D52" s="80" t="s">
        <v>605</v>
      </c>
      <c r="E52" s="148"/>
      <c r="F52" s="82">
        <v>20</v>
      </c>
      <c r="G52" s="82">
        <v>2500</v>
      </c>
      <c r="H52" s="82">
        <f t="shared" si="2"/>
        <v>50000</v>
      </c>
      <c r="I52" s="144" t="s">
        <v>51</v>
      </c>
      <c r="J52" s="145"/>
      <c r="K52" s="91">
        <v>296</v>
      </c>
      <c r="L52" s="92">
        <v>0.05</v>
      </c>
      <c r="M52" s="31">
        <f t="shared" si="0"/>
        <v>14.8</v>
      </c>
      <c r="N52" s="31">
        <f t="shared" si="1"/>
        <v>310.8</v>
      </c>
      <c r="O52" s="25"/>
      <c r="P52" s="78">
        <v>45798</v>
      </c>
      <c r="Q52" s="81"/>
      <c r="R52" s="26" t="s">
        <v>992</v>
      </c>
      <c r="S52" s="21"/>
      <c r="T52" s="32" t="s">
        <v>682</v>
      </c>
      <c r="U52" s="21"/>
    </row>
    <row r="53" spans="1:21" ht="20.100000000000001" hidden="1" customHeight="1" x14ac:dyDescent="0.3">
      <c r="A53" s="44">
        <v>45</v>
      </c>
      <c r="B53" s="78">
        <v>45798</v>
      </c>
      <c r="C53" s="145"/>
      <c r="D53" s="80" t="s">
        <v>1140</v>
      </c>
      <c r="E53" s="148"/>
      <c r="F53" s="82">
        <v>100</v>
      </c>
      <c r="G53" s="82">
        <v>2500</v>
      </c>
      <c r="H53" s="82">
        <f t="shared" si="2"/>
        <v>250000</v>
      </c>
      <c r="I53" s="144" t="s">
        <v>51</v>
      </c>
      <c r="J53" s="145"/>
      <c r="K53" s="91">
        <v>550</v>
      </c>
      <c r="L53" s="92">
        <v>0.05</v>
      </c>
      <c r="M53" s="31">
        <f t="shared" si="0"/>
        <v>27.5</v>
      </c>
      <c r="N53" s="31">
        <f t="shared" si="1"/>
        <v>577.5</v>
      </c>
      <c r="O53" s="25"/>
      <c r="P53" s="78">
        <v>45798</v>
      </c>
      <c r="Q53" s="81"/>
      <c r="R53" s="26" t="s">
        <v>992</v>
      </c>
      <c r="S53" s="21"/>
      <c r="T53" s="32" t="s">
        <v>682</v>
      </c>
      <c r="U53" s="21"/>
    </row>
    <row r="54" spans="1:21" ht="20.100000000000001" hidden="1" customHeight="1" x14ac:dyDescent="0.3">
      <c r="A54" s="44">
        <v>46</v>
      </c>
      <c r="B54" s="78">
        <v>45798</v>
      </c>
      <c r="C54" s="145"/>
      <c r="D54" s="80" t="s">
        <v>535</v>
      </c>
      <c r="E54" s="148"/>
      <c r="F54" s="82">
        <v>41</v>
      </c>
      <c r="G54" s="82">
        <v>1000</v>
      </c>
      <c r="H54" s="82">
        <f t="shared" si="2"/>
        <v>41000</v>
      </c>
      <c r="I54" s="144" t="s">
        <v>51</v>
      </c>
      <c r="J54" s="145"/>
      <c r="K54" s="91">
        <v>170</v>
      </c>
      <c r="L54" s="92">
        <v>0.05</v>
      </c>
      <c r="M54" s="31">
        <f t="shared" si="0"/>
        <v>8.5</v>
      </c>
      <c r="N54" s="31">
        <f t="shared" si="1"/>
        <v>178.5</v>
      </c>
      <c r="O54" s="25"/>
      <c r="P54" s="78">
        <v>45798</v>
      </c>
      <c r="Q54" s="81"/>
      <c r="R54" s="26" t="s">
        <v>993</v>
      </c>
      <c r="S54" s="21"/>
      <c r="T54" s="32" t="s">
        <v>309</v>
      </c>
      <c r="U54" s="21"/>
    </row>
    <row r="55" spans="1:21" ht="20.100000000000001" hidden="1" customHeight="1" x14ac:dyDescent="0.3">
      <c r="A55" s="44">
        <v>47</v>
      </c>
      <c r="B55" s="78">
        <v>45798</v>
      </c>
      <c r="C55" s="145"/>
      <c r="D55" s="80" t="s">
        <v>650</v>
      </c>
      <c r="E55" s="148"/>
      <c r="F55" s="82">
        <v>82</v>
      </c>
      <c r="G55" s="82">
        <v>1000</v>
      </c>
      <c r="H55" s="82">
        <f t="shared" si="2"/>
        <v>82000</v>
      </c>
      <c r="I55" s="144" t="s">
        <v>51</v>
      </c>
      <c r="J55" s="145" t="s">
        <v>717</v>
      </c>
      <c r="K55" s="89">
        <v>230</v>
      </c>
      <c r="L55" s="92">
        <v>0.05</v>
      </c>
      <c r="M55" s="31">
        <f t="shared" si="0"/>
        <v>11.5</v>
      </c>
      <c r="N55" s="31">
        <f t="shared" si="1"/>
        <v>241.5</v>
      </c>
      <c r="O55" s="25"/>
      <c r="P55" s="78">
        <v>45798</v>
      </c>
      <c r="Q55" s="81"/>
      <c r="R55" s="26" t="s">
        <v>993</v>
      </c>
      <c r="S55" s="21"/>
      <c r="T55" s="32" t="s">
        <v>309</v>
      </c>
      <c r="U55" s="21"/>
    </row>
    <row r="56" spans="1:21" ht="20.100000000000001" hidden="1" customHeight="1" x14ac:dyDescent="0.3">
      <c r="A56" s="44">
        <v>48</v>
      </c>
      <c r="B56" s="78">
        <v>45798</v>
      </c>
      <c r="C56" s="145"/>
      <c r="D56" s="80" t="s">
        <v>532</v>
      </c>
      <c r="E56" s="148"/>
      <c r="F56" s="82">
        <v>41</v>
      </c>
      <c r="G56" s="82">
        <v>1000</v>
      </c>
      <c r="H56" s="82">
        <f t="shared" si="2"/>
        <v>41000</v>
      </c>
      <c r="I56" s="144" t="s">
        <v>51</v>
      </c>
      <c r="J56" s="145"/>
      <c r="K56" s="91">
        <v>106</v>
      </c>
      <c r="L56" s="92">
        <v>0.05</v>
      </c>
      <c r="M56" s="31">
        <f t="shared" si="0"/>
        <v>5.3000000000000007</v>
      </c>
      <c r="N56" s="31">
        <f t="shared" si="1"/>
        <v>111.3</v>
      </c>
      <c r="O56" s="25"/>
      <c r="P56" s="78">
        <v>45798</v>
      </c>
      <c r="Q56" s="81"/>
      <c r="R56" s="26" t="s">
        <v>993</v>
      </c>
      <c r="S56" s="21"/>
      <c r="T56" s="32" t="s">
        <v>309</v>
      </c>
      <c r="U56" s="21"/>
    </row>
    <row r="57" spans="1:21" ht="20.100000000000001" hidden="1" customHeight="1" x14ac:dyDescent="0.3">
      <c r="A57" s="44">
        <v>49</v>
      </c>
      <c r="B57" s="78">
        <v>45798</v>
      </c>
      <c r="C57" s="145"/>
      <c r="D57" s="80" t="s">
        <v>256</v>
      </c>
      <c r="E57" s="148"/>
      <c r="F57" s="82">
        <v>41</v>
      </c>
      <c r="G57" s="82">
        <v>1000</v>
      </c>
      <c r="H57" s="82">
        <f t="shared" si="2"/>
        <v>41000</v>
      </c>
      <c r="I57" s="144" t="s">
        <v>51</v>
      </c>
      <c r="J57" s="145"/>
      <c r="K57" s="91">
        <v>56</v>
      </c>
      <c r="L57" s="92">
        <v>0.05</v>
      </c>
      <c r="M57" s="31">
        <f t="shared" si="0"/>
        <v>2.8000000000000003</v>
      </c>
      <c r="N57" s="31">
        <f t="shared" si="1"/>
        <v>58.8</v>
      </c>
      <c r="O57" s="25"/>
      <c r="P57" s="78">
        <v>45798</v>
      </c>
      <c r="Q57" s="81"/>
      <c r="R57" s="26" t="s">
        <v>993</v>
      </c>
      <c r="S57" s="21"/>
      <c r="T57" s="32" t="s">
        <v>309</v>
      </c>
      <c r="U57" s="21"/>
    </row>
    <row r="58" spans="1:21" ht="20.100000000000001" hidden="1" customHeight="1" x14ac:dyDescent="0.3">
      <c r="A58" s="44">
        <v>50</v>
      </c>
      <c r="B58" s="78">
        <v>45798</v>
      </c>
      <c r="C58" s="145"/>
      <c r="D58" s="80" t="s">
        <v>965</v>
      </c>
      <c r="E58" s="148"/>
      <c r="F58" s="82">
        <v>41</v>
      </c>
      <c r="G58" s="82">
        <v>1000</v>
      </c>
      <c r="H58" s="82">
        <f t="shared" si="2"/>
        <v>41000</v>
      </c>
      <c r="I58" s="144" t="s">
        <v>51</v>
      </c>
      <c r="J58" s="145"/>
      <c r="K58" s="91">
        <v>142</v>
      </c>
      <c r="L58" s="92">
        <v>0.05</v>
      </c>
      <c r="M58" s="31">
        <f t="shared" si="0"/>
        <v>7.1000000000000005</v>
      </c>
      <c r="N58" s="31">
        <f t="shared" si="1"/>
        <v>149.1</v>
      </c>
      <c r="O58" s="25"/>
      <c r="P58" s="78">
        <v>45798</v>
      </c>
      <c r="Q58" s="81"/>
      <c r="R58" s="26" t="s">
        <v>993</v>
      </c>
      <c r="S58" s="21"/>
      <c r="T58" s="32" t="s">
        <v>309</v>
      </c>
      <c r="U58" s="21"/>
    </row>
    <row r="59" spans="1:21" ht="20.100000000000001" hidden="1" customHeight="1" x14ac:dyDescent="0.3">
      <c r="A59" s="44">
        <v>51</v>
      </c>
      <c r="B59" s="78">
        <v>45798</v>
      </c>
      <c r="C59" s="145"/>
      <c r="D59" s="80" t="s">
        <v>247</v>
      </c>
      <c r="E59" s="148"/>
      <c r="F59" s="82">
        <v>41</v>
      </c>
      <c r="G59" s="82">
        <v>1000</v>
      </c>
      <c r="H59" s="82">
        <f t="shared" si="2"/>
        <v>41000</v>
      </c>
      <c r="I59" s="144" t="s">
        <v>51</v>
      </c>
      <c r="J59" s="145"/>
      <c r="K59" s="91">
        <v>126</v>
      </c>
      <c r="L59" s="92">
        <v>0.05</v>
      </c>
      <c r="M59" s="31">
        <f t="shared" si="0"/>
        <v>6.3000000000000007</v>
      </c>
      <c r="N59" s="31">
        <f t="shared" si="1"/>
        <v>132.30000000000001</v>
      </c>
      <c r="O59" s="25"/>
      <c r="P59" s="78">
        <v>45798</v>
      </c>
      <c r="Q59" s="81"/>
      <c r="R59" s="26" t="s">
        <v>993</v>
      </c>
      <c r="S59" s="21"/>
      <c r="T59" s="32" t="s">
        <v>309</v>
      </c>
      <c r="U59" s="21"/>
    </row>
    <row r="60" spans="1:21" ht="20.100000000000001" hidden="1" customHeight="1" x14ac:dyDescent="0.3">
      <c r="A60" s="44">
        <v>52</v>
      </c>
      <c r="B60" s="78">
        <v>45798</v>
      </c>
      <c r="C60" s="145"/>
      <c r="D60" s="80" t="s">
        <v>534</v>
      </c>
      <c r="E60" s="148"/>
      <c r="F60" s="82">
        <v>82</v>
      </c>
      <c r="G60" s="82">
        <v>1000</v>
      </c>
      <c r="H60" s="82">
        <f t="shared" si="2"/>
        <v>82000</v>
      </c>
      <c r="I60" s="144" t="s">
        <v>51</v>
      </c>
      <c r="J60" s="145"/>
      <c r="K60" s="91">
        <v>1961</v>
      </c>
      <c r="L60" s="92">
        <v>0.05</v>
      </c>
      <c r="M60" s="31">
        <f t="shared" si="0"/>
        <v>98.050000000000011</v>
      </c>
      <c r="N60" s="31">
        <f t="shared" si="1"/>
        <v>2059.0500000000002</v>
      </c>
      <c r="O60" s="25"/>
      <c r="P60" s="78">
        <v>45798</v>
      </c>
      <c r="Q60" s="81"/>
      <c r="R60" s="26" t="s">
        <v>993</v>
      </c>
      <c r="S60" s="21"/>
      <c r="T60" s="32" t="s">
        <v>309</v>
      </c>
      <c r="U60" s="21"/>
    </row>
    <row r="61" spans="1:21" ht="20.100000000000001" hidden="1" customHeight="1" x14ac:dyDescent="0.3">
      <c r="A61" s="44">
        <v>53</v>
      </c>
      <c r="B61" s="78">
        <v>45798</v>
      </c>
      <c r="C61" s="145"/>
      <c r="D61" s="80" t="s">
        <v>696</v>
      </c>
      <c r="E61" s="148"/>
      <c r="F61" s="82">
        <v>49</v>
      </c>
      <c r="G61" s="82">
        <v>1000</v>
      </c>
      <c r="H61" s="82">
        <f t="shared" si="2"/>
        <v>49000</v>
      </c>
      <c r="I61" s="144" t="s">
        <v>51</v>
      </c>
      <c r="J61" s="145"/>
      <c r="K61" s="91">
        <v>1995</v>
      </c>
      <c r="L61" s="92">
        <v>0.05</v>
      </c>
      <c r="M61" s="31">
        <f t="shared" si="0"/>
        <v>99.75</v>
      </c>
      <c r="N61" s="31">
        <f t="shared" si="1"/>
        <v>2094.75</v>
      </c>
      <c r="O61" s="25"/>
      <c r="P61" s="78">
        <v>45798</v>
      </c>
      <c r="Q61" s="81"/>
      <c r="R61" s="26" t="s">
        <v>993</v>
      </c>
      <c r="S61" s="21"/>
      <c r="T61" s="32" t="s">
        <v>309</v>
      </c>
      <c r="U61" s="21"/>
    </row>
    <row r="62" spans="1:21" ht="20.100000000000001" hidden="1" customHeight="1" x14ac:dyDescent="0.3">
      <c r="A62" s="44">
        <v>54</v>
      </c>
      <c r="B62" s="78">
        <v>45798</v>
      </c>
      <c r="C62" s="145"/>
      <c r="D62" s="80" t="s">
        <v>407</v>
      </c>
      <c r="E62" s="148"/>
      <c r="F62" s="82">
        <v>40</v>
      </c>
      <c r="G62" s="82">
        <v>1000</v>
      </c>
      <c r="H62" s="82">
        <f t="shared" si="2"/>
        <v>40000</v>
      </c>
      <c r="I62" s="144" t="s">
        <v>51</v>
      </c>
      <c r="J62" s="145"/>
      <c r="K62" s="91">
        <v>3255</v>
      </c>
      <c r="L62" s="92">
        <v>0.05</v>
      </c>
      <c r="M62" s="31">
        <f t="shared" si="0"/>
        <v>162.75</v>
      </c>
      <c r="N62" s="31">
        <f t="shared" si="1"/>
        <v>3417.75</v>
      </c>
      <c r="O62" s="25"/>
      <c r="P62" s="78">
        <v>45798</v>
      </c>
      <c r="Q62" s="81"/>
      <c r="R62" s="26" t="s">
        <v>993</v>
      </c>
      <c r="S62" s="21"/>
      <c r="T62" s="32" t="s">
        <v>309</v>
      </c>
      <c r="U62" s="21"/>
    </row>
    <row r="63" spans="1:21" ht="20.100000000000001" hidden="1" customHeight="1" x14ac:dyDescent="0.3">
      <c r="A63" s="44">
        <v>55</v>
      </c>
      <c r="B63" s="78">
        <v>45798</v>
      </c>
      <c r="C63" s="145"/>
      <c r="D63" s="80" t="s">
        <v>277</v>
      </c>
      <c r="E63" s="148"/>
      <c r="F63" s="82">
        <v>70</v>
      </c>
      <c r="G63" s="82">
        <v>1000</v>
      </c>
      <c r="H63" s="82">
        <f t="shared" si="2"/>
        <v>70000</v>
      </c>
      <c r="I63" s="144" t="s">
        <v>51</v>
      </c>
      <c r="J63" s="145"/>
      <c r="K63" s="91">
        <v>1575</v>
      </c>
      <c r="L63" s="92">
        <v>0.05</v>
      </c>
      <c r="M63" s="31">
        <f t="shared" si="0"/>
        <v>78.75</v>
      </c>
      <c r="N63" s="31">
        <f t="shared" si="1"/>
        <v>1653.75</v>
      </c>
      <c r="O63" s="25"/>
      <c r="P63" s="78">
        <v>45798</v>
      </c>
      <c r="Q63" s="81"/>
      <c r="R63" s="26" t="s">
        <v>993</v>
      </c>
      <c r="S63" s="21"/>
      <c r="T63" s="32" t="s">
        <v>309</v>
      </c>
      <c r="U63" s="21"/>
    </row>
    <row r="64" spans="1:21" ht="20.100000000000001" hidden="1" customHeight="1" x14ac:dyDescent="0.3">
      <c r="A64" s="44">
        <v>56</v>
      </c>
      <c r="B64" s="78">
        <v>45798</v>
      </c>
      <c r="C64" s="145"/>
      <c r="D64" s="80" t="s">
        <v>591</v>
      </c>
      <c r="E64" s="148"/>
      <c r="F64" s="82">
        <v>25</v>
      </c>
      <c r="G64" s="82">
        <v>1000</v>
      </c>
      <c r="H64" s="82">
        <f t="shared" si="2"/>
        <v>25000</v>
      </c>
      <c r="I64" s="144" t="s">
        <v>51</v>
      </c>
      <c r="J64" s="145"/>
      <c r="K64" s="91">
        <v>1025</v>
      </c>
      <c r="L64" s="92">
        <v>0.05</v>
      </c>
      <c r="M64" s="31">
        <f t="shared" si="0"/>
        <v>51.25</v>
      </c>
      <c r="N64" s="31">
        <f t="shared" si="1"/>
        <v>1076.25</v>
      </c>
      <c r="O64" s="25"/>
      <c r="P64" s="78">
        <v>45798</v>
      </c>
      <c r="Q64" s="81"/>
      <c r="R64" s="26" t="s">
        <v>993</v>
      </c>
      <c r="S64" s="21"/>
      <c r="T64" s="32" t="s">
        <v>309</v>
      </c>
      <c r="U64" s="21"/>
    </row>
    <row r="65" spans="1:21" ht="20.100000000000001" hidden="1" customHeight="1" x14ac:dyDescent="0.3">
      <c r="A65" s="44">
        <v>57</v>
      </c>
      <c r="B65" s="78">
        <v>45798</v>
      </c>
      <c r="C65" s="145"/>
      <c r="D65" s="80" t="s">
        <v>968</v>
      </c>
      <c r="E65" s="148"/>
      <c r="F65" s="82">
        <v>25</v>
      </c>
      <c r="G65" s="82">
        <v>1000</v>
      </c>
      <c r="H65" s="82">
        <f t="shared" si="2"/>
        <v>25000</v>
      </c>
      <c r="I65" s="144" t="s">
        <v>51</v>
      </c>
      <c r="J65" s="145"/>
      <c r="K65" s="91">
        <v>3145</v>
      </c>
      <c r="L65" s="92">
        <v>0.05</v>
      </c>
      <c r="M65" s="31">
        <f t="shared" si="0"/>
        <v>157.25</v>
      </c>
      <c r="N65" s="31">
        <f t="shared" si="1"/>
        <v>3302.25</v>
      </c>
      <c r="O65" s="25"/>
      <c r="P65" s="78">
        <v>45798</v>
      </c>
      <c r="Q65" s="81"/>
      <c r="R65" s="26" t="s">
        <v>993</v>
      </c>
      <c r="S65" s="21"/>
      <c r="T65" s="32" t="s">
        <v>309</v>
      </c>
      <c r="U65" s="21"/>
    </row>
    <row r="66" spans="1:21" ht="20.100000000000001" hidden="1" customHeight="1" x14ac:dyDescent="0.3">
      <c r="A66" s="44">
        <v>58</v>
      </c>
      <c r="B66" s="78">
        <v>45798</v>
      </c>
      <c r="C66" s="145"/>
      <c r="D66" s="80" t="s">
        <v>966</v>
      </c>
      <c r="E66" s="148"/>
      <c r="F66" s="82">
        <v>41</v>
      </c>
      <c r="G66" s="82">
        <v>1000</v>
      </c>
      <c r="H66" s="82">
        <f t="shared" si="2"/>
        <v>41000</v>
      </c>
      <c r="I66" s="144" t="s">
        <v>51</v>
      </c>
      <c r="J66" s="145"/>
      <c r="K66" s="91">
        <v>1549</v>
      </c>
      <c r="L66" s="92">
        <v>0.05</v>
      </c>
      <c r="M66" s="31">
        <f t="shared" si="0"/>
        <v>77.45</v>
      </c>
      <c r="N66" s="31">
        <f t="shared" si="1"/>
        <v>1626.45</v>
      </c>
      <c r="O66" s="25"/>
      <c r="P66" s="78">
        <v>45798</v>
      </c>
      <c r="Q66" s="81"/>
      <c r="R66" s="26" t="s">
        <v>993</v>
      </c>
      <c r="S66" s="21"/>
      <c r="T66" s="32" t="s">
        <v>309</v>
      </c>
      <c r="U66" s="21"/>
    </row>
    <row r="67" spans="1:21" ht="20.100000000000001" hidden="1" customHeight="1" x14ac:dyDescent="0.3">
      <c r="A67" s="44">
        <v>59</v>
      </c>
      <c r="B67" s="78">
        <v>45798</v>
      </c>
      <c r="C67" s="145"/>
      <c r="D67" s="80" t="s">
        <v>533</v>
      </c>
      <c r="E67" s="148"/>
      <c r="F67" s="82">
        <v>41</v>
      </c>
      <c r="G67" s="82">
        <v>1000</v>
      </c>
      <c r="H67" s="82">
        <f t="shared" si="2"/>
        <v>41000</v>
      </c>
      <c r="I67" s="144" t="s">
        <v>51</v>
      </c>
      <c r="J67" s="145"/>
      <c r="K67" s="91">
        <v>2363</v>
      </c>
      <c r="L67" s="92">
        <v>0.05</v>
      </c>
      <c r="M67" s="31">
        <f t="shared" si="0"/>
        <v>118.15</v>
      </c>
      <c r="N67" s="31">
        <f t="shared" si="1"/>
        <v>2481.15</v>
      </c>
      <c r="O67" s="25"/>
      <c r="P67" s="78">
        <v>45798</v>
      </c>
      <c r="Q67" s="81"/>
      <c r="R67" s="26" t="s">
        <v>993</v>
      </c>
      <c r="S67" s="21"/>
      <c r="T67" s="32" t="s">
        <v>309</v>
      </c>
      <c r="U67" s="21"/>
    </row>
    <row r="68" spans="1:21" ht="20.100000000000001" hidden="1" customHeight="1" x14ac:dyDescent="0.3">
      <c r="A68" s="44">
        <v>60</v>
      </c>
      <c r="B68" s="78">
        <v>45798</v>
      </c>
      <c r="C68" s="145"/>
      <c r="D68" s="80" t="s">
        <v>945</v>
      </c>
      <c r="E68" s="148"/>
      <c r="F68" s="82">
        <v>74</v>
      </c>
      <c r="G68" s="82">
        <v>1000</v>
      </c>
      <c r="H68" s="82">
        <f t="shared" si="2"/>
        <v>74000</v>
      </c>
      <c r="I68" s="144" t="s">
        <v>51</v>
      </c>
      <c r="J68" s="145"/>
      <c r="K68" s="91">
        <v>1045</v>
      </c>
      <c r="L68" s="92">
        <v>0.05</v>
      </c>
      <c r="M68" s="31">
        <f t="shared" si="0"/>
        <v>52.25</v>
      </c>
      <c r="N68" s="31">
        <f t="shared" si="1"/>
        <v>1097.25</v>
      </c>
      <c r="O68" s="25"/>
      <c r="P68" s="78">
        <v>45798</v>
      </c>
      <c r="Q68" s="81"/>
      <c r="R68" s="26" t="s">
        <v>993</v>
      </c>
      <c r="S68" s="21"/>
      <c r="T68" s="32" t="s">
        <v>309</v>
      </c>
      <c r="U68" s="21"/>
    </row>
    <row r="69" spans="1:21" ht="20.100000000000001" hidden="1" customHeight="1" x14ac:dyDescent="0.3">
      <c r="A69" s="44">
        <v>61</v>
      </c>
      <c r="B69" s="78">
        <v>45798</v>
      </c>
      <c r="C69" s="145"/>
      <c r="D69" s="80" t="s">
        <v>967</v>
      </c>
      <c r="E69" s="148"/>
      <c r="F69" s="82">
        <v>49</v>
      </c>
      <c r="G69" s="82">
        <v>1000</v>
      </c>
      <c r="H69" s="82">
        <f t="shared" si="2"/>
        <v>49000</v>
      </c>
      <c r="I69" s="144" t="s">
        <v>51</v>
      </c>
      <c r="J69" s="145"/>
      <c r="K69" s="91">
        <v>5250</v>
      </c>
      <c r="L69" s="92">
        <v>0.05</v>
      </c>
      <c r="M69" s="31">
        <f t="shared" si="0"/>
        <v>262.5</v>
      </c>
      <c r="N69" s="31">
        <f t="shared" si="1"/>
        <v>5512.5</v>
      </c>
      <c r="O69" s="25"/>
      <c r="P69" s="78">
        <v>45798</v>
      </c>
      <c r="Q69" s="81"/>
      <c r="R69" s="26" t="s">
        <v>993</v>
      </c>
      <c r="S69" s="21"/>
      <c r="T69" s="32" t="s">
        <v>309</v>
      </c>
      <c r="U69" s="21"/>
    </row>
    <row r="70" spans="1:21" ht="20.100000000000001" hidden="1" customHeight="1" x14ac:dyDescent="0.3">
      <c r="A70" s="44">
        <v>62</v>
      </c>
      <c r="B70" s="78">
        <v>45798</v>
      </c>
      <c r="C70" s="145"/>
      <c r="D70" s="80" t="s">
        <v>964</v>
      </c>
      <c r="E70" s="148"/>
      <c r="F70" s="82">
        <v>45</v>
      </c>
      <c r="G70" s="82">
        <v>200</v>
      </c>
      <c r="H70" s="82">
        <f t="shared" si="2"/>
        <v>9000</v>
      </c>
      <c r="I70" s="144" t="s">
        <v>230</v>
      </c>
      <c r="J70" s="145"/>
      <c r="K70" s="91">
        <v>1.75</v>
      </c>
      <c r="L70" s="92">
        <v>0.05</v>
      </c>
      <c r="M70" s="31">
        <f t="shared" si="0"/>
        <v>8.7500000000000008E-2</v>
      </c>
      <c r="N70" s="31">
        <f t="shared" si="1"/>
        <v>1.8374999999999999</v>
      </c>
      <c r="O70" s="25"/>
      <c r="P70" s="78">
        <v>45798</v>
      </c>
      <c r="Q70" s="81"/>
      <c r="R70" s="26" t="s">
        <v>993</v>
      </c>
      <c r="S70" s="21"/>
      <c r="T70" s="32" t="s">
        <v>309</v>
      </c>
      <c r="U70" s="21"/>
    </row>
    <row r="71" spans="1:21" ht="20.100000000000001" hidden="1" customHeight="1" x14ac:dyDescent="0.3">
      <c r="A71" s="44">
        <v>63</v>
      </c>
      <c r="B71" s="78">
        <v>45798</v>
      </c>
      <c r="C71" s="145"/>
      <c r="D71" s="80" t="s">
        <v>527</v>
      </c>
      <c r="E71" s="148"/>
      <c r="F71" s="82">
        <v>45</v>
      </c>
      <c r="G71" s="82">
        <v>500</v>
      </c>
      <c r="H71" s="82">
        <f t="shared" si="2"/>
        <v>22500</v>
      </c>
      <c r="I71" s="144" t="s">
        <v>230</v>
      </c>
      <c r="J71" s="145"/>
      <c r="K71" s="91">
        <v>1.75</v>
      </c>
      <c r="L71" s="92">
        <v>0.05</v>
      </c>
      <c r="M71" s="31">
        <f t="shared" si="0"/>
        <v>8.7500000000000008E-2</v>
      </c>
      <c r="N71" s="31">
        <f t="shared" si="1"/>
        <v>1.8374999999999999</v>
      </c>
      <c r="O71" s="25"/>
      <c r="P71" s="78">
        <v>45798</v>
      </c>
      <c r="Q71" s="81"/>
      <c r="R71" s="26" t="s">
        <v>993</v>
      </c>
      <c r="S71" s="21"/>
      <c r="T71" s="32" t="s">
        <v>309</v>
      </c>
      <c r="U71" s="21"/>
    </row>
    <row r="72" spans="1:21" ht="20.100000000000001" hidden="1" customHeight="1" x14ac:dyDescent="0.3">
      <c r="A72" s="44">
        <v>64</v>
      </c>
      <c r="B72" s="78">
        <v>45798</v>
      </c>
      <c r="C72" s="145"/>
      <c r="D72" s="80" t="s">
        <v>528</v>
      </c>
      <c r="E72" s="148"/>
      <c r="F72" s="82">
        <v>85</v>
      </c>
      <c r="G72" s="82">
        <v>200</v>
      </c>
      <c r="H72" s="82">
        <f t="shared" si="2"/>
        <v>17000</v>
      </c>
      <c r="I72" s="144" t="s">
        <v>230</v>
      </c>
      <c r="J72" s="145"/>
      <c r="K72" s="91">
        <v>1.25</v>
      </c>
      <c r="L72" s="92">
        <v>0.05</v>
      </c>
      <c r="M72" s="31">
        <f t="shared" si="0"/>
        <v>6.25E-2</v>
      </c>
      <c r="N72" s="31">
        <f t="shared" si="1"/>
        <v>1.3125</v>
      </c>
      <c r="O72" s="25"/>
      <c r="P72" s="78">
        <v>45798</v>
      </c>
      <c r="Q72" s="81"/>
      <c r="R72" s="26" t="s">
        <v>993</v>
      </c>
      <c r="S72" s="21"/>
      <c r="T72" s="32" t="s">
        <v>309</v>
      </c>
      <c r="U72" s="21"/>
    </row>
    <row r="73" spans="1:21" ht="20.100000000000001" hidden="1" customHeight="1" x14ac:dyDescent="0.3">
      <c r="A73" s="44">
        <v>65</v>
      </c>
      <c r="B73" s="78">
        <v>45798</v>
      </c>
      <c r="C73" s="145"/>
      <c r="D73" s="80" t="s">
        <v>529</v>
      </c>
      <c r="E73" s="148"/>
      <c r="F73" s="82">
        <v>210</v>
      </c>
      <c r="G73" s="82">
        <v>30</v>
      </c>
      <c r="H73" s="82">
        <f t="shared" si="2"/>
        <v>6300</v>
      </c>
      <c r="I73" s="144" t="s">
        <v>230</v>
      </c>
      <c r="J73" s="145"/>
      <c r="K73" s="91">
        <v>1.75</v>
      </c>
      <c r="L73" s="92">
        <v>0.05</v>
      </c>
      <c r="M73" s="31">
        <f t="shared" ref="M73:M136" si="7">K73*L73</f>
        <v>8.7500000000000008E-2</v>
      </c>
      <c r="N73" s="31">
        <f t="shared" ref="N73:N136" si="8">K73+M73</f>
        <v>1.8374999999999999</v>
      </c>
      <c r="O73" s="25"/>
      <c r="P73" s="78">
        <v>45798</v>
      </c>
      <c r="Q73" s="81"/>
      <c r="R73" s="26" t="s">
        <v>993</v>
      </c>
      <c r="S73" s="21"/>
      <c r="T73" s="32" t="s">
        <v>309</v>
      </c>
      <c r="U73" s="21"/>
    </row>
    <row r="74" spans="1:21" ht="20.100000000000001" hidden="1" customHeight="1" x14ac:dyDescent="0.3">
      <c r="A74" s="44">
        <v>66</v>
      </c>
      <c r="B74" s="78">
        <v>45798</v>
      </c>
      <c r="C74" s="145"/>
      <c r="D74" s="80" t="s">
        <v>523</v>
      </c>
      <c r="E74" s="148"/>
      <c r="F74" s="82">
        <v>41</v>
      </c>
      <c r="G74" s="82">
        <v>1000</v>
      </c>
      <c r="H74" s="82">
        <f t="shared" ref="H74:H137" si="9">F74*G74</f>
        <v>41000</v>
      </c>
      <c r="I74" s="144" t="s">
        <v>51</v>
      </c>
      <c r="J74" s="145"/>
      <c r="K74" s="91">
        <v>480</v>
      </c>
      <c r="L74" s="92">
        <v>0.05</v>
      </c>
      <c r="M74" s="31">
        <f t="shared" si="7"/>
        <v>24</v>
      </c>
      <c r="N74" s="31">
        <f t="shared" si="8"/>
        <v>504</v>
      </c>
      <c r="O74" s="25"/>
      <c r="P74" s="78">
        <v>45798</v>
      </c>
      <c r="Q74" s="81"/>
      <c r="R74" s="26" t="s">
        <v>994</v>
      </c>
      <c r="S74" s="21"/>
      <c r="T74" s="32" t="s">
        <v>265</v>
      </c>
      <c r="U74" s="21"/>
    </row>
    <row r="75" spans="1:21" ht="20.100000000000001" hidden="1" customHeight="1" x14ac:dyDescent="0.3">
      <c r="A75" s="44">
        <v>67</v>
      </c>
      <c r="B75" s="78">
        <v>45798</v>
      </c>
      <c r="C75" s="145"/>
      <c r="D75" s="80" t="s">
        <v>524</v>
      </c>
      <c r="E75" s="148"/>
      <c r="F75" s="82">
        <v>41</v>
      </c>
      <c r="G75" s="82">
        <v>1000</v>
      </c>
      <c r="H75" s="82">
        <f t="shared" si="9"/>
        <v>41000</v>
      </c>
      <c r="I75" s="144" t="s">
        <v>51</v>
      </c>
      <c r="J75" s="145"/>
      <c r="K75" s="91">
        <v>2600</v>
      </c>
      <c r="L75" s="92">
        <v>0.05</v>
      </c>
      <c r="M75" s="31">
        <f t="shared" si="7"/>
        <v>130</v>
      </c>
      <c r="N75" s="31">
        <f t="shared" si="8"/>
        <v>2730</v>
      </c>
      <c r="O75" s="25"/>
      <c r="P75" s="78">
        <v>45798</v>
      </c>
      <c r="Q75" s="81"/>
      <c r="R75" s="26" t="s">
        <v>994</v>
      </c>
      <c r="S75" s="21"/>
      <c r="T75" s="32" t="s">
        <v>265</v>
      </c>
      <c r="U75" s="21"/>
    </row>
    <row r="76" spans="1:21" ht="20.100000000000001" hidden="1" customHeight="1" x14ac:dyDescent="0.3">
      <c r="A76" s="44">
        <v>68</v>
      </c>
      <c r="B76" s="78">
        <v>45798</v>
      </c>
      <c r="C76" s="145"/>
      <c r="D76" s="80" t="s">
        <v>969</v>
      </c>
      <c r="E76" s="148"/>
      <c r="F76" s="82">
        <v>41</v>
      </c>
      <c r="G76" s="82">
        <v>1000</v>
      </c>
      <c r="H76" s="82">
        <f t="shared" si="9"/>
        <v>41000</v>
      </c>
      <c r="I76" s="144" t="s">
        <v>51</v>
      </c>
      <c r="J76" s="145"/>
      <c r="K76" s="91">
        <v>6650</v>
      </c>
      <c r="L76" s="92">
        <v>0.05</v>
      </c>
      <c r="M76" s="31">
        <f t="shared" si="7"/>
        <v>332.5</v>
      </c>
      <c r="N76" s="31">
        <f t="shared" si="8"/>
        <v>6982.5</v>
      </c>
      <c r="O76" s="25"/>
      <c r="P76" s="78">
        <v>45798</v>
      </c>
      <c r="Q76" s="81"/>
      <c r="R76" s="26" t="s">
        <v>994</v>
      </c>
      <c r="S76" s="21"/>
      <c r="T76" s="32" t="s">
        <v>265</v>
      </c>
      <c r="U76" s="21"/>
    </row>
    <row r="77" spans="1:21" ht="20.100000000000001" hidden="1" customHeight="1" x14ac:dyDescent="0.3">
      <c r="A77" s="44">
        <v>69</v>
      </c>
      <c r="B77" s="78">
        <v>45798</v>
      </c>
      <c r="C77" s="145"/>
      <c r="D77" s="80" t="s">
        <v>946</v>
      </c>
      <c r="E77" s="148"/>
      <c r="F77" s="82">
        <v>41</v>
      </c>
      <c r="G77" s="82">
        <v>1000</v>
      </c>
      <c r="H77" s="82">
        <f t="shared" si="9"/>
        <v>41000</v>
      </c>
      <c r="I77" s="144" t="s">
        <v>51</v>
      </c>
      <c r="J77" s="145"/>
      <c r="K77" s="91">
        <v>3432</v>
      </c>
      <c r="L77" s="92">
        <v>0.05</v>
      </c>
      <c r="M77" s="31">
        <f t="shared" si="7"/>
        <v>171.60000000000002</v>
      </c>
      <c r="N77" s="31">
        <f t="shared" si="8"/>
        <v>3603.6</v>
      </c>
      <c r="O77" s="25"/>
      <c r="P77" s="78">
        <v>45798</v>
      </c>
      <c r="Q77" s="81"/>
      <c r="R77" s="26" t="s">
        <v>994</v>
      </c>
      <c r="S77" s="21"/>
      <c r="T77" s="32" t="s">
        <v>265</v>
      </c>
      <c r="U77" s="21"/>
    </row>
    <row r="78" spans="1:21" ht="20.100000000000001" hidden="1" customHeight="1" x14ac:dyDescent="0.3">
      <c r="A78" s="44">
        <v>70</v>
      </c>
      <c r="B78" s="78">
        <v>45799</v>
      </c>
      <c r="C78" s="145"/>
      <c r="D78" s="80" t="s">
        <v>720</v>
      </c>
      <c r="E78" s="148"/>
      <c r="F78" s="82">
        <v>40</v>
      </c>
      <c r="G78" s="82">
        <v>25</v>
      </c>
      <c r="H78" s="82">
        <f t="shared" si="9"/>
        <v>1000</v>
      </c>
      <c r="I78" s="144" t="s">
        <v>18</v>
      </c>
      <c r="J78" s="145"/>
      <c r="K78" s="91">
        <v>6250</v>
      </c>
      <c r="L78" s="92"/>
      <c r="M78" s="31">
        <f t="shared" si="7"/>
        <v>0</v>
      </c>
      <c r="N78" s="31">
        <f t="shared" si="8"/>
        <v>6250</v>
      </c>
      <c r="O78" s="25"/>
      <c r="P78" s="78">
        <v>45799</v>
      </c>
      <c r="Q78" s="81"/>
      <c r="R78" s="26" t="s">
        <v>995</v>
      </c>
      <c r="S78" s="21"/>
      <c r="T78" s="32" t="s">
        <v>74</v>
      </c>
      <c r="U78" s="21"/>
    </row>
    <row r="79" spans="1:21" ht="20.100000000000001" hidden="1" customHeight="1" x14ac:dyDescent="0.3">
      <c r="A79" s="44">
        <v>71</v>
      </c>
      <c r="B79" s="78">
        <v>45799</v>
      </c>
      <c r="C79" s="145"/>
      <c r="D79" s="80" t="s">
        <v>597</v>
      </c>
      <c r="E79" s="148"/>
      <c r="F79" s="82">
        <v>40</v>
      </c>
      <c r="G79" s="82">
        <v>5</v>
      </c>
      <c r="H79" s="82">
        <f t="shared" si="9"/>
        <v>200</v>
      </c>
      <c r="I79" s="144" t="s">
        <v>18</v>
      </c>
      <c r="J79" s="145"/>
      <c r="K79" s="91">
        <v>2875</v>
      </c>
      <c r="L79" s="92"/>
      <c r="M79" s="31">
        <f t="shared" si="7"/>
        <v>0</v>
      </c>
      <c r="N79" s="31">
        <f t="shared" si="8"/>
        <v>2875</v>
      </c>
      <c r="O79" s="25"/>
      <c r="P79" s="78">
        <v>45799</v>
      </c>
      <c r="Q79" s="81"/>
      <c r="R79" s="26" t="s">
        <v>996</v>
      </c>
      <c r="S79" s="21"/>
      <c r="T79" s="32" t="s">
        <v>609</v>
      </c>
      <c r="U79" s="21"/>
    </row>
    <row r="80" spans="1:21" ht="20.100000000000001" hidden="1" customHeight="1" x14ac:dyDescent="0.3">
      <c r="A80" s="44">
        <v>72</v>
      </c>
      <c r="B80" s="78">
        <v>45799</v>
      </c>
      <c r="C80" s="145"/>
      <c r="D80" s="80" t="s">
        <v>711</v>
      </c>
      <c r="E80" s="148"/>
      <c r="F80" s="82">
        <v>8</v>
      </c>
      <c r="G80" s="82">
        <v>25</v>
      </c>
      <c r="H80" s="82">
        <f t="shared" si="9"/>
        <v>200</v>
      </c>
      <c r="I80" s="144" t="s">
        <v>18</v>
      </c>
      <c r="J80" s="145"/>
      <c r="K80" s="91">
        <v>12500</v>
      </c>
      <c r="L80" s="92"/>
      <c r="M80" s="31">
        <f t="shared" si="7"/>
        <v>0</v>
      </c>
      <c r="N80" s="31">
        <f t="shared" si="8"/>
        <v>12500</v>
      </c>
      <c r="O80" s="25"/>
      <c r="P80" s="78">
        <v>45799</v>
      </c>
      <c r="Q80" s="81"/>
      <c r="R80" s="26" t="s">
        <v>997</v>
      </c>
      <c r="S80" s="21"/>
      <c r="T80" s="32" t="s">
        <v>349</v>
      </c>
      <c r="U80" s="21"/>
    </row>
    <row r="81" spans="1:21" ht="20.100000000000001" hidden="1" customHeight="1" x14ac:dyDescent="0.3">
      <c r="A81" s="44">
        <v>73</v>
      </c>
      <c r="B81" s="78">
        <v>45804</v>
      </c>
      <c r="C81" s="145"/>
      <c r="D81" s="80" t="s">
        <v>500</v>
      </c>
      <c r="E81" s="148"/>
      <c r="F81" s="82">
        <v>8</v>
      </c>
      <c r="G81" s="82">
        <v>25</v>
      </c>
      <c r="H81" s="82">
        <f t="shared" si="9"/>
        <v>200</v>
      </c>
      <c r="I81" s="144" t="s">
        <v>18</v>
      </c>
      <c r="J81" s="145"/>
      <c r="K81" s="91">
        <v>6000</v>
      </c>
      <c r="L81" s="92"/>
      <c r="M81" s="31">
        <f t="shared" si="7"/>
        <v>0</v>
      </c>
      <c r="N81" s="31">
        <f t="shared" si="8"/>
        <v>6000</v>
      </c>
      <c r="O81" s="25"/>
      <c r="P81" s="78">
        <v>45804</v>
      </c>
      <c r="Q81" s="81"/>
      <c r="R81" s="26" t="s">
        <v>998</v>
      </c>
      <c r="S81" s="21"/>
      <c r="T81" s="32" t="s">
        <v>609</v>
      </c>
      <c r="U81" s="21"/>
    </row>
    <row r="82" spans="1:21" ht="20.100000000000001" hidden="1" customHeight="1" x14ac:dyDescent="0.3">
      <c r="A82" s="44">
        <v>74</v>
      </c>
      <c r="B82" s="78">
        <v>45804</v>
      </c>
      <c r="C82" s="145"/>
      <c r="D82" s="80" t="s">
        <v>296</v>
      </c>
      <c r="E82" s="148"/>
      <c r="F82" s="82">
        <v>20</v>
      </c>
      <c r="G82" s="82">
        <v>25</v>
      </c>
      <c r="H82" s="82">
        <f t="shared" si="9"/>
        <v>500</v>
      </c>
      <c r="I82" s="144" t="s">
        <v>18</v>
      </c>
      <c r="J82" s="145"/>
      <c r="K82" s="91">
        <v>1750</v>
      </c>
      <c r="L82" s="92"/>
      <c r="M82" s="31">
        <f t="shared" si="7"/>
        <v>0</v>
      </c>
      <c r="N82" s="31">
        <f t="shared" si="8"/>
        <v>1750</v>
      </c>
      <c r="O82" s="25"/>
      <c r="P82" s="78">
        <v>45804</v>
      </c>
      <c r="Q82" s="81"/>
      <c r="R82" s="26" t="s">
        <v>998</v>
      </c>
      <c r="S82" s="21"/>
      <c r="T82" s="32" t="s">
        <v>609</v>
      </c>
      <c r="U82" s="21"/>
    </row>
    <row r="83" spans="1:21" ht="20.100000000000001" hidden="1" customHeight="1" x14ac:dyDescent="0.3">
      <c r="A83" s="44">
        <v>75</v>
      </c>
      <c r="B83" s="78">
        <v>45804</v>
      </c>
      <c r="C83" s="145"/>
      <c r="D83" s="80" t="s">
        <v>999</v>
      </c>
      <c r="E83" s="148"/>
      <c r="F83" s="82">
        <v>40</v>
      </c>
      <c r="G83" s="82">
        <v>25</v>
      </c>
      <c r="H83" s="82">
        <f t="shared" si="9"/>
        <v>1000</v>
      </c>
      <c r="I83" s="144" t="s">
        <v>18</v>
      </c>
      <c r="J83" s="145"/>
      <c r="K83" s="91">
        <v>2750</v>
      </c>
      <c r="L83" s="92"/>
      <c r="M83" s="31">
        <f t="shared" si="7"/>
        <v>0</v>
      </c>
      <c r="N83" s="31">
        <f t="shared" si="8"/>
        <v>2750</v>
      </c>
      <c r="O83" s="25"/>
      <c r="P83" s="78">
        <v>45804</v>
      </c>
      <c r="Q83" s="81"/>
      <c r="R83" s="26" t="s">
        <v>1000</v>
      </c>
      <c r="S83" s="21"/>
      <c r="T83" s="32" t="s">
        <v>98</v>
      </c>
      <c r="U83" s="21"/>
    </row>
    <row r="84" spans="1:21" ht="20.100000000000001" hidden="1" customHeight="1" x14ac:dyDescent="0.3">
      <c r="A84" s="44">
        <v>76</v>
      </c>
      <c r="B84" s="78">
        <v>45811</v>
      </c>
      <c r="C84" s="145"/>
      <c r="D84" s="80" t="s">
        <v>734</v>
      </c>
      <c r="E84" s="148"/>
      <c r="F84" s="82">
        <v>20</v>
      </c>
      <c r="G84" s="82">
        <v>10</v>
      </c>
      <c r="H84" s="82">
        <f t="shared" si="9"/>
        <v>200</v>
      </c>
      <c r="I84" s="144" t="s">
        <v>230</v>
      </c>
      <c r="J84" s="145"/>
      <c r="K84" s="91">
        <v>625</v>
      </c>
      <c r="L84" s="92">
        <v>0.12</v>
      </c>
      <c r="M84" s="31">
        <f t="shared" si="7"/>
        <v>75</v>
      </c>
      <c r="N84" s="31">
        <f t="shared" si="8"/>
        <v>700</v>
      </c>
      <c r="O84" s="25"/>
      <c r="P84" s="78">
        <v>45812</v>
      </c>
      <c r="Q84" s="81"/>
      <c r="R84" s="26" t="s">
        <v>1001</v>
      </c>
      <c r="S84" s="21"/>
      <c r="T84" s="32" t="s">
        <v>1002</v>
      </c>
      <c r="U84" s="21"/>
    </row>
    <row r="85" spans="1:21" ht="20.100000000000001" hidden="1" customHeight="1" x14ac:dyDescent="0.3">
      <c r="A85" s="44">
        <v>77</v>
      </c>
      <c r="B85" s="78">
        <v>45811</v>
      </c>
      <c r="C85" s="145"/>
      <c r="D85" s="80" t="s">
        <v>519</v>
      </c>
      <c r="E85" s="148"/>
      <c r="F85" s="82">
        <v>36</v>
      </c>
      <c r="G85" s="82">
        <v>960</v>
      </c>
      <c r="H85" s="82">
        <f t="shared" si="9"/>
        <v>34560</v>
      </c>
      <c r="I85" s="144" t="s">
        <v>230</v>
      </c>
      <c r="J85" s="145"/>
      <c r="K85" s="91">
        <v>9300</v>
      </c>
      <c r="L85" s="92">
        <v>0.12</v>
      </c>
      <c r="M85" s="31">
        <f t="shared" si="7"/>
        <v>1116</v>
      </c>
      <c r="N85" s="31">
        <f t="shared" si="8"/>
        <v>10416</v>
      </c>
      <c r="O85" s="25"/>
      <c r="P85" s="78">
        <v>45812</v>
      </c>
      <c r="Q85" s="81"/>
      <c r="R85" s="26" t="s">
        <v>1003</v>
      </c>
      <c r="S85" s="21"/>
      <c r="T85" s="32" t="s">
        <v>702</v>
      </c>
      <c r="U85" s="21"/>
    </row>
    <row r="86" spans="1:21" ht="20.100000000000001" hidden="1" customHeight="1" x14ac:dyDescent="0.3">
      <c r="A86" s="44">
        <v>78</v>
      </c>
      <c r="B86" s="78">
        <v>45811</v>
      </c>
      <c r="C86" s="145"/>
      <c r="D86" s="80" t="s">
        <v>716</v>
      </c>
      <c r="E86" s="148"/>
      <c r="F86" s="82">
        <v>20</v>
      </c>
      <c r="G86" s="82">
        <v>5</v>
      </c>
      <c r="H86" s="82">
        <f t="shared" si="9"/>
        <v>100</v>
      </c>
      <c r="I86" s="144" t="s">
        <v>56</v>
      </c>
      <c r="J86" s="145"/>
      <c r="K86" s="91">
        <v>692</v>
      </c>
      <c r="L86" s="92"/>
      <c r="M86" s="31">
        <f t="shared" si="7"/>
        <v>0</v>
      </c>
      <c r="N86" s="31">
        <f t="shared" si="8"/>
        <v>692</v>
      </c>
      <c r="O86" s="25"/>
      <c r="P86" s="78">
        <v>45812</v>
      </c>
      <c r="Q86" s="81"/>
      <c r="R86" s="26" t="s">
        <v>1005</v>
      </c>
      <c r="S86" s="21"/>
      <c r="T86" s="32" t="s">
        <v>1006</v>
      </c>
      <c r="U86" s="21"/>
    </row>
    <row r="87" spans="1:21" ht="20.100000000000001" hidden="1" customHeight="1" x14ac:dyDescent="0.3">
      <c r="A87" s="44">
        <v>79</v>
      </c>
      <c r="B87" s="78">
        <v>45811</v>
      </c>
      <c r="C87" s="145"/>
      <c r="D87" s="80" t="s">
        <v>1004</v>
      </c>
      <c r="E87" s="148"/>
      <c r="F87" s="82">
        <v>80</v>
      </c>
      <c r="G87" s="82">
        <v>250</v>
      </c>
      <c r="H87" s="82">
        <f t="shared" si="9"/>
        <v>20000</v>
      </c>
      <c r="I87" s="144" t="s">
        <v>66</v>
      </c>
      <c r="J87" s="145"/>
      <c r="K87" s="91">
        <v>467</v>
      </c>
      <c r="L87" s="92">
        <v>0.12</v>
      </c>
      <c r="M87" s="31">
        <f t="shared" si="7"/>
        <v>56.04</v>
      </c>
      <c r="N87" s="31">
        <f t="shared" si="8"/>
        <v>523.04</v>
      </c>
      <c r="O87" s="25"/>
      <c r="P87" s="78">
        <v>45812</v>
      </c>
      <c r="Q87" s="81"/>
      <c r="R87" s="26" t="s">
        <v>1005</v>
      </c>
      <c r="S87" s="21"/>
      <c r="T87" s="32" t="s">
        <v>1006</v>
      </c>
      <c r="U87" s="21"/>
    </row>
    <row r="88" spans="1:21" ht="20.100000000000001" hidden="1" customHeight="1" x14ac:dyDescent="0.3">
      <c r="A88" s="44">
        <v>80</v>
      </c>
      <c r="B88" s="78" t="s">
        <v>1007</v>
      </c>
      <c r="C88" s="157"/>
      <c r="D88" s="80" t="s">
        <v>540</v>
      </c>
      <c r="E88" s="148"/>
      <c r="F88" s="82">
        <v>400</v>
      </c>
      <c r="G88" s="82">
        <v>25</v>
      </c>
      <c r="H88" s="26">
        <f t="shared" si="9"/>
        <v>10000</v>
      </c>
      <c r="I88" s="115" t="s">
        <v>18</v>
      </c>
      <c r="J88" s="158"/>
      <c r="K88" s="91">
        <v>1822.03</v>
      </c>
      <c r="L88" s="92">
        <v>0.18</v>
      </c>
      <c r="M88" s="31">
        <f t="shared" si="7"/>
        <v>327.96539999999999</v>
      </c>
      <c r="N88" s="31">
        <f t="shared" si="8"/>
        <v>2149.9953999999998</v>
      </c>
      <c r="O88" s="25"/>
      <c r="P88" s="22">
        <v>45814</v>
      </c>
      <c r="Q88" s="25"/>
      <c r="R88" s="26" t="s">
        <v>1011</v>
      </c>
      <c r="S88" s="21"/>
      <c r="T88" s="32" t="s">
        <v>672</v>
      </c>
      <c r="U88" s="21"/>
    </row>
    <row r="89" spans="1:21" ht="20.100000000000001" hidden="1" customHeight="1" x14ac:dyDescent="0.3">
      <c r="A89" s="44">
        <v>81</v>
      </c>
      <c r="B89" s="78" t="s">
        <v>1008</v>
      </c>
      <c r="C89" s="145"/>
      <c r="D89" s="80" t="s">
        <v>1009</v>
      </c>
      <c r="E89" s="148"/>
      <c r="F89" s="82">
        <v>2</v>
      </c>
      <c r="G89" s="82">
        <v>10</v>
      </c>
      <c r="H89" s="82">
        <f t="shared" si="9"/>
        <v>20</v>
      </c>
      <c r="I89" s="144" t="s">
        <v>18</v>
      </c>
      <c r="J89" s="145"/>
      <c r="K89" s="91">
        <v>11000</v>
      </c>
      <c r="L89" s="92"/>
      <c r="M89" s="31">
        <f t="shared" si="7"/>
        <v>0</v>
      </c>
      <c r="N89" s="31">
        <f t="shared" si="8"/>
        <v>11000</v>
      </c>
      <c r="O89" s="25"/>
      <c r="P89" s="78">
        <v>45821</v>
      </c>
      <c r="Q89" s="81"/>
      <c r="R89" s="26" t="s">
        <v>1012</v>
      </c>
      <c r="S89" s="21"/>
      <c r="T89" s="32" t="s">
        <v>1010</v>
      </c>
      <c r="U89" s="21"/>
    </row>
    <row r="90" spans="1:21" ht="20.100000000000001" hidden="1" customHeight="1" x14ac:dyDescent="0.3">
      <c r="A90" s="44">
        <v>82</v>
      </c>
      <c r="B90" s="78" t="s">
        <v>1008</v>
      </c>
      <c r="C90" s="145"/>
      <c r="D90" s="80" t="s">
        <v>1009</v>
      </c>
      <c r="E90" s="148"/>
      <c r="F90" s="82">
        <v>20</v>
      </c>
      <c r="G90" s="82">
        <v>10</v>
      </c>
      <c r="H90" s="82">
        <f t="shared" si="9"/>
        <v>200</v>
      </c>
      <c r="I90" s="144" t="s">
        <v>18</v>
      </c>
      <c r="J90" s="145"/>
      <c r="K90" s="91">
        <v>7700</v>
      </c>
      <c r="L90" s="92"/>
      <c r="M90" s="31">
        <f t="shared" si="7"/>
        <v>0</v>
      </c>
      <c r="N90" s="31">
        <f t="shared" si="8"/>
        <v>7700</v>
      </c>
      <c r="O90" s="25"/>
      <c r="P90" s="78">
        <v>45824</v>
      </c>
      <c r="Q90" s="81"/>
      <c r="R90" s="26" t="s">
        <v>1013</v>
      </c>
      <c r="S90" s="21"/>
      <c r="T90" s="32" t="s">
        <v>354</v>
      </c>
      <c r="U90" s="21"/>
    </row>
    <row r="91" spans="1:21" ht="20.100000000000001" hidden="1" customHeight="1" x14ac:dyDescent="0.3">
      <c r="A91" s="44">
        <v>83</v>
      </c>
      <c r="B91" s="78">
        <v>45822</v>
      </c>
      <c r="C91" s="145"/>
      <c r="D91" s="80" t="s">
        <v>863</v>
      </c>
      <c r="E91" s="148"/>
      <c r="F91" s="82">
        <v>1</v>
      </c>
      <c r="G91" s="82">
        <v>14</v>
      </c>
      <c r="H91" s="82">
        <f t="shared" si="9"/>
        <v>14</v>
      </c>
      <c r="I91" s="115" t="s">
        <v>18</v>
      </c>
      <c r="J91" s="151"/>
      <c r="K91" s="29">
        <v>319000</v>
      </c>
      <c r="L91" s="30">
        <v>0.12</v>
      </c>
      <c r="M91" s="31">
        <f t="shared" si="7"/>
        <v>38280</v>
      </c>
      <c r="N91" s="31">
        <f t="shared" si="8"/>
        <v>357280</v>
      </c>
      <c r="O91" s="25"/>
      <c r="P91" s="78">
        <v>45824</v>
      </c>
      <c r="Q91" s="81"/>
      <c r="R91" s="26" t="s">
        <v>1014</v>
      </c>
      <c r="S91" s="21"/>
      <c r="T91" s="32" t="s">
        <v>609</v>
      </c>
      <c r="U91" s="21"/>
    </row>
    <row r="92" spans="1:21" ht="20.100000000000001" hidden="1" customHeight="1" x14ac:dyDescent="0.3">
      <c r="A92" s="44">
        <v>84</v>
      </c>
      <c r="B92" s="78" t="s">
        <v>1008</v>
      </c>
      <c r="C92" s="157"/>
      <c r="D92" s="80" t="s">
        <v>1015</v>
      </c>
      <c r="E92" s="148"/>
      <c r="F92" s="82">
        <v>2</v>
      </c>
      <c r="G92" s="82">
        <v>25</v>
      </c>
      <c r="H92" s="26">
        <f t="shared" si="9"/>
        <v>50</v>
      </c>
      <c r="I92" s="115" t="s">
        <v>18</v>
      </c>
      <c r="J92" s="158"/>
      <c r="K92" s="91">
        <v>16250</v>
      </c>
      <c r="L92" s="92"/>
      <c r="M92" s="31">
        <f t="shared" si="7"/>
        <v>0</v>
      </c>
      <c r="N92" s="31">
        <f t="shared" si="8"/>
        <v>16250</v>
      </c>
      <c r="O92" s="25"/>
      <c r="P92" s="78">
        <v>45825</v>
      </c>
      <c r="Q92" s="25"/>
      <c r="R92" s="26" t="s">
        <v>1018</v>
      </c>
      <c r="S92" s="21"/>
      <c r="T92" s="95" t="s">
        <v>1016</v>
      </c>
      <c r="U92" s="21"/>
    </row>
    <row r="93" spans="1:21" ht="20.100000000000001" hidden="1" customHeight="1" x14ac:dyDescent="0.3">
      <c r="A93" s="44">
        <v>85</v>
      </c>
      <c r="B93" s="78" t="s">
        <v>1008</v>
      </c>
      <c r="C93" s="157"/>
      <c r="D93" s="80" t="s">
        <v>1017</v>
      </c>
      <c r="E93" s="148"/>
      <c r="F93" s="82">
        <v>40</v>
      </c>
      <c r="G93" s="82">
        <v>5</v>
      </c>
      <c r="H93" s="26">
        <f t="shared" si="9"/>
        <v>200</v>
      </c>
      <c r="I93" s="115" t="s">
        <v>18</v>
      </c>
      <c r="J93" s="158"/>
      <c r="K93" s="91">
        <v>1600</v>
      </c>
      <c r="L93" s="92"/>
      <c r="M93" s="31">
        <f t="shared" si="7"/>
        <v>0</v>
      </c>
      <c r="N93" s="31">
        <f t="shared" si="8"/>
        <v>1600</v>
      </c>
      <c r="O93" s="25"/>
      <c r="P93" s="78">
        <v>45826</v>
      </c>
      <c r="Q93" s="25"/>
      <c r="R93" s="26" t="s">
        <v>1019</v>
      </c>
      <c r="S93" s="21"/>
      <c r="T93" s="32" t="s">
        <v>609</v>
      </c>
      <c r="U93" s="21"/>
    </row>
    <row r="94" spans="1:21" ht="20.100000000000001" hidden="1" customHeight="1" x14ac:dyDescent="0.3">
      <c r="A94" s="44">
        <v>86</v>
      </c>
      <c r="B94" s="22">
        <v>45828</v>
      </c>
      <c r="C94" s="145"/>
      <c r="D94" s="80" t="s">
        <v>597</v>
      </c>
      <c r="E94" s="148"/>
      <c r="F94" s="82">
        <v>100</v>
      </c>
      <c r="G94" s="82">
        <v>5</v>
      </c>
      <c r="H94" s="26">
        <f t="shared" si="9"/>
        <v>500</v>
      </c>
      <c r="I94" s="115" t="s">
        <v>18</v>
      </c>
      <c r="J94" s="158"/>
      <c r="K94" s="91">
        <v>2875</v>
      </c>
      <c r="L94" s="92"/>
      <c r="M94" s="31">
        <f t="shared" si="7"/>
        <v>0</v>
      </c>
      <c r="N94" s="31">
        <f t="shared" si="8"/>
        <v>2875</v>
      </c>
      <c r="O94" s="25"/>
      <c r="P94" s="22">
        <v>45828</v>
      </c>
      <c r="Q94" s="81"/>
      <c r="R94" s="26" t="s">
        <v>1020</v>
      </c>
      <c r="S94" s="21"/>
      <c r="T94" s="32" t="s">
        <v>609</v>
      </c>
      <c r="U94" s="21"/>
    </row>
    <row r="95" spans="1:21" ht="20.100000000000001" hidden="1" customHeight="1" x14ac:dyDescent="0.3">
      <c r="A95" s="44">
        <v>87</v>
      </c>
      <c r="B95" s="22">
        <v>45828</v>
      </c>
      <c r="C95" s="145"/>
      <c r="D95" s="24" t="s">
        <v>668</v>
      </c>
      <c r="E95" s="148"/>
      <c r="F95" s="82">
        <v>40</v>
      </c>
      <c r="G95" s="82">
        <v>25</v>
      </c>
      <c r="H95" s="26">
        <f t="shared" si="9"/>
        <v>1000</v>
      </c>
      <c r="I95" s="115" t="s">
        <v>18</v>
      </c>
      <c r="J95" s="158"/>
      <c r="K95" s="91">
        <v>20000</v>
      </c>
      <c r="L95" s="92"/>
      <c r="M95" s="31">
        <f t="shared" si="7"/>
        <v>0</v>
      </c>
      <c r="N95" s="31">
        <f t="shared" si="8"/>
        <v>20000</v>
      </c>
      <c r="O95" s="25"/>
      <c r="P95" s="22">
        <v>45832</v>
      </c>
      <c r="Q95" s="81"/>
      <c r="R95" s="26" t="s">
        <v>1021</v>
      </c>
      <c r="S95" s="21"/>
      <c r="T95" s="32" t="s">
        <v>1022</v>
      </c>
      <c r="U95" s="21"/>
    </row>
    <row r="96" spans="1:21" ht="20.100000000000001" hidden="1" customHeight="1" x14ac:dyDescent="0.3">
      <c r="A96" s="44">
        <v>88</v>
      </c>
      <c r="B96" s="78">
        <v>45833</v>
      </c>
      <c r="C96" s="145"/>
      <c r="D96" s="80" t="s">
        <v>394</v>
      </c>
      <c r="E96" s="148"/>
      <c r="F96" s="82">
        <v>100</v>
      </c>
      <c r="G96" s="82">
        <v>100</v>
      </c>
      <c r="H96" s="82">
        <f t="shared" si="9"/>
        <v>10000</v>
      </c>
      <c r="I96" s="144" t="s">
        <v>230</v>
      </c>
      <c r="J96" s="145"/>
      <c r="K96" s="91">
        <v>258</v>
      </c>
      <c r="L96" s="92">
        <v>0.12</v>
      </c>
      <c r="M96" s="31">
        <f t="shared" si="7"/>
        <v>30.959999999999997</v>
      </c>
      <c r="N96" s="31">
        <f t="shared" si="8"/>
        <v>288.95999999999998</v>
      </c>
      <c r="O96" s="25"/>
      <c r="P96" s="22">
        <v>45833</v>
      </c>
      <c r="Q96" s="81"/>
      <c r="R96" s="26" t="s">
        <v>1023</v>
      </c>
      <c r="S96" s="21"/>
      <c r="T96" s="32" t="s">
        <v>682</v>
      </c>
      <c r="U96" s="21"/>
    </row>
    <row r="97" spans="1:21" ht="20.100000000000001" hidden="1" customHeight="1" x14ac:dyDescent="0.3">
      <c r="A97" s="44">
        <v>89</v>
      </c>
      <c r="B97" s="78">
        <v>45835</v>
      </c>
      <c r="C97" s="145"/>
      <c r="D97" s="80" t="s">
        <v>321</v>
      </c>
      <c r="E97" s="81"/>
      <c r="F97" s="82">
        <v>40</v>
      </c>
      <c r="G97" s="82">
        <v>1</v>
      </c>
      <c r="H97" s="82">
        <f t="shared" si="9"/>
        <v>40</v>
      </c>
      <c r="I97" s="144" t="s">
        <v>18</v>
      </c>
      <c r="J97" s="145"/>
      <c r="K97" s="91">
        <v>3500</v>
      </c>
      <c r="L97" s="92"/>
      <c r="M97" s="31">
        <f t="shared" si="7"/>
        <v>0</v>
      </c>
      <c r="N97" s="31">
        <f t="shared" si="8"/>
        <v>3500</v>
      </c>
      <c r="O97" s="25"/>
      <c r="P97" s="78">
        <v>45836</v>
      </c>
      <c r="Q97" s="81"/>
      <c r="R97" s="26" t="s">
        <v>1024</v>
      </c>
      <c r="S97" s="21"/>
      <c r="T97" s="32" t="s">
        <v>957</v>
      </c>
      <c r="U97" s="21"/>
    </row>
    <row r="98" spans="1:21" ht="20.100000000000001" hidden="1" customHeight="1" x14ac:dyDescent="0.3">
      <c r="A98" s="44">
        <v>90</v>
      </c>
      <c r="B98" s="78" t="s">
        <v>1025</v>
      </c>
      <c r="C98" s="157"/>
      <c r="D98" s="80" t="s">
        <v>1026</v>
      </c>
      <c r="E98" s="148"/>
      <c r="F98" s="82">
        <v>4</v>
      </c>
      <c r="G98" s="82">
        <v>25</v>
      </c>
      <c r="H98" s="26">
        <f t="shared" si="9"/>
        <v>100</v>
      </c>
      <c r="I98" s="115" t="s">
        <v>18</v>
      </c>
      <c r="J98" s="158"/>
      <c r="K98" s="91">
        <v>15750</v>
      </c>
      <c r="L98" s="92"/>
      <c r="M98" s="31">
        <f t="shared" si="7"/>
        <v>0</v>
      </c>
      <c r="N98" s="31">
        <f t="shared" si="8"/>
        <v>15750</v>
      </c>
      <c r="O98" s="25"/>
      <c r="P98" s="22">
        <v>45840</v>
      </c>
      <c r="Q98" s="81"/>
      <c r="R98" s="26" t="s">
        <v>1027</v>
      </c>
      <c r="S98" s="21"/>
      <c r="T98" s="32" t="s">
        <v>682</v>
      </c>
      <c r="U98" s="21"/>
    </row>
    <row r="99" spans="1:21" ht="20.100000000000001" hidden="1" customHeight="1" x14ac:dyDescent="0.3">
      <c r="A99" s="44">
        <v>91</v>
      </c>
      <c r="B99" s="78">
        <v>45843</v>
      </c>
      <c r="C99" s="145"/>
      <c r="D99" s="80" t="s">
        <v>703</v>
      </c>
      <c r="E99" s="148"/>
      <c r="F99" s="82">
        <v>20</v>
      </c>
      <c r="G99" s="82">
        <v>25</v>
      </c>
      <c r="H99" s="82">
        <f t="shared" si="9"/>
        <v>500</v>
      </c>
      <c r="I99" s="144" t="s">
        <v>18</v>
      </c>
      <c r="J99" s="145"/>
      <c r="K99" s="91">
        <v>6250</v>
      </c>
      <c r="L99" s="92"/>
      <c r="M99" s="31">
        <f t="shared" si="7"/>
        <v>0</v>
      </c>
      <c r="N99" s="31">
        <f t="shared" si="8"/>
        <v>6250</v>
      </c>
      <c r="O99" s="25"/>
      <c r="P99" s="78">
        <v>45843</v>
      </c>
      <c r="Q99" s="81"/>
      <c r="R99" s="26" t="s">
        <v>1028</v>
      </c>
      <c r="S99" s="21"/>
      <c r="T99" s="32" t="s">
        <v>312</v>
      </c>
      <c r="U99" s="21"/>
    </row>
    <row r="100" spans="1:21" ht="20.100000000000001" hidden="1" customHeight="1" x14ac:dyDescent="0.3">
      <c r="A100" s="44">
        <v>92</v>
      </c>
      <c r="B100" s="78">
        <v>45843</v>
      </c>
      <c r="C100" s="145"/>
      <c r="D100" s="80" t="s">
        <v>720</v>
      </c>
      <c r="E100" s="148"/>
      <c r="F100" s="82">
        <v>40</v>
      </c>
      <c r="G100" s="82">
        <v>25</v>
      </c>
      <c r="H100" s="82">
        <f t="shared" ref="H100:H103" si="10">F100*G100</f>
        <v>1000</v>
      </c>
      <c r="I100" s="144" t="s">
        <v>18</v>
      </c>
      <c r="J100" s="145"/>
      <c r="K100" s="91">
        <v>6250</v>
      </c>
      <c r="L100" s="92"/>
      <c r="M100" s="31">
        <f t="shared" si="7"/>
        <v>0</v>
      </c>
      <c r="N100" s="31">
        <f t="shared" si="8"/>
        <v>6250</v>
      </c>
      <c r="O100" s="25"/>
      <c r="P100" s="78">
        <v>45843</v>
      </c>
      <c r="Q100" s="81"/>
      <c r="R100" s="26" t="s">
        <v>1029</v>
      </c>
      <c r="S100" s="21"/>
      <c r="T100" s="32" t="s">
        <v>74</v>
      </c>
      <c r="U100" s="21"/>
    </row>
    <row r="101" spans="1:21" ht="20.100000000000001" hidden="1" customHeight="1" x14ac:dyDescent="0.3">
      <c r="A101" s="44">
        <v>93</v>
      </c>
      <c r="B101" s="78">
        <v>45848</v>
      </c>
      <c r="C101" s="145"/>
      <c r="D101" s="80" t="s">
        <v>543</v>
      </c>
      <c r="E101" s="148"/>
      <c r="F101" s="82">
        <v>20</v>
      </c>
      <c r="G101" s="82">
        <v>5</v>
      </c>
      <c r="H101" s="82">
        <f t="shared" si="10"/>
        <v>100</v>
      </c>
      <c r="I101" s="144" t="s">
        <v>56</v>
      </c>
      <c r="J101" s="145"/>
      <c r="K101" s="91">
        <v>457</v>
      </c>
      <c r="L101" s="92">
        <v>0.18</v>
      </c>
      <c r="M101" s="31">
        <f t="shared" si="7"/>
        <v>82.259999999999991</v>
      </c>
      <c r="N101" s="31">
        <f t="shared" si="8"/>
        <v>539.26</v>
      </c>
      <c r="O101" s="25"/>
      <c r="P101" s="78">
        <v>45849</v>
      </c>
      <c r="Q101" s="81"/>
      <c r="R101" s="26" t="s">
        <v>1030</v>
      </c>
      <c r="S101" s="21"/>
      <c r="T101" s="32" t="s">
        <v>68</v>
      </c>
      <c r="U101" s="21"/>
    </row>
    <row r="102" spans="1:21" ht="20.100000000000001" hidden="1" customHeight="1" x14ac:dyDescent="0.3">
      <c r="A102" s="44">
        <v>94</v>
      </c>
      <c r="B102" s="78">
        <v>45848</v>
      </c>
      <c r="C102" s="145"/>
      <c r="D102" s="80" t="s">
        <v>574</v>
      </c>
      <c r="E102" s="148"/>
      <c r="F102" s="82">
        <v>20</v>
      </c>
      <c r="G102" s="82">
        <v>5</v>
      </c>
      <c r="H102" s="82">
        <f t="shared" si="10"/>
        <v>100</v>
      </c>
      <c r="I102" s="144" t="s">
        <v>56</v>
      </c>
      <c r="J102" s="145"/>
      <c r="K102" s="91">
        <v>3273</v>
      </c>
      <c r="L102" s="92">
        <v>0.18</v>
      </c>
      <c r="M102" s="31">
        <f t="shared" si="7"/>
        <v>589.14</v>
      </c>
      <c r="N102" s="31">
        <f t="shared" si="8"/>
        <v>3862.14</v>
      </c>
      <c r="O102" s="25"/>
      <c r="P102" s="78">
        <v>45849</v>
      </c>
      <c r="Q102" s="81"/>
      <c r="R102" s="26" t="s">
        <v>1030</v>
      </c>
      <c r="S102" s="21"/>
      <c r="T102" s="32" t="s">
        <v>68</v>
      </c>
      <c r="U102" s="21"/>
    </row>
    <row r="103" spans="1:21" ht="20.100000000000001" hidden="1" customHeight="1" x14ac:dyDescent="0.3">
      <c r="A103" s="44">
        <v>95</v>
      </c>
      <c r="B103" s="78">
        <v>45848</v>
      </c>
      <c r="C103" s="145"/>
      <c r="D103" s="80" t="s">
        <v>507</v>
      </c>
      <c r="E103" s="148"/>
      <c r="F103" s="82">
        <v>20</v>
      </c>
      <c r="G103" s="82">
        <v>5</v>
      </c>
      <c r="H103" s="82">
        <f t="shared" si="10"/>
        <v>100</v>
      </c>
      <c r="I103" s="144" t="s">
        <v>56</v>
      </c>
      <c r="J103" s="145"/>
      <c r="K103" s="91">
        <v>1172</v>
      </c>
      <c r="L103" s="92">
        <v>0.18</v>
      </c>
      <c r="M103" s="31">
        <f t="shared" si="7"/>
        <v>210.95999999999998</v>
      </c>
      <c r="N103" s="31">
        <f t="shared" si="8"/>
        <v>1382.96</v>
      </c>
      <c r="O103" s="25"/>
      <c r="P103" s="78">
        <v>45849</v>
      </c>
      <c r="Q103" s="81"/>
      <c r="R103" s="26" t="s">
        <v>1030</v>
      </c>
      <c r="S103" s="21"/>
      <c r="T103" s="32" t="s">
        <v>68</v>
      </c>
      <c r="U103" s="21"/>
    </row>
    <row r="104" spans="1:21" ht="20.100000000000001" hidden="1" customHeight="1" x14ac:dyDescent="0.3">
      <c r="A104" s="44">
        <v>96</v>
      </c>
      <c r="B104" s="78">
        <v>45848</v>
      </c>
      <c r="C104" s="145"/>
      <c r="D104" s="80" t="s">
        <v>1031</v>
      </c>
      <c r="E104" s="148"/>
      <c r="F104" s="82">
        <v>12</v>
      </c>
      <c r="G104" s="82">
        <v>5</v>
      </c>
      <c r="H104" s="82">
        <f t="shared" si="9"/>
        <v>60</v>
      </c>
      <c r="I104" s="144" t="s">
        <v>56</v>
      </c>
      <c r="J104" s="145"/>
      <c r="K104" s="91">
        <v>2626</v>
      </c>
      <c r="L104" s="92">
        <v>0.12</v>
      </c>
      <c r="M104" s="31">
        <f t="shared" si="7"/>
        <v>315.12</v>
      </c>
      <c r="N104" s="31">
        <f t="shared" si="8"/>
        <v>2941.12</v>
      </c>
      <c r="O104" s="25"/>
      <c r="P104" s="78">
        <v>45849</v>
      </c>
      <c r="Q104" s="81"/>
      <c r="R104" s="26" t="s">
        <v>1034</v>
      </c>
      <c r="S104" s="21"/>
      <c r="T104" s="32" t="s">
        <v>609</v>
      </c>
      <c r="U104" s="21"/>
    </row>
    <row r="105" spans="1:21" ht="20.100000000000001" hidden="1" customHeight="1" x14ac:dyDescent="0.3">
      <c r="A105" s="44">
        <v>97</v>
      </c>
      <c r="B105" s="78">
        <v>45848</v>
      </c>
      <c r="C105" s="145"/>
      <c r="D105" s="80" t="s">
        <v>380</v>
      </c>
      <c r="E105" s="148"/>
      <c r="F105" s="82">
        <v>504</v>
      </c>
      <c r="G105" s="82">
        <v>1</v>
      </c>
      <c r="H105" s="82">
        <f t="shared" si="9"/>
        <v>504</v>
      </c>
      <c r="I105" s="144" t="s">
        <v>56</v>
      </c>
      <c r="J105" s="145"/>
      <c r="K105" s="91">
        <v>135</v>
      </c>
      <c r="L105" s="92"/>
      <c r="M105" s="31">
        <f t="shared" si="7"/>
        <v>0</v>
      </c>
      <c r="N105" s="31">
        <f t="shared" si="8"/>
        <v>135</v>
      </c>
      <c r="O105" s="25"/>
      <c r="P105" s="78">
        <v>45849</v>
      </c>
      <c r="Q105" s="81"/>
      <c r="R105" s="26" t="s">
        <v>1034</v>
      </c>
      <c r="S105" s="21"/>
      <c r="T105" s="32" t="s">
        <v>609</v>
      </c>
      <c r="U105" s="21"/>
    </row>
    <row r="106" spans="1:21" ht="20.100000000000001" hidden="1" customHeight="1" x14ac:dyDescent="0.3">
      <c r="A106" s="44">
        <v>98</v>
      </c>
      <c r="B106" s="78">
        <v>45848</v>
      </c>
      <c r="C106" s="145"/>
      <c r="D106" s="80" t="s">
        <v>1032</v>
      </c>
      <c r="E106" s="148"/>
      <c r="F106" s="82">
        <v>20</v>
      </c>
      <c r="G106" s="82">
        <v>5</v>
      </c>
      <c r="H106" s="82">
        <f t="shared" si="9"/>
        <v>100</v>
      </c>
      <c r="I106" s="144" t="s">
        <v>56</v>
      </c>
      <c r="J106" s="145"/>
      <c r="K106" s="91">
        <v>495</v>
      </c>
      <c r="L106" s="92"/>
      <c r="M106" s="31">
        <f t="shared" si="7"/>
        <v>0</v>
      </c>
      <c r="N106" s="31">
        <f t="shared" si="8"/>
        <v>495</v>
      </c>
      <c r="O106" s="25"/>
      <c r="P106" s="78">
        <v>45849</v>
      </c>
      <c r="Q106" s="81"/>
      <c r="R106" s="26" t="s">
        <v>1034</v>
      </c>
      <c r="S106" s="21"/>
      <c r="T106" s="32" t="s">
        <v>609</v>
      </c>
      <c r="U106" s="21"/>
    </row>
    <row r="107" spans="1:21" ht="20.100000000000001" hidden="1" customHeight="1" x14ac:dyDescent="0.3">
      <c r="A107" s="44">
        <v>99</v>
      </c>
      <c r="B107" s="78">
        <v>45848</v>
      </c>
      <c r="C107" s="145"/>
      <c r="D107" s="80" t="s">
        <v>1017</v>
      </c>
      <c r="E107" s="148"/>
      <c r="F107" s="82">
        <v>60</v>
      </c>
      <c r="G107" s="82">
        <v>5</v>
      </c>
      <c r="H107" s="82">
        <f t="shared" si="9"/>
        <v>300</v>
      </c>
      <c r="I107" s="144" t="s">
        <v>18</v>
      </c>
      <c r="J107" s="145"/>
      <c r="K107" s="91">
        <v>1600</v>
      </c>
      <c r="L107" s="92"/>
      <c r="M107" s="31">
        <f t="shared" si="7"/>
        <v>0</v>
      </c>
      <c r="N107" s="31">
        <f t="shared" si="8"/>
        <v>1600</v>
      </c>
      <c r="O107" s="25"/>
      <c r="P107" s="78">
        <v>45849</v>
      </c>
      <c r="Q107" s="81"/>
      <c r="R107" s="26" t="s">
        <v>1034</v>
      </c>
      <c r="S107" s="21"/>
      <c r="T107" s="32" t="s">
        <v>609</v>
      </c>
      <c r="U107" s="21"/>
    </row>
    <row r="108" spans="1:21" ht="20.100000000000001" hidden="1" customHeight="1" x14ac:dyDescent="0.3">
      <c r="A108" s="44">
        <v>100</v>
      </c>
      <c r="B108" s="78">
        <v>45848</v>
      </c>
      <c r="C108" s="145"/>
      <c r="D108" s="80" t="s">
        <v>1033</v>
      </c>
      <c r="E108" s="148"/>
      <c r="F108" s="82">
        <v>400</v>
      </c>
      <c r="G108" s="82">
        <v>50</v>
      </c>
      <c r="H108" s="82">
        <f t="shared" si="9"/>
        <v>20000</v>
      </c>
      <c r="I108" s="144" t="s">
        <v>230</v>
      </c>
      <c r="J108" s="145"/>
      <c r="K108" s="91">
        <v>116</v>
      </c>
      <c r="L108" s="92">
        <v>0.12</v>
      </c>
      <c r="M108" s="31">
        <f t="shared" si="7"/>
        <v>13.92</v>
      </c>
      <c r="N108" s="31">
        <f t="shared" si="8"/>
        <v>129.91999999999999</v>
      </c>
      <c r="O108" s="25"/>
      <c r="P108" s="78">
        <v>45849</v>
      </c>
      <c r="Q108" s="81"/>
      <c r="R108" s="26" t="s">
        <v>1034</v>
      </c>
      <c r="S108" s="21"/>
      <c r="T108" s="32" t="s">
        <v>609</v>
      </c>
      <c r="U108" s="21"/>
    </row>
    <row r="109" spans="1:21" ht="20.100000000000001" hidden="1" customHeight="1" x14ac:dyDescent="0.3">
      <c r="A109" s="44">
        <v>101</v>
      </c>
      <c r="B109" s="78">
        <v>45848</v>
      </c>
      <c r="C109" s="145"/>
      <c r="D109" s="80" t="s">
        <v>549</v>
      </c>
      <c r="E109" s="148"/>
      <c r="F109" s="82">
        <v>200</v>
      </c>
      <c r="G109" s="82">
        <v>100</v>
      </c>
      <c r="H109" s="82">
        <f t="shared" si="9"/>
        <v>20000</v>
      </c>
      <c r="I109" s="144" t="s">
        <v>230</v>
      </c>
      <c r="J109" s="145"/>
      <c r="K109" s="91">
        <v>225</v>
      </c>
      <c r="L109" s="92">
        <v>0.12</v>
      </c>
      <c r="M109" s="31">
        <f t="shared" si="7"/>
        <v>27</v>
      </c>
      <c r="N109" s="31">
        <f t="shared" si="8"/>
        <v>252</v>
      </c>
      <c r="O109" s="25"/>
      <c r="P109" s="78">
        <v>45849</v>
      </c>
      <c r="Q109" s="81"/>
      <c r="R109" s="26" t="s">
        <v>1034</v>
      </c>
      <c r="S109" s="21"/>
      <c r="T109" s="32" t="s">
        <v>609</v>
      </c>
      <c r="U109" s="21"/>
    </row>
    <row r="110" spans="1:21" ht="20.100000000000001" hidden="1" customHeight="1" x14ac:dyDescent="0.3">
      <c r="A110" s="44">
        <v>102</v>
      </c>
      <c r="B110" s="78">
        <v>45848</v>
      </c>
      <c r="C110" s="145"/>
      <c r="D110" s="80" t="s">
        <v>863</v>
      </c>
      <c r="E110" s="148"/>
      <c r="F110" s="82">
        <v>1</v>
      </c>
      <c r="G110" s="82">
        <v>14</v>
      </c>
      <c r="H110" s="82">
        <f t="shared" si="9"/>
        <v>14</v>
      </c>
      <c r="I110" s="144" t="s">
        <v>18</v>
      </c>
      <c r="J110" s="145"/>
      <c r="K110" s="91">
        <v>319000</v>
      </c>
      <c r="L110" s="92">
        <v>0.12</v>
      </c>
      <c r="M110" s="31">
        <f t="shared" si="7"/>
        <v>38280</v>
      </c>
      <c r="N110" s="31">
        <f t="shared" si="8"/>
        <v>357280</v>
      </c>
      <c r="O110" s="25"/>
      <c r="P110" s="78">
        <v>45849</v>
      </c>
      <c r="Q110" s="81"/>
      <c r="R110" s="26" t="s">
        <v>1034</v>
      </c>
      <c r="S110" s="21"/>
      <c r="T110" s="32" t="s">
        <v>609</v>
      </c>
      <c r="U110" s="21"/>
    </row>
    <row r="111" spans="1:21" ht="20.100000000000001" hidden="1" customHeight="1" x14ac:dyDescent="0.3">
      <c r="A111" s="44">
        <v>103</v>
      </c>
      <c r="B111" s="78">
        <v>45848</v>
      </c>
      <c r="C111" s="145"/>
      <c r="D111" s="80" t="s">
        <v>670</v>
      </c>
      <c r="E111" s="148"/>
      <c r="F111" s="82">
        <v>60</v>
      </c>
      <c r="G111" s="82">
        <v>200</v>
      </c>
      <c r="H111" s="82">
        <f t="shared" si="9"/>
        <v>12000</v>
      </c>
      <c r="I111" s="144" t="s">
        <v>66</v>
      </c>
      <c r="J111" s="145"/>
      <c r="K111" s="91">
        <v>278</v>
      </c>
      <c r="L111" s="92"/>
      <c r="M111" s="31">
        <f t="shared" si="7"/>
        <v>0</v>
      </c>
      <c r="N111" s="31">
        <f t="shared" si="8"/>
        <v>278</v>
      </c>
      <c r="O111" s="25"/>
      <c r="P111" s="78">
        <v>45849</v>
      </c>
      <c r="Q111" s="81"/>
      <c r="R111" s="26" t="s">
        <v>1035</v>
      </c>
      <c r="S111" s="21"/>
      <c r="T111" s="32" t="s">
        <v>1006</v>
      </c>
      <c r="U111" s="21"/>
    </row>
    <row r="112" spans="1:21" ht="20.100000000000001" hidden="1" customHeight="1" x14ac:dyDescent="0.3">
      <c r="A112" s="44">
        <v>104</v>
      </c>
      <c r="B112" s="78">
        <v>45848</v>
      </c>
      <c r="C112" s="145"/>
      <c r="D112" s="80" t="s">
        <v>716</v>
      </c>
      <c r="E112" s="148"/>
      <c r="F112" s="82">
        <v>40</v>
      </c>
      <c r="G112" s="82">
        <v>5</v>
      </c>
      <c r="H112" s="82">
        <f t="shared" si="9"/>
        <v>200</v>
      </c>
      <c r="I112" s="144" t="s">
        <v>56</v>
      </c>
      <c r="J112" s="145"/>
      <c r="K112" s="91">
        <v>692</v>
      </c>
      <c r="L112" s="92"/>
      <c r="M112" s="31">
        <f t="shared" si="7"/>
        <v>0</v>
      </c>
      <c r="N112" s="31">
        <f t="shared" si="8"/>
        <v>692</v>
      </c>
      <c r="O112" s="25"/>
      <c r="P112" s="78">
        <v>45849</v>
      </c>
      <c r="Q112" s="81"/>
      <c r="R112" s="26" t="s">
        <v>1035</v>
      </c>
      <c r="S112" s="21"/>
      <c r="T112" s="32" t="s">
        <v>1006</v>
      </c>
      <c r="U112" s="21"/>
    </row>
    <row r="113" spans="1:21" ht="20.100000000000001" hidden="1" customHeight="1" x14ac:dyDescent="0.3">
      <c r="A113" s="44">
        <v>105</v>
      </c>
      <c r="B113" s="78">
        <v>45848</v>
      </c>
      <c r="C113" s="145"/>
      <c r="D113" s="80" t="s">
        <v>402</v>
      </c>
      <c r="E113" s="148"/>
      <c r="F113" s="82">
        <v>100</v>
      </c>
      <c r="G113" s="82">
        <v>1</v>
      </c>
      <c r="H113" s="82">
        <f t="shared" si="9"/>
        <v>100</v>
      </c>
      <c r="I113" s="144" t="s">
        <v>18</v>
      </c>
      <c r="J113" s="145"/>
      <c r="K113" s="91">
        <v>720</v>
      </c>
      <c r="L113" s="92"/>
      <c r="M113" s="31">
        <f t="shared" si="7"/>
        <v>0</v>
      </c>
      <c r="N113" s="31">
        <f t="shared" si="8"/>
        <v>720</v>
      </c>
      <c r="O113" s="25"/>
      <c r="P113" s="78">
        <v>45849</v>
      </c>
      <c r="Q113" s="81"/>
      <c r="R113" s="26" t="s">
        <v>1036</v>
      </c>
      <c r="S113" s="21"/>
      <c r="T113" s="32" t="s">
        <v>955</v>
      </c>
      <c r="U113" s="21"/>
    </row>
    <row r="114" spans="1:21" ht="20.100000000000001" hidden="1" customHeight="1" x14ac:dyDescent="0.3">
      <c r="A114" s="44">
        <v>106</v>
      </c>
      <c r="B114" s="78">
        <v>45867</v>
      </c>
      <c r="C114" s="145"/>
      <c r="D114" s="80" t="s">
        <v>291</v>
      </c>
      <c r="E114" s="148"/>
      <c r="F114" s="82">
        <v>25</v>
      </c>
      <c r="G114" s="82">
        <v>20</v>
      </c>
      <c r="H114" s="82">
        <f t="shared" si="9"/>
        <v>500</v>
      </c>
      <c r="I114" s="144" t="s">
        <v>18</v>
      </c>
      <c r="J114" s="145"/>
      <c r="K114" s="91">
        <v>2900</v>
      </c>
      <c r="L114" s="92"/>
      <c r="M114" s="31">
        <f t="shared" si="7"/>
        <v>0</v>
      </c>
      <c r="N114" s="31">
        <f t="shared" si="8"/>
        <v>2900</v>
      </c>
      <c r="O114" s="25"/>
      <c r="P114" s="78">
        <v>45867</v>
      </c>
      <c r="Q114" s="81"/>
      <c r="R114" s="26" t="s">
        <v>1037</v>
      </c>
      <c r="S114" s="21"/>
      <c r="T114" s="32" t="s">
        <v>312</v>
      </c>
      <c r="U114" s="21"/>
    </row>
    <row r="115" spans="1:21" ht="20.100000000000001" hidden="1" customHeight="1" x14ac:dyDescent="0.3">
      <c r="A115" s="44">
        <v>107</v>
      </c>
      <c r="B115" s="78">
        <v>45869</v>
      </c>
      <c r="C115" s="145"/>
      <c r="D115" s="80" t="s">
        <v>627</v>
      </c>
      <c r="E115" s="148"/>
      <c r="F115" s="82">
        <v>30</v>
      </c>
      <c r="G115" s="82">
        <v>1</v>
      </c>
      <c r="H115" s="82">
        <f t="shared" si="9"/>
        <v>30</v>
      </c>
      <c r="I115" s="144" t="s">
        <v>18</v>
      </c>
      <c r="J115" s="145"/>
      <c r="K115" s="91">
        <v>3408</v>
      </c>
      <c r="L115" s="92">
        <v>0.12</v>
      </c>
      <c r="M115" s="31">
        <f t="shared" si="7"/>
        <v>408.96</v>
      </c>
      <c r="N115" s="31">
        <f t="shared" si="8"/>
        <v>3816.96</v>
      </c>
      <c r="O115" s="25"/>
      <c r="P115" s="78">
        <v>45869</v>
      </c>
      <c r="Q115" s="81"/>
      <c r="R115" s="26" t="s">
        <v>1038</v>
      </c>
      <c r="S115" s="21"/>
      <c r="T115" s="32" t="s">
        <v>609</v>
      </c>
      <c r="U115" s="21"/>
    </row>
    <row r="116" spans="1:21" ht="20.100000000000001" hidden="1" customHeight="1" x14ac:dyDescent="0.3">
      <c r="A116" s="44">
        <v>108</v>
      </c>
      <c r="B116" s="78">
        <v>45869</v>
      </c>
      <c r="C116" s="145"/>
      <c r="D116" s="80" t="s">
        <v>305</v>
      </c>
      <c r="E116" s="148"/>
      <c r="F116" s="82">
        <v>39</v>
      </c>
      <c r="G116" s="82">
        <v>1000</v>
      </c>
      <c r="H116" s="82">
        <f t="shared" si="9"/>
        <v>39000</v>
      </c>
      <c r="I116" s="144" t="s">
        <v>51</v>
      </c>
      <c r="J116" s="145"/>
      <c r="K116" s="91">
        <v>6862</v>
      </c>
      <c r="L116" s="92">
        <v>0.05</v>
      </c>
      <c r="M116" s="31">
        <f t="shared" si="7"/>
        <v>343.1</v>
      </c>
      <c r="N116" s="31">
        <f t="shared" si="8"/>
        <v>7205.1</v>
      </c>
      <c r="O116" s="25"/>
      <c r="P116" s="78">
        <v>45869</v>
      </c>
      <c r="Q116" s="81"/>
      <c r="R116" s="26" t="s">
        <v>1038</v>
      </c>
      <c r="S116" s="21"/>
      <c r="T116" s="32" t="s">
        <v>609</v>
      </c>
      <c r="U116" s="21"/>
    </row>
    <row r="117" spans="1:21" ht="20.100000000000001" hidden="1" customHeight="1" x14ac:dyDescent="0.3">
      <c r="A117" s="44">
        <v>109</v>
      </c>
      <c r="B117" s="78">
        <v>45869</v>
      </c>
      <c r="C117" s="145"/>
      <c r="D117" s="80" t="s">
        <v>602</v>
      </c>
      <c r="E117" s="148"/>
      <c r="F117" s="82">
        <v>41</v>
      </c>
      <c r="G117" s="82">
        <v>1000</v>
      </c>
      <c r="H117" s="82">
        <f t="shared" si="9"/>
        <v>41000</v>
      </c>
      <c r="I117" s="144" t="s">
        <v>51</v>
      </c>
      <c r="J117" s="145"/>
      <c r="K117" s="91">
        <v>1500.04</v>
      </c>
      <c r="L117" s="92">
        <v>0.05</v>
      </c>
      <c r="M117" s="31">
        <f t="shared" si="7"/>
        <v>75.001999999999995</v>
      </c>
      <c r="N117" s="31">
        <f t="shared" si="8"/>
        <v>1575.0419999999999</v>
      </c>
      <c r="O117" s="25"/>
      <c r="P117" s="78">
        <v>45869</v>
      </c>
      <c r="Q117" s="81"/>
      <c r="R117" s="26" t="s">
        <v>1039</v>
      </c>
      <c r="S117" s="21"/>
      <c r="T117" s="32" t="s">
        <v>1040</v>
      </c>
      <c r="U117" s="21"/>
    </row>
    <row r="118" spans="1:21" ht="20.100000000000001" hidden="1" customHeight="1" x14ac:dyDescent="0.3">
      <c r="A118" s="44">
        <v>110</v>
      </c>
      <c r="B118" s="78">
        <v>45869</v>
      </c>
      <c r="C118" s="145"/>
      <c r="D118" s="80" t="s">
        <v>886</v>
      </c>
      <c r="E118" s="148"/>
      <c r="F118" s="82">
        <v>89</v>
      </c>
      <c r="G118" s="82">
        <v>1000</v>
      </c>
      <c r="H118" s="82">
        <f t="shared" si="9"/>
        <v>89000</v>
      </c>
      <c r="I118" s="144" t="s">
        <v>51</v>
      </c>
      <c r="J118" s="145"/>
      <c r="K118" s="91">
        <v>945.02</v>
      </c>
      <c r="L118" s="92">
        <v>0.05</v>
      </c>
      <c r="M118" s="31">
        <f t="shared" si="7"/>
        <v>47.251000000000005</v>
      </c>
      <c r="N118" s="31">
        <f t="shared" si="8"/>
        <v>992.27099999999996</v>
      </c>
      <c r="O118" s="25"/>
      <c r="P118" s="78">
        <v>45869</v>
      </c>
      <c r="Q118" s="81"/>
      <c r="R118" s="26" t="s">
        <v>1039</v>
      </c>
      <c r="S118" s="21"/>
      <c r="T118" s="32" t="s">
        <v>1040</v>
      </c>
      <c r="U118" s="21"/>
    </row>
    <row r="119" spans="1:21" ht="20.100000000000001" hidden="1" customHeight="1" x14ac:dyDescent="0.3">
      <c r="A119" s="44">
        <v>111</v>
      </c>
      <c r="B119" s="78">
        <v>45869</v>
      </c>
      <c r="C119" s="145"/>
      <c r="D119" s="80" t="s">
        <v>887</v>
      </c>
      <c r="E119" s="148"/>
      <c r="F119" s="82">
        <v>41</v>
      </c>
      <c r="G119" s="82">
        <v>1000</v>
      </c>
      <c r="H119" s="82">
        <f t="shared" si="9"/>
        <v>41000</v>
      </c>
      <c r="I119" s="144" t="s">
        <v>51</v>
      </c>
      <c r="J119" s="145"/>
      <c r="K119" s="91">
        <v>2499.31</v>
      </c>
      <c r="L119" s="92">
        <v>0.05</v>
      </c>
      <c r="M119" s="31">
        <f t="shared" si="7"/>
        <v>124.96550000000001</v>
      </c>
      <c r="N119" s="31">
        <f t="shared" si="8"/>
        <v>2624.2754999999997</v>
      </c>
      <c r="O119" s="25"/>
      <c r="P119" s="78">
        <v>45869</v>
      </c>
      <c r="Q119" s="81"/>
      <c r="R119" s="26" t="s">
        <v>1039</v>
      </c>
      <c r="S119" s="21"/>
      <c r="T119" s="32" t="s">
        <v>1040</v>
      </c>
      <c r="U119" s="21"/>
    </row>
    <row r="120" spans="1:21" ht="20.100000000000001" hidden="1" customHeight="1" x14ac:dyDescent="0.3">
      <c r="A120" s="44">
        <v>112</v>
      </c>
      <c r="B120" s="78">
        <v>45869</v>
      </c>
      <c r="C120" s="145"/>
      <c r="D120" s="80" t="s">
        <v>891</v>
      </c>
      <c r="E120" s="148"/>
      <c r="F120" s="82">
        <v>41</v>
      </c>
      <c r="G120" s="82">
        <v>1000</v>
      </c>
      <c r="H120" s="82">
        <f t="shared" si="9"/>
        <v>41000</v>
      </c>
      <c r="I120" s="144" t="s">
        <v>51</v>
      </c>
      <c r="J120" s="145"/>
      <c r="K120" s="91">
        <v>116</v>
      </c>
      <c r="L120" s="92">
        <v>0.05</v>
      </c>
      <c r="M120" s="31">
        <f t="shared" si="7"/>
        <v>5.8000000000000007</v>
      </c>
      <c r="N120" s="31">
        <f t="shared" si="8"/>
        <v>121.8</v>
      </c>
      <c r="O120" s="25"/>
      <c r="P120" s="78">
        <v>45869</v>
      </c>
      <c r="Q120" s="81"/>
      <c r="R120" s="26" t="s">
        <v>1043</v>
      </c>
      <c r="S120" s="21"/>
      <c r="T120" s="32" t="s">
        <v>309</v>
      </c>
      <c r="U120" s="21"/>
    </row>
    <row r="121" spans="1:21" ht="20.100000000000001" hidden="1" customHeight="1" x14ac:dyDescent="0.3">
      <c r="A121" s="44">
        <v>113</v>
      </c>
      <c r="B121" s="78">
        <v>45869</v>
      </c>
      <c r="C121" s="145"/>
      <c r="D121" s="80" t="s">
        <v>246</v>
      </c>
      <c r="E121" s="148"/>
      <c r="F121" s="82">
        <v>41</v>
      </c>
      <c r="G121" s="82">
        <v>1000</v>
      </c>
      <c r="H121" s="82">
        <f t="shared" si="9"/>
        <v>41000</v>
      </c>
      <c r="I121" s="144" t="s">
        <v>51</v>
      </c>
      <c r="J121" s="145"/>
      <c r="K121" s="91">
        <v>131</v>
      </c>
      <c r="L121" s="92">
        <v>0.05</v>
      </c>
      <c r="M121" s="31">
        <f t="shared" si="7"/>
        <v>6.5500000000000007</v>
      </c>
      <c r="N121" s="31">
        <f t="shared" si="8"/>
        <v>137.55000000000001</v>
      </c>
      <c r="O121" s="25"/>
      <c r="P121" s="78">
        <v>45869</v>
      </c>
      <c r="Q121" s="81"/>
      <c r="R121" s="26" t="s">
        <v>1043</v>
      </c>
      <c r="S121" s="21"/>
      <c r="T121" s="32" t="s">
        <v>309</v>
      </c>
      <c r="U121" s="21"/>
    </row>
    <row r="122" spans="1:21" ht="20.100000000000001" hidden="1" customHeight="1" x14ac:dyDescent="0.3">
      <c r="A122" s="44">
        <v>114</v>
      </c>
      <c r="B122" s="78">
        <v>45869</v>
      </c>
      <c r="C122" s="145"/>
      <c r="D122" s="80" t="s">
        <v>696</v>
      </c>
      <c r="E122" s="148"/>
      <c r="F122" s="82">
        <v>40</v>
      </c>
      <c r="G122" s="82">
        <v>1000</v>
      </c>
      <c r="H122" s="82">
        <f t="shared" si="9"/>
        <v>40000</v>
      </c>
      <c r="I122" s="144" t="s">
        <v>51</v>
      </c>
      <c r="J122" s="145"/>
      <c r="K122" s="91">
        <v>2050</v>
      </c>
      <c r="L122" s="92">
        <v>0.05</v>
      </c>
      <c r="M122" s="31">
        <f t="shared" si="7"/>
        <v>102.5</v>
      </c>
      <c r="N122" s="31">
        <f t="shared" si="8"/>
        <v>2152.5</v>
      </c>
      <c r="O122" s="25"/>
      <c r="P122" s="78">
        <v>45869</v>
      </c>
      <c r="Q122" s="81"/>
      <c r="R122" s="26" t="s">
        <v>1043</v>
      </c>
      <c r="S122" s="21"/>
      <c r="T122" s="32" t="s">
        <v>309</v>
      </c>
      <c r="U122" s="21"/>
    </row>
    <row r="123" spans="1:21" ht="20.100000000000001" hidden="1" customHeight="1" x14ac:dyDescent="0.3">
      <c r="A123" s="44">
        <v>115</v>
      </c>
      <c r="B123" s="78">
        <v>45869</v>
      </c>
      <c r="C123" s="145"/>
      <c r="D123" s="80" t="s">
        <v>209</v>
      </c>
      <c r="E123" s="148"/>
      <c r="F123" s="82">
        <v>41</v>
      </c>
      <c r="G123" s="82">
        <v>1000</v>
      </c>
      <c r="H123" s="82">
        <f t="shared" si="9"/>
        <v>41000</v>
      </c>
      <c r="I123" s="144" t="s">
        <v>51</v>
      </c>
      <c r="J123" s="145"/>
      <c r="K123" s="91">
        <v>3325</v>
      </c>
      <c r="L123" s="92">
        <v>0.05</v>
      </c>
      <c r="M123" s="31">
        <f t="shared" si="7"/>
        <v>166.25</v>
      </c>
      <c r="N123" s="31">
        <f t="shared" si="8"/>
        <v>3491.25</v>
      </c>
      <c r="O123" s="25"/>
      <c r="P123" s="78">
        <v>45869</v>
      </c>
      <c r="Q123" s="81"/>
      <c r="R123" s="26" t="s">
        <v>1043</v>
      </c>
      <c r="S123" s="21"/>
      <c r="T123" s="32" t="s">
        <v>309</v>
      </c>
      <c r="U123" s="21"/>
    </row>
    <row r="124" spans="1:21" ht="20.100000000000001" hidden="1" customHeight="1" x14ac:dyDescent="0.3">
      <c r="A124" s="44">
        <v>116</v>
      </c>
      <c r="B124" s="78">
        <v>45869</v>
      </c>
      <c r="C124" s="145"/>
      <c r="D124" s="80" t="s">
        <v>449</v>
      </c>
      <c r="E124" s="145"/>
      <c r="F124" s="82">
        <v>103</v>
      </c>
      <c r="G124" s="82">
        <v>400</v>
      </c>
      <c r="H124" s="82">
        <f t="shared" si="9"/>
        <v>41200</v>
      </c>
      <c r="I124" s="144" t="s">
        <v>51</v>
      </c>
      <c r="J124" s="145"/>
      <c r="K124" s="91">
        <v>941</v>
      </c>
      <c r="L124" s="92">
        <v>0.05</v>
      </c>
      <c r="M124" s="31">
        <f t="shared" si="7"/>
        <v>47.050000000000004</v>
      </c>
      <c r="N124" s="31">
        <f t="shared" si="8"/>
        <v>988.05</v>
      </c>
      <c r="O124" s="25"/>
      <c r="P124" s="78">
        <v>45869</v>
      </c>
      <c r="Q124" s="81"/>
      <c r="R124" s="26" t="s">
        <v>1043</v>
      </c>
      <c r="S124" s="21"/>
      <c r="T124" s="32" t="s">
        <v>309</v>
      </c>
      <c r="U124" s="21"/>
    </row>
    <row r="125" spans="1:21" ht="20.100000000000001" hidden="1" customHeight="1" x14ac:dyDescent="0.3">
      <c r="A125" s="44">
        <v>117</v>
      </c>
      <c r="B125" s="78">
        <v>45869</v>
      </c>
      <c r="C125" s="145"/>
      <c r="D125" s="80" t="s">
        <v>277</v>
      </c>
      <c r="E125" s="148"/>
      <c r="F125" s="82">
        <v>39</v>
      </c>
      <c r="G125" s="82">
        <v>1000</v>
      </c>
      <c r="H125" s="82">
        <f t="shared" si="9"/>
        <v>39000</v>
      </c>
      <c r="I125" s="144" t="s">
        <v>51</v>
      </c>
      <c r="J125" s="145"/>
      <c r="K125" s="91">
        <v>2200</v>
      </c>
      <c r="L125" s="92">
        <v>0.05</v>
      </c>
      <c r="M125" s="31">
        <f t="shared" si="7"/>
        <v>110</v>
      </c>
      <c r="N125" s="31">
        <f t="shared" si="8"/>
        <v>2310</v>
      </c>
      <c r="O125" s="25"/>
      <c r="P125" s="78">
        <v>45869</v>
      </c>
      <c r="Q125" s="81"/>
      <c r="R125" s="26" t="s">
        <v>1043</v>
      </c>
      <c r="S125" s="21"/>
      <c r="T125" s="32" t="s">
        <v>309</v>
      </c>
      <c r="U125" s="21"/>
    </row>
    <row r="126" spans="1:21" ht="20.100000000000001" hidden="1" customHeight="1" x14ac:dyDescent="0.3">
      <c r="A126" s="44">
        <v>118</v>
      </c>
      <c r="B126" s="78">
        <v>45869</v>
      </c>
      <c r="C126" s="145"/>
      <c r="D126" s="80" t="s">
        <v>1041</v>
      </c>
      <c r="E126" s="148"/>
      <c r="F126" s="82">
        <v>41</v>
      </c>
      <c r="G126" s="82">
        <v>1000</v>
      </c>
      <c r="H126" s="82">
        <f t="shared" si="9"/>
        <v>41000</v>
      </c>
      <c r="I126" s="144" t="s">
        <v>51</v>
      </c>
      <c r="J126" s="145"/>
      <c r="K126" s="91">
        <v>3170</v>
      </c>
      <c r="L126" s="92">
        <v>0.05</v>
      </c>
      <c r="M126" s="31">
        <f t="shared" si="7"/>
        <v>158.5</v>
      </c>
      <c r="N126" s="31">
        <f t="shared" si="8"/>
        <v>3328.5</v>
      </c>
      <c r="O126" s="25"/>
      <c r="P126" s="78">
        <v>45869</v>
      </c>
      <c r="Q126" s="81"/>
      <c r="R126" s="26" t="s">
        <v>1043</v>
      </c>
      <c r="S126" s="21"/>
      <c r="T126" s="32" t="s">
        <v>309</v>
      </c>
      <c r="U126" s="21"/>
    </row>
    <row r="127" spans="1:21" ht="20.100000000000001" hidden="1" customHeight="1" x14ac:dyDescent="0.3">
      <c r="A127" s="44">
        <v>119</v>
      </c>
      <c r="B127" s="78">
        <v>45869</v>
      </c>
      <c r="C127" s="145"/>
      <c r="D127" s="80" t="s">
        <v>1042</v>
      </c>
      <c r="E127" s="148"/>
      <c r="F127" s="82">
        <v>41</v>
      </c>
      <c r="G127" s="82">
        <v>1000</v>
      </c>
      <c r="H127" s="82">
        <f t="shared" si="9"/>
        <v>41000</v>
      </c>
      <c r="I127" s="144" t="s">
        <v>51</v>
      </c>
      <c r="J127" s="145"/>
      <c r="K127" s="91">
        <v>1549</v>
      </c>
      <c r="L127" s="92">
        <v>0.05</v>
      </c>
      <c r="M127" s="31">
        <f t="shared" si="7"/>
        <v>77.45</v>
      </c>
      <c r="N127" s="31">
        <f t="shared" si="8"/>
        <v>1626.45</v>
      </c>
      <c r="O127" s="25"/>
      <c r="P127" s="78">
        <v>45869</v>
      </c>
      <c r="Q127" s="81"/>
      <c r="R127" s="26" t="s">
        <v>1043</v>
      </c>
      <c r="S127" s="21"/>
      <c r="T127" s="32" t="s">
        <v>309</v>
      </c>
      <c r="U127" s="21"/>
    </row>
    <row r="128" spans="1:21" ht="20.100000000000001" hidden="1" customHeight="1" x14ac:dyDescent="0.3">
      <c r="A128" s="44">
        <v>120</v>
      </c>
      <c r="B128" s="78">
        <v>45869</v>
      </c>
      <c r="C128" s="145"/>
      <c r="D128" s="80" t="s">
        <v>894</v>
      </c>
      <c r="E128" s="148"/>
      <c r="F128" s="82">
        <v>41</v>
      </c>
      <c r="G128" s="82">
        <v>1000</v>
      </c>
      <c r="H128" s="82">
        <f t="shared" si="9"/>
        <v>41000</v>
      </c>
      <c r="I128" s="144" t="s">
        <v>51</v>
      </c>
      <c r="J128" s="145"/>
      <c r="K128" s="91">
        <v>945</v>
      </c>
      <c r="L128" s="92">
        <v>0.05</v>
      </c>
      <c r="M128" s="31">
        <f t="shared" si="7"/>
        <v>47.25</v>
      </c>
      <c r="N128" s="31">
        <f t="shared" si="8"/>
        <v>992.25</v>
      </c>
      <c r="O128" s="25"/>
      <c r="P128" s="78">
        <v>45869</v>
      </c>
      <c r="Q128" s="81"/>
      <c r="R128" s="26" t="s">
        <v>1043</v>
      </c>
      <c r="S128" s="21"/>
      <c r="T128" s="32" t="s">
        <v>309</v>
      </c>
      <c r="U128" s="21"/>
    </row>
    <row r="129" spans="1:21" ht="20.100000000000001" hidden="1" customHeight="1" x14ac:dyDescent="0.3">
      <c r="A129" s="44">
        <v>121</v>
      </c>
      <c r="B129" s="78">
        <v>45869</v>
      </c>
      <c r="C129" s="145"/>
      <c r="D129" s="80" t="s">
        <v>526</v>
      </c>
      <c r="E129" s="148"/>
      <c r="F129" s="82">
        <v>45</v>
      </c>
      <c r="G129" s="82">
        <v>1000</v>
      </c>
      <c r="H129" s="82">
        <f t="shared" si="9"/>
        <v>45000</v>
      </c>
      <c r="I129" s="144" t="s">
        <v>230</v>
      </c>
      <c r="J129" s="145"/>
      <c r="K129" s="91">
        <v>1.75</v>
      </c>
      <c r="L129" s="92">
        <v>0.05</v>
      </c>
      <c r="M129" s="31">
        <f t="shared" si="7"/>
        <v>8.7500000000000008E-2</v>
      </c>
      <c r="N129" s="31">
        <f t="shared" si="8"/>
        <v>1.8374999999999999</v>
      </c>
      <c r="O129" s="25"/>
      <c r="P129" s="78">
        <v>45869</v>
      </c>
      <c r="Q129" s="81"/>
      <c r="R129" s="26" t="s">
        <v>1043</v>
      </c>
      <c r="S129" s="21"/>
      <c r="T129" s="32" t="s">
        <v>309</v>
      </c>
      <c r="U129" s="21"/>
    </row>
    <row r="130" spans="1:21" ht="20.100000000000001" hidden="1" customHeight="1" x14ac:dyDescent="0.3">
      <c r="A130" s="44">
        <v>122</v>
      </c>
      <c r="B130" s="78">
        <v>45869</v>
      </c>
      <c r="C130" s="145"/>
      <c r="D130" s="80" t="s">
        <v>529</v>
      </c>
      <c r="E130" s="148"/>
      <c r="F130" s="82">
        <v>45</v>
      </c>
      <c r="G130" s="82">
        <v>1000</v>
      </c>
      <c r="H130" s="82">
        <f t="shared" si="9"/>
        <v>45000</v>
      </c>
      <c r="I130" s="144" t="s">
        <v>230</v>
      </c>
      <c r="J130" s="145"/>
      <c r="K130" s="91">
        <v>1.75</v>
      </c>
      <c r="L130" s="92">
        <v>0.05</v>
      </c>
      <c r="M130" s="31">
        <f t="shared" si="7"/>
        <v>8.7500000000000008E-2</v>
      </c>
      <c r="N130" s="31">
        <f t="shared" si="8"/>
        <v>1.8374999999999999</v>
      </c>
      <c r="O130" s="25"/>
      <c r="P130" s="78">
        <v>45869</v>
      </c>
      <c r="Q130" s="81"/>
      <c r="R130" s="26" t="s">
        <v>1043</v>
      </c>
      <c r="S130" s="21"/>
      <c r="T130" s="32" t="s">
        <v>309</v>
      </c>
      <c r="U130" s="21"/>
    </row>
    <row r="131" spans="1:21" ht="20.100000000000001" hidden="1" customHeight="1" x14ac:dyDescent="0.3">
      <c r="A131" s="44">
        <v>123</v>
      </c>
      <c r="B131" s="78">
        <v>45869</v>
      </c>
      <c r="C131" s="145"/>
      <c r="D131" s="80" t="s">
        <v>969</v>
      </c>
      <c r="E131" s="148"/>
      <c r="F131" s="82">
        <v>41</v>
      </c>
      <c r="G131" s="82">
        <v>1000</v>
      </c>
      <c r="H131" s="82">
        <f t="shared" ref="H131:H132" si="11">F131*G131</f>
        <v>41000</v>
      </c>
      <c r="I131" s="144" t="s">
        <v>51</v>
      </c>
      <c r="J131" s="145"/>
      <c r="K131" s="91">
        <v>6650</v>
      </c>
      <c r="L131" s="92"/>
      <c r="M131" s="31">
        <f t="shared" si="7"/>
        <v>0</v>
      </c>
      <c r="N131" s="31">
        <f t="shared" si="8"/>
        <v>6650</v>
      </c>
      <c r="O131" s="25"/>
      <c r="P131" s="78">
        <v>45869</v>
      </c>
      <c r="Q131" s="81"/>
      <c r="R131" s="26" t="s">
        <v>1044</v>
      </c>
      <c r="S131" s="21"/>
      <c r="T131" s="32" t="s">
        <v>265</v>
      </c>
      <c r="U131" s="21"/>
    </row>
    <row r="132" spans="1:21" ht="20.100000000000001" hidden="1" customHeight="1" x14ac:dyDescent="0.3">
      <c r="A132" s="44">
        <v>124</v>
      </c>
      <c r="B132" s="78">
        <v>45869</v>
      </c>
      <c r="C132" s="145"/>
      <c r="D132" s="80" t="s">
        <v>946</v>
      </c>
      <c r="E132" s="148"/>
      <c r="F132" s="82">
        <v>41</v>
      </c>
      <c r="G132" s="82">
        <v>1000</v>
      </c>
      <c r="H132" s="82">
        <f t="shared" si="11"/>
        <v>41000</v>
      </c>
      <c r="I132" s="144" t="s">
        <v>51</v>
      </c>
      <c r="J132" s="145"/>
      <c r="K132" s="91">
        <v>3432</v>
      </c>
      <c r="L132" s="92"/>
      <c r="M132" s="31">
        <f t="shared" si="7"/>
        <v>0</v>
      </c>
      <c r="N132" s="31">
        <f t="shared" si="8"/>
        <v>3432</v>
      </c>
      <c r="O132" s="25"/>
      <c r="P132" s="78">
        <v>45869</v>
      </c>
      <c r="Q132" s="81"/>
      <c r="R132" s="26" t="s">
        <v>1044</v>
      </c>
      <c r="S132" s="21"/>
      <c r="T132" s="32" t="s">
        <v>265</v>
      </c>
      <c r="U132" s="21"/>
    </row>
    <row r="133" spans="1:21" ht="20.100000000000001" hidden="1" customHeight="1" x14ac:dyDescent="0.3">
      <c r="A133" s="44">
        <v>125</v>
      </c>
      <c r="B133" s="78">
        <v>45867</v>
      </c>
      <c r="C133" s="145"/>
      <c r="D133" s="80" t="s">
        <v>1045</v>
      </c>
      <c r="E133" s="148"/>
      <c r="F133" s="82">
        <v>10</v>
      </c>
      <c r="G133" s="82">
        <v>25</v>
      </c>
      <c r="H133" s="82">
        <f t="shared" si="9"/>
        <v>250</v>
      </c>
      <c r="I133" s="144" t="s">
        <v>18</v>
      </c>
      <c r="J133" s="145"/>
      <c r="K133" s="91">
        <v>35000</v>
      </c>
      <c r="L133" s="92"/>
      <c r="M133" s="31">
        <f t="shared" si="7"/>
        <v>0</v>
      </c>
      <c r="N133" s="31">
        <f t="shared" si="8"/>
        <v>35000</v>
      </c>
      <c r="O133" s="25"/>
      <c r="P133" s="78">
        <v>45870</v>
      </c>
      <c r="Q133" s="81"/>
      <c r="R133" s="26" t="s">
        <v>1046</v>
      </c>
      <c r="S133" s="21"/>
      <c r="T133" s="32" t="s">
        <v>1047</v>
      </c>
      <c r="U133" s="21"/>
    </row>
    <row r="134" spans="1:21" ht="20.100000000000001" hidden="1" customHeight="1" x14ac:dyDescent="0.3">
      <c r="A134" s="44">
        <v>126</v>
      </c>
      <c r="B134" s="78">
        <v>45877</v>
      </c>
      <c r="C134" s="145"/>
      <c r="D134" s="80" t="s">
        <v>561</v>
      </c>
      <c r="E134" s="148"/>
      <c r="F134" s="82">
        <v>20</v>
      </c>
      <c r="G134" s="82">
        <v>25</v>
      </c>
      <c r="H134" s="82">
        <f t="shared" si="9"/>
        <v>500</v>
      </c>
      <c r="I134" s="144" t="s">
        <v>18</v>
      </c>
      <c r="J134" s="145"/>
      <c r="K134" s="91">
        <v>6000</v>
      </c>
      <c r="L134" s="92"/>
      <c r="M134" s="31">
        <f t="shared" si="7"/>
        <v>0</v>
      </c>
      <c r="N134" s="31">
        <f t="shared" si="8"/>
        <v>6000</v>
      </c>
      <c r="O134" s="25"/>
      <c r="P134" s="78">
        <v>45877</v>
      </c>
      <c r="Q134" s="81"/>
      <c r="R134" s="26" t="s">
        <v>1048</v>
      </c>
      <c r="S134" s="21"/>
      <c r="T134" s="32" t="s">
        <v>74</v>
      </c>
      <c r="U134" s="21"/>
    </row>
    <row r="135" spans="1:21" ht="20.100000000000001" hidden="1" customHeight="1" x14ac:dyDescent="0.3">
      <c r="A135" s="44">
        <v>127</v>
      </c>
      <c r="B135" s="78">
        <v>45877</v>
      </c>
      <c r="C135" s="145"/>
      <c r="D135" s="80" t="s">
        <v>340</v>
      </c>
      <c r="E135" s="148"/>
      <c r="F135" s="82">
        <v>20</v>
      </c>
      <c r="G135" s="82">
        <v>25</v>
      </c>
      <c r="H135" s="82">
        <f t="shared" ref="H135" si="12">F135*G135</f>
        <v>500</v>
      </c>
      <c r="I135" s="144" t="s">
        <v>18</v>
      </c>
      <c r="J135" s="145"/>
      <c r="K135" s="91">
        <v>3200</v>
      </c>
      <c r="L135" s="92">
        <v>0.12</v>
      </c>
      <c r="M135" s="31">
        <f t="shared" si="7"/>
        <v>384</v>
      </c>
      <c r="N135" s="31">
        <f t="shared" si="8"/>
        <v>3584</v>
      </c>
      <c r="O135" s="25"/>
      <c r="P135" s="78">
        <v>45877</v>
      </c>
      <c r="Q135" s="81"/>
      <c r="R135" s="26" t="s">
        <v>1049</v>
      </c>
      <c r="S135" s="21"/>
      <c r="T135" s="32" t="s">
        <v>678</v>
      </c>
      <c r="U135" s="21"/>
    </row>
    <row r="136" spans="1:21" ht="20.100000000000001" hidden="1" customHeight="1" x14ac:dyDescent="0.3">
      <c r="A136" s="44">
        <v>128</v>
      </c>
      <c r="B136" s="78">
        <v>45877</v>
      </c>
      <c r="C136" s="145"/>
      <c r="D136" s="80" t="s">
        <v>481</v>
      </c>
      <c r="E136" s="148"/>
      <c r="F136" s="82">
        <v>50</v>
      </c>
      <c r="G136" s="82">
        <v>20</v>
      </c>
      <c r="H136" s="82">
        <f t="shared" si="9"/>
        <v>1000</v>
      </c>
      <c r="I136" s="144" t="s">
        <v>18</v>
      </c>
      <c r="J136" s="145"/>
      <c r="K136" s="91">
        <v>1800</v>
      </c>
      <c r="L136" s="92"/>
      <c r="M136" s="31">
        <f t="shared" si="7"/>
        <v>0</v>
      </c>
      <c r="N136" s="31">
        <f t="shared" si="8"/>
        <v>1800</v>
      </c>
      <c r="O136" s="25"/>
      <c r="P136" s="78">
        <v>45877</v>
      </c>
      <c r="Q136" s="81"/>
      <c r="R136" s="26" t="s">
        <v>1050</v>
      </c>
      <c r="S136" s="21"/>
      <c r="T136" s="32" t="s">
        <v>1051</v>
      </c>
      <c r="U136" s="21"/>
    </row>
    <row r="137" spans="1:21" ht="20.100000000000001" hidden="1" customHeight="1" x14ac:dyDescent="0.3">
      <c r="A137" s="44">
        <v>129</v>
      </c>
      <c r="B137" s="78">
        <v>45877</v>
      </c>
      <c r="C137" s="145"/>
      <c r="D137" s="80" t="s">
        <v>1052</v>
      </c>
      <c r="E137" s="148"/>
      <c r="F137" s="82">
        <v>200</v>
      </c>
      <c r="G137" s="82">
        <v>1</v>
      </c>
      <c r="H137" s="82">
        <f t="shared" si="9"/>
        <v>200</v>
      </c>
      <c r="I137" s="144" t="s">
        <v>18</v>
      </c>
      <c r="J137" s="145"/>
      <c r="K137" s="91">
        <v>1500</v>
      </c>
      <c r="L137" s="92"/>
      <c r="M137" s="31">
        <f t="shared" ref="M137:M200" si="13">K137*L137</f>
        <v>0</v>
      </c>
      <c r="N137" s="31">
        <f t="shared" ref="N137:N200" si="14">K137+M137</f>
        <v>1500</v>
      </c>
      <c r="O137" s="25"/>
      <c r="P137" s="112" t="s">
        <v>344</v>
      </c>
      <c r="Q137" s="81"/>
      <c r="R137" s="26" t="s">
        <v>1053</v>
      </c>
      <c r="S137" s="21"/>
      <c r="T137" s="32" t="s">
        <v>609</v>
      </c>
      <c r="U137" s="21"/>
    </row>
    <row r="138" spans="1:21" ht="20.100000000000001" hidden="1" customHeight="1" x14ac:dyDescent="0.3">
      <c r="A138" s="44">
        <v>130</v>
      </c>
      <c r="B138" s="78" t="s">
        <v>1054</v>
      </c>
      <c r="C138" s="145"/>
      <c r="D138" s="80" t="s">
        <v>561</v>
      </c>
      <c r="E138" s="148"/>
      <c r="F138" s="82">
        <v>6</v>
      </c>
      <c r="G138" s="82">
        <v>25</v>
      </c>
      <c r="H138" s="82">
        <f t="shared" ref="H138" si="15">F138*G138</f>
        <v>150</v>
      </c>
      <c r="I138" s="144" t="s">
        <v>18</v>
      </c>
      <c r="J138" s="145"/>
      <c r="K138" s="91">
        <v>6000</v>
      </c>
      <c r="L138" s="92"/>
      <c r="M138" s="31">
        <f t="shared" si="13"/>
        <v>0</v>
      </c>
      <c r="N138" s="31">
        <f t="shared" si="14"/>
        <v>6000</v>
      </c>
      <c r="O138" s="25"/>
      <c r="P138" s="78">
        <v>45880</v>
      </c>
      <c r="Q138" s="81"/>
      <c r="R138" s="26" t="s">
        <v>1055</v>
      </c>
      <c r="S138" s="21"/>
      <c r="T138" s="32" t="s">
        <v>74</v>
      </c>
      <c r="U138" s="21"/>
    </row>
    <row r="139" spans="1:21" ht="20.100000000000001" hidden="1" customHeight="1" x14ac:dyDescent="0.3">
      <c r="A139" s="44">
        <v>131</v>
      </c>
      <c r="B139" s="78">
        <v>45880</v>
      </c>
      <c r="C139" s="145"/>
      <c r="D139" s="80" t="s">
        <v>510</v>
      </c>
      <c r="E139" s="148"/>
      <c r="F139" s="82">
        <v>200</v>
      </c>
      <c r="G139" s="82">
        <v>50</v>
      </c>
      <c r="H139" s="82">
        <f t="shared" ref="H139:H201" si="16">F139*G139</f>
        <v>10000</v>
      </c>
      <c r="I139" s="144" t="s">
        <v>66</v>
      </c>
      <c r="J139" s="145"/>
      <c r="K139" s="91">
        <v>71.5</v>
      </c>
      <c r="L139" s="92"/>
      <c r="M139" s="31">
        <f t="shared" si="13"/>
        <v>0</v>
      </c>
      <c r="N139" s="31">
        <f t="shared" si="14"/>
        <v>71.5</v>
      </c>
      <c r="O139" s="25"/>
      <c r="P139" s="78">
        <v>45880</v>
      </c>
      <c r="Q139" s="81"/>
      <c r="R139" s="26" t="s">
        <v>1056</v>
      </c>
      <c r="S139" s="21"/>
      <c r="T139" s="32" t="s">
        <v>609</v>
      </c>
      <c r="U139" s="21"/>
    </row>
    <row r="140" spans="1:21" ht="20.100000000000001" hidden="1" customHeight="1" x14ac:dyDescent="0.3">
      <c r="A140" s="44">
        <v>132</v>
      </c>
      <c r="B140" s="78">
        <v>45880</v>
      </c>
      <c r="C140" s="145"/>
      <c r="D140" s="80" t="s">
        <v>1032</v>
      </c>
      <c r="E140" s="148"/>
      <c r="F140" s="82">
        <v>40</v>
      </c>
      <c r="G140" s="82">
        <v>5</v>
      </c>
      <c r="H140" s="82">
        <f t="shared" si="16"/>
        <v>200</v>
      </c>
      <c r="I140" s="144" t="s">
        <v>56</v>
      </c>
      <c r="J140" s="145"/>
      <c r="K140" s="91">
        <v>495</v>
      </c>
      <c r="L140" s="92"/>
      <c r="M140" s="31">
        <f t="shared" si="13"/>
        <v>0</v>
      </c>
      <c r="N140" s="31">
        <f t="shared" si="14"/>
        <v>495</v>
      </c>
      <c r="O140" s="25"/>
      <c r="P140" s="78">
        <v>45880</v>
      </c>
      <c r="Q140" s="81"/>
      <c r="R140" s="26" t="s">
        <v>1056</v>
      </c>
      <c r="S140" s="21"/>
      <c r="T140" s="32" t="s">
        <v>609</v>
      </c>
      <c r="U140" s="21"/>
    </row>
    <row r="141" spans="1:21" ht="20.100000000000001" hidden="1" customHeight="1" x14ac:dyDescent="0.3">
      <c r="A141" s="44">
        <v>133</v>
      </c>
      <c r="B141" s="78">
        <v>45877</v>
      </c>
      <c r="C141" s="145"/>
      <c r="D141" s="80" t="s">
        <v>681</v>
      </c>
      <c r="E141" s="148"/>
      <c r="F141" s="82">
        <v>20</v>
      </c>
      <c r="G141" s="82">
        <v>25</v>
      </c>
      <c r="H141" s="82">
        <f t="shared" si="16"/>
        <v>500</v>
      </c>
      <c r="I141" s="144" t="s">
        <v>18</v>
      </c>
      <c r="J141" s="145"/>
      <c r="K141" s="91">
        <v>14625</v>
      </c>
      <c r="L141" s="92"/>
      <c r="M141" s="31">
        <f t="shared" si="13"/>
        <v>0</v>
      </c>
      <c r="N141" s="31">
        <f t="shared" si="14"/>
        <v>14625</v>
      </c>
      <c r="O141" s="25"/>
      <c r="P141" s="78">
        <v>45881</v>
      </c>
      <c r="Q141" s="81"/>
      <c r="R141" s="26" t="s">
        <v>1057</v>
      </c>
      <c r="S141" s="21"/>
      <c r="T141" s="32" t="s">
        <v>948</v>
      </c>
      <c r="U141" s="21"/>
    </row>
    <row r="142" spans="1:21" ht="20.100000000000001" hidden="1" customHeight="1" x14ac:dyDescent="0.3">
      <c r="A142" s="44">
        <v>134</v>
      </c>
      <c r="B142" s="78" t="s">
        <v>189</v>
      </c>
      <c r="C142" s="145"/>
      <c r="D142" s="80" t="s">
        <v>720</v>
      </c>
      <c r="E142" s="148"/>
      <c r="F142" s="82">
        <v>40</v>
      </c>
      <c r="G142" s="82">
        <v>25</v>
      </c>
      <c r="H142" s="82">
        <f t="shared" si="16"/>
        <v>1000</v>
      </c>
      <c r="I142" s="144" t="s">
        <v>18</v>
      </c>
      <c r="J142" s="145"/>
      <c r="K142" s="91">
        <v>6250</v>
      </c>
      <c r="L142" s="92"/>
      <c r="M142" s="31">
        <f t="shared" si="13"/>
        <v>0</v>
      </c>
      <c r="N142" s="31">
        <f t="shared" si="14"/>
        <v>6250</v>
      </c>
      <c r="O142" s="25"/>
      <c r="P142" s="78">
        <v>45882</v>
      </c>
      <c r="Q142" s="81"/>
      <c r="R142" s="26" t="s">
        <v>1058</v>
      </c>
      <c r="S142" s="21"/>
      <c r="T142" s="32" t="s">
        <v>74</v>
      </c>
      <c r="U142" s="21"/>
    </row>
    <row r="143" spans="1:21" ht="20.100000000000001" hidden="1" customHeight="1" x14ac:dyDescent="0.3">
      <c r="A143" s="44">
        <v>135</v>
      </c>
      <c r="B143" s="78" t="s">
        <v>189</v>
      </c>
      <c r="C143" s="145"/>
      <c r="D143" s="80" t="s">
        <v>914</v>
      </c>
      <c r="E143" s="148"/>
      <c r="F143" s="82">
        <v>48</v>
      </c>
      <c r="G143" s="82">
        <v>1</v>
      </c>
      <c r="H143" s="82">
        <f t="shared" si="16"/>
        <v>48</v>
      </c>
      <c r="I143" s="144" t="s">
        <v>56</v>
      </c>
      <c r="J143" s="145"/>
      <c r="K143" s="91">
        <v>650</v>
      </c>
      <c r="L143" s="92"/>
      <c r="M143" s="31">
        <f t="shared" si="13"/>
        <v>0</v>
      </c>
      <c r="N143" s="31">
        <f t="shared" si="14"/>
        <v>650</v>
      </c>
      <c r="O143" s="25"/>
      <c r="P143" s="78">
        <v>45891</v>
      </c>
      <c r="Q143" s="81"/>
      <c r="R143" s="26" t="s">
        <v>1059</v>
      </c>
      <c r="S143" s="21"/>
      <c r="T143" s="32" t="s">
        <v>1060</v>
      </c>
      <c r="U143" s="21"/>
    </row>
    <row r="144" spans="1:21" ht="20.100000000000001" hidden="1" customHeight="1" x14ac:dyDescent="0.3">
      <c r="A144" s="44">
        <v>136</v>
      </c>
      <c r="B144" s="78">
        <v>45898</v>
      </c>
      <c r="C144" s="145"/>
      <c r="D144" s="80" t="s">
        <v>1061</v>
      </c>
      <c r="E144" s="148"/>
      <c r="F144" s="82">
        <v>6</v>
      </c>
      <c r="G144" s="82">
        <v>25</v>
      </c>
      <c r="H144" s="82">
        <f t="shared" si="16"/>
        <v>150</v>
      </c>
      <c r="I144" s="144" t="s">
        <v>18</v>
      </c>
      <c r="J144" s="145"/>
      <c r="K144" s="91">
        <v>9750</v>
      </c>
      <c r="L144" s="92"/>
      <c r="M144" s="31">
        <f t="shared" si="13"/>
        <v>0</v>
      </c>
      <c r="N144" s="31">
        <f t="shared" si="14"/>
        <v>9750</v>
      </c>
      <c r="O144" s="25"/>
      <c r="P144" s="78">
        <v>45903</v>
      </c>
      <c r="Q144" s="81"/>
      <c r="R144" s="26" t="s">
        <v>1066</v>
      </c>
      <c r="S144" s="21"/>
      <c r="T144" s="32" t="s">
        <v>349</v>
      </c>
      <c r="U144" s="21"/>
    </row>
    <row r="145" spans="1:21" ht="20.100000000000001" hidden="1" customHeight="1" x14ac:dyDescent="0.3">
      <c r="A145" s="44">
        <v>137</v>
      </c>
      <c r="B145" s="78">
        <v>45898</v>
      </c>
      <c r="C145" s="145"/>
      <c r="D145" s="80" t="s">
        <v>1062</v>
      </c>
      <c r="E145" s="148"/>
      <c r="F145" s="82">
        <v>2</v>
      </c>
      <c r="G145" s="82">
        <v>25</v>
      </c>
      <c r="H145" s="82">
        <f t="shared" si="16"/>
        <v>50</v>
      </c>
      <c r="I145" s="144" t="s">
        <v>18</v>
      </c>
      <c r="J145" s="145"/>
      <c r="K145" s="91">
        <v>2625</v>
      </c>
      <c r="L145" s="92"/>
      <c r="M145" s="31">
        <f t="shared" si="13"/>
        <v>0</v>
      </c>
      <c r="N145" s="31">
        <f t="shared" si="14"/>
        <v>2625</v>
      </c>
      <c r="O145" s="25"/>
      <c r="P145" s="78">
        <v>45903</v>
      </c>
      <c r="Q145" s="81"/>
      <c r="R145" s="26" t="s">
        <v>1066</v>
      </c>
      <c r="S145" s="21"/>
      <c r="T145" s="32" t="s">
        <v>349</v>
      </c>
      <c r="U145" s="21"/>
    </row>
    <row r="146" spans="1:21" ht="20.100000000000001" hidden="1" customHeight="1" x14ac:dyDescent="0.3">
      <c r="A146" s="44">
        <v>138</v>
      </c>
      <c r="B146" s="78">
        <v>45898</v>
      </c>
      <c r="C146" s="145"/>
      <c r="D146" s="80" t="s">
        <v>1063</v>
      </c>
      <c r="E146" s="148"/>
      <c r="F146" s="82">
        <v>10</v>
      </c>
      <c r="G146" s="82">
        <v>25</v>
      </c>
      <c r="H146" s="82">
        <f t="shared" si="16"/>
        <v>250</v>
      </c>
      <c r="I146" s="144" t="s">
        <v>18</v>
      </c>
      <c r="J146" s="145"/>
      <c r="K146" s="91">
        <v>6500</v>
      </c>
      <c r="L146" s="92"/>
      <c r="M146" s="31">
        <f t="shared" si="13"/>
        <v>0</v>
      </c>
      <c r="N146" s="31">
        <f t="shared" si="14"/>
        <v>6500</v>
      </c>
      <c r="O146" s="25"/>
      <c r="P146" s="78">
        <v>45903</v>
      </c>
      <c r="Q146" s="81"/>
      <c r="R146" s="26" t="s">
        <v>1066</v>
      </c>
      <c r="S146" s="21"/>
      <c r="T146" s="32" t="s">
        <v>349</v>
      </c>
      <c r="U146" s="21"/>
    </row>
    <row r="147" spans="1:21" ht="20.100000000000001" hidden="1" customHeight="1" x14ac:dyDescent="0.3">
      <c r="A147" s="44">
        <v>139</v>
      </c>
      <c r="B147" s="78">
        <v>45898</v>
      </c>
      <c r="C147" s="145"/>
      <c r="D147" s="80" t="s">
        <v>1064</v>
      </c>
      <c r="E147" s="148"/>
      <c r="F147" s="82">
        <v>1</v>
      </c>
      <c r="G147" s="82">
        <v>25</v>
      </c>
      <c r="H147" s="82">
        <f t="shared" si="16"/>
        <v>25</v>
      </c>
      <c r="I147" s="144" t="s">
        <v>18</v>
      </c>
      <c r="J147" s="145"/>
      <c r="K147" s="91">
        <v>11250</v>
      </c>
      <c r="L147" s="92"/>
      <c r="M147" s="31">
        <f t="shared" si="13"/>
        <v>0</v>
      </c>
      <c r="N147" s="31">
        <f t="shared" si="14"/>
        <v>11250</v>
      </c>
      <c r="O147" s="25"/>
      <c r="P147" s="78">
        <v>45903</v>
      </c>
      <c r="Q147" s="81"/>
      <c r="R147" s="26" t="s">
        <v>1066</v>
      </c>
      <c r="S147" s="21"/>
      <c r="T147" s="32" t="s">
        <v>349</v>
      </c>
      <c r="U147" s="21"/>
    </row>
    <row r="148" spans="1:21" ht="20.100000000000001" hidden="1" customHeight="1" x14ac:dyDescent="0.3">
      <c r="A148" s="44">
        <v>140</v>
      </c>
      <c r="B148" s="78">
        <v>45898</v>
      </c>
      <c r="C148" s="145"/>
      <c r="D148" s="80" t="s">
        <v>1065</v>
      </c>
      <c r="E148" s="148"/>
      <c r="F148" s="82">
        <v>15</v>
      </c>
      <c r="G148" s="82">
        <v>25</v>
      </c>
      <c r="H148" s="82">
        <f t="shared" si="16"/>
        <v>375</v>
      </c>
      <c r="I148" s="144" t="s">
        <v>18</v>
      </c>
      <c r="J148" s="145"/>
      <c r="K148" s="91">
        <v>3375</v>
      </c>
      <c r="L148" s="92"/>
      <c r="M148" s="31">
        <f t="shared" si="13"/>
        <v>0</v>
      </c>
      <c r="N148" s="31">
        <f t="shared" si="14"/>
        <v>3375</v>
      </c>
      <c r="O148" s="25"/>
      <c r="P148" s="78">
        <v>45903</v>
      </c>
      <c r="Q148" s="81"/>
      <c r="R148" s="26" t="s">
        <v>1066</v>
      </c>
      <c r="S148" s="21"/>
      <c r="T148" s="32" t="s">
        <v>349</v>
      </c>
      <c r="U148" s="21"/>
    </row>
    <row r="149" spans="1:21" ht="20.100000000000001" customHeight="1" x14ac:dyDescent="0.3">
      <c r="A149" s="44">
        <v>141</v>
      </c>
      <c r="B149" s="78">
        <v>45898</v>
      </c>
      <c r="C149" s="145"/>
      <c r="D149" s="80" t="s">
        <v>1067</v>
      </c>
      <c r="E149" s="148"/>
      <c r="F149" s="82">
        <v>4</v>
      </c>
      <c r="G149" s="82">
        <v>25</v>
      </c>
      <c r="H149" s="82">
        <f t="shared" si="16"/>
        <v>100</v>
      </c>
      <c r="I149" s="144" t="s">
        <v>18</v>
      </c>
      <c r="J149" s="145"/>
      <c r="K149" s="91">
        <v>9000</v>
      </c>
      <c r="L149" s="92"/>
      <c r="M149" s="31">
        <f t="shared" si="13"/>
        <v>0</v>
      </c>
      <c r="N149" s="31">
        <f t="shared" si="14"/>
        <v>9000</v>
      </c>
      <c r="O149" s="25"/>
      <c r="P149" s="78">
        <v>45903</v>
      </c>
      <c r="Q149" s="81"/>
      <c r="R149" s="26" t="s">
        <v>1068</v>
      </c>
      <c r="S149" s="21"/>
      <c r="T149" s="32" t="s">
        <v>1069</v>
      </c>
      <c r="U149" s="21"/>
    </row>
    <row r="150" spans="1:21" ht="20.100000000000001" hidden="1" customHeight="1" x14ac:dyDescent="0.3">
      <c r="A150" s="44">
        <v>142</v>
      </c>
      <c r="B150" s="78">
        <v>45898</v>
      </c>
      <c r="C150" s="145"/>
      <c r="D150" s="80" t="s">
        <v>1070</v>
      </c>
      <c r="E150" s="148"/>
      <c r="F150" s="82">
        <v>2</v>
      </c>
      <c r="G150" s="82">
        <v>25</v>
      </c>
      <c r="H150" s="82">
        <f t="shared" si="16"/>
        <v>50</v>
      </c>
      <c r="I150" s="144" t="s">
        <v>18</v>
      </c>
      <c r="J150" s="145"/>
      <c r="K150" s="91">
        <v>7500</v>
      </c>
      <c r="L150" s="92"/>
      <c r="M150" s="31">
        <f t="shared" si="13"/>
        <v>0</v>
      </c>
      <c r="N150" s="31">
        <f t="shared" si="14"/>
        <v>7500</v>
      </c>
      <c r="O150" s="25"/>
      <c r="P150" s="78">
        <v>45903</v>
      </c>
      <c r="Q150" s="81"/>
      <c r="R150" s="26" t="s">
        <v>1071</v>
      </c>
      <c r="S150" s="21"/>
      <c r="T150" s="32" t="s">
        <v>1047</v>
      </c>
      <c r="U150" s="21"/>
    </row>
    <row r="151" spans="1:21" ht="20.100000000000001" hidden="1" customHeight="1" x14ac:dyDescent="0.3">
      <c r="A151" s="44">
        <v>143</v>
      </c>
      <c r="B151" s="78">
        <v>45898</v>
      </c>
      <c r="C151" s="145"/>
      <c r="D151" s="80" t="s">
        <v>999</v>
      </c>
      <c r="E151" s="148"/>
      <c r="F151" s="82">
        <v>20</v>
      </c>
      <c r="G151" s="82">
        <v>25</v>
      </c>
      <c r="H151" s="82">
        <f t="shared" si="16"/>
        <v>500</v>
      </c>
      <c r="I151" s="144" t="s">
        <v>18</v>
      </c>
      <c r="J151" s="145"/>
      <c r="K151" s="91">
        <v>2750</v>
      </c>
      <c r="L151" s="92"/>
      <c r="M151" s="31">
        <f t="shared" si="13"/>
        <v>0</v>
      </c>
      <c r="N151" s="31">
        <f t="shared" si="14"/>
        <v>2750</v>
      </c>
      <c r="O151" s="25"/>
      <c r="P151" s="78">
        <v>45906</v>
      </c>
      <c r="Q151" s="81"/>
      <c r="R151" s="26" t="s">
        <v>1072</v>
      </c>
      <c r="S151" s="21"/>
      <c r="T151" s="32" t="s">
        <v>98</v>
      </c>
      <c r="U151" s="21"/>
    </row>
    <row r="152" spans="1:21" ht="20.100000000000001" customHeight="1" x14ac:dyDescent="0.3">
      <c r="A152" s="44">
        <v>144</v>
      </c>
      <c r="B152" s="78">
        <v>45898</v>
      </c>
      <c r="C152" s="145"/>
      <c r="D152" s="80" t="s">
        <v>1073</v>
      </c>
      <c r="E152" s="148"/>
      <c r="F152" s="82">
        <v>20</v>
      </c>
      <c r="G152" s="82">
        <v>5</v>
      </c>
      <c r="H152" s="82">
        <f t="shared" si="16"/>
        <v>100</v>
      </c>
      <c r="I152" s="144" t="s">
        <v>18</v>
      </c>
      <c r="J152" s="145"/>
      <c r="K152" s="91">
        <v>4750</v>
      </c>
      <c r="L152" s="92"/>
      <c r="M152" s="31">
        <f t="shared" si="13"/>
        <v>0</v>
      </c>
      <c r="N152" s="31">
        <f t="shared" si="14"/>
        <v>4750</v>
      </c>
      <c r="O152" s="25"/>
      <c r="P152" s="78">
        <v>45908</v>
      </c>
      <c r="Q152" s="81"/>
      <c r="R152" s="26" t="s">
        <v>1074</v>
      </c>
      <c r="S152" s="21"/>
      <c r="T152" s="32" t="s">
        <v>1075</v>
      </c>
      <c r="U152" s="21"/>
    </row>
    <row r="153" spans="1:21" ht="20.100000000000001" customHeight="1" x14ac:dyDescent="0.3">
      <c r="A153" s="44">
        <v>145</v>
      </c>
      <c r="B153" s="78">
        <v>45898</v>
      </c>
      <c r="C153" s="145"/>
      <c r="D153" s="80" t="s">
        <v>1076</v>
      </c>
      <c r="E153" s="148"/>
      <c r="F153" s="82">
        <v>25</v>
      </c>
      <c r="G153" s="82">
        <v>4</v>
      </c>
      <c r="H153" s="82">
        <f t="shared" si="16"/>
        <v>100</v>
      </c>
      <c r="I153" s="144" t="s">
        <v>18</v>
      </c>
      <c r="J153" s="145"/>
      <c r="K153" s="91">
        <v>10500</v>
      </c>
      <c r="L153" s="92"/>
      <c r="M153" s="31">
        <f t="shared" si="13"/>
        <v>0</v>
      </c>
      <c r="N153" s="31">
        <f t="shared" si="14"/>
        <v>10500</v>
      </c>
      <c r="O153" s="25"/>
      <c r="P153" s="78">
        <v>45908</v>
      </c>
      <c r="Q153" s="81"/>
      <c r="R153" s="26" t="s">
        <v>1077</v>
      </c>
      <c r="S153" s="21"/>
      <c r="T153" s="32" t="s">
        <v>1078</v>
      </c>
      <c r="U153" s="21"/>
    </row>
    <row r="154" spans="1:21" ht="20.100000000000001" hidden="1" customHeight="1" x14ac:dyDescent="0.3">
      <c r="A154" s="44">
        <v>146</v>
      </c>
      <c r="B154" s="78">
        <v>45898</v>
      </c>
      <c r="C154" s="145"/>
      <c r="D154" s="80" t="s">
        <v>1079</v>
      </c>
      <c r="E154" s="148"/>
      <c r="F154" s="82">
        <v>2</v>
      </c>
      <c r="G154" s="82">
        <v>25</v>
      </c>
      <c r="H154" s="82">
        <f t="shared" si="16"/>
        <v>50</v>
      </c>
      <c r="I154" s="144" t="s">
        <v>18</v>
      </c>
      <c r="J154" s="145"/>
      <c r="K154" s="91">
        <v>21250</v>
      </c>
      <c r="L154" s="92"/>
      <c r="M154" s="31">
        <f t="shared" si="13"/>
        <v>0</v>
      </c>
      <c r="N154" s="31">
        <f t="shared" si="14"/>
        <v>21250</v>
      </c>
      <c r="O154" s="25"/>
      <c r="P154" s="78">
        <v>45909</v>
      </c>
      <c r="Q154" s="81"/>
      <c r="R154" s="26" t="s">
        <v>1080</v>
      </c>
      <c r="S154" s="21"/>
      <c r="T154" s="32" t="s">
        <v>1081</v>
      </c>
      <c r="U154" s="21"/>
    </row>
    <row r="155" spans="1:21" ht="20.100000000000001" hidden="1" customHeight="1" x14ac:dyDescent="0.3">
      <c r="A155" s="44">
        <v>147</v>
      </c>
      <c r="B155" s="78">
        <v>45910</v>
      </c>
      <c r="C155" s="145"/>
      <c r="D155" s="80" t="s">
        <v>1082</v>
      </c>
      <c r="E155" s="148"/>
      <c r="F155" s="82">
        <v>17</v>
      </c>
      <c r="G155" s="82">
        <v>2500</v>
      </c>
      <c r="H155" s="82">
        <f t="shared" si="16"/>
        <v>42500</v>
      </c>
      <c r="I155" s="144" t="s">
        <v>51</v>
      </c>
      <c r="J155" s="145"/>
      <c r="K155" s="91">
        <v>296</v>
      </c>
      <c r="L155" s="92">
        <v>0.05</v>
      </c>
      <c r="M155" s="31">
        <f t="shared" si="13"/>
        <v>14.8</v>
      </c>
      <c r="N155" s="31">
        <f t="shared" si="14"/>
        <v>310.8</v>
      </c>
      <c r="O155" s="25"/>
      <c r="P155" s="78">
        <v>45911</v>
      </c>
      <c r="Q155" s="81"/>
      <c r="R155" s="26" t="s">
        <v>1083</v>
      </c>
      <c r="S155" s="21"/>
      <c r="T155" s="32" t="s">
        <v>609</v>
      </c>
      <c r="U155" s="21"/>
    </row>
    <row r="156" spans="1:21" ht="20.100000000000001" hidden="1" customHeight="1" x14ac:dyDescent="0.3">
      <c r="A156" s="44">
        <v>148</v>
      </c>
      <c r="B156" s="78">
        <v>45910</v>
      </c>
      <c r="C156" s="145"/>
      <c r="D156" s="80" t="s">
        <v>692</v>
      </c>
      <c r="E156" s="148"/>
      <c r="F156" s="82">
        <v>39</v>
      </c>
      <c r="G156" s="82">
        <v>1000</v>
      </c>
      <c r="H156" s="82">
        <f t="shared" si="16"/>
        <v>39000</v>
      </c>
      <c r="I156" s="144" t="s">
        <v>51</v>
      </c>
      <c r="J156" s="145"/>
      <c r="K156" s="91">
        <v>1875</v>
      </c>
      <c r="L156" s="92">
        <v>0.05</v>
      </c>
      <c r="M156" s="31">
        <f t="shared" si="13"/>
        <v>93.75</v>
      </c>
      <c r="N156" s="31">
        <f t="shared" si="14"/>
        <v>1968.75</v>
      </c>
      <c r="O156" s="25"/>
      <c r="P156" s="78">
        <v>45911</v>
      </c>
      <c r="Q156" s="81"/>
      <c r="R156" s="26" t="s">
        <v>1083</v>
      </c>
      <c r="S156" s="21"/>
      <c r="T156" s="32" t="s">
        <v>609</v>
      </c>
      <c r="U156" s="21"/>
    </row>
    <row r="157" spans="1:21" ht="20.100000000000001" hidden="1" customHeight="1" x14ac:dyDescent="0.3">
      <c r="A157" s="44">
        <v>149</v>
      </c>
      <c r="B157" s="78">
        <v>45910</v>
      </c>
      <c r="C157" s="145"/>
      <c r="D157" s="80" t="s">
        <v>305</v>
      </c>
      <c r="E157" s="148"/>
      <c r="F157" s="82">
        <v>41</v>
      </c>
      <c r="G157" s="82">
        <v>1000</v>
      </c>
      <c r="H157" s="82">
        <f t="shared" si="16"/>
        <v>41000</v>
      </c>
      <c r="I157" s="144" t="s">
        <v>51</v>
      </c>
      <c r="J157" s="145"/>
      <c r="K157" s="91">
        <v>6862</v>
      </c>
      <c r="L157" s="92">
        <v>0.05</v>
      </c>
      <c r="M157" s="31">
        <f t="shared" si="13"/>
        <v>343.1</v>
      </c>
      <c r="N157" s="31">
        <f t="shared" si="14"/>
        <v>7205.1</v>
      </c>
      <c r="O157" s="25"/>
      <c r="P157" s="78">
        <v>45911</v>
      </c>
      <c r="Q157" s="81"/>
      <c r="R157" s="26" t="s">
        <v>1083</v>
      </c>
      <c r="S157" s="21"/>
      <c r="T157" s="32" t="s">
        <v>609</v>
      </c>
      <c r="U157" s="21"/>
    </row>
    <row r="158" spans="1:21" ht="20.100000000000001" hidden="1" customHeight="1" x14ac:dyDescent="0.3">
      <c r="A158" s="44">
        <v>150</v>
      </c>
      <c r="B158" s="78">
        <v>45910</v>
      </c>
      <c r="C158" s="145"/>
      <c r="D158" s="80" t="s">
        <v>962</v>
      </c>
      <c r="E158" s="148"/>
      <c r="F158" s="82">
        <v>40</v>
      </c>
      <c r="G158" s="82">
        <v>1000</v>
      </c>
      <c r="H158" s="82">
        <f t="shared" si="16"/>
        <v>40000</v>
      </c>
      <c r="I158" s="144" t="s">
        <v>51</v>
      </c>
      <c r="J158" s="145"/>
      <c r="K158" s="91">
        <v>1150</v>
      </c>
      <c r="L158" s="92">
        <v>0.05</v>
      </c>
      <c r="M158" s="31">
        <f t="shared" si="13"/>
        <v>57.5</v>
      </c>
      <c r="N158" s="31">
        <f t="shared" si="14"/>
        <v>1207.5</v>
      </c>
      <c r="O158" s="25"/>
      <c r="P158" s="78">
        <v>45911</v>
      </c>
      <c r="Q158" s="81"/>
      <c r="R158" s="26" t="s">
        <v>1084</v>
      </c>
      <c r="S158" s="21"/>
      <c r="T158" s="32" t="s">
        <v>1040</v>
      </c>
      <c r="U158" s="21"/>
    </row>
    <row r="159" spans="1:21" ht="20.100000000000001" hidden="1" customHeight="1" x14ac:dyDescent="0.3">
      <c r="A159" s="44">
        <v>151</v>
      </c>
      <c r="B159" s="78">
        <v>45910</v>
      </c>
      <c r="C159" s="145"/>
      <c r="D159" s="80" t="s">
        <v>886</v>
      </c>
      <c r="E159" s="148"/>
      <c r="F159" s="82">
        <v>88</v>
      </c>
      <c r="G159" s="82">
        <v>1000</v>
      </c>
      <c r="H159" s="82">
        <f t="shared" si="16"/>
        <v>88000</v>
      </c>
      <c r="I159" s="144" t="s">
        <v>51</v>
      </c>
      <c r="J159" s="145"/>
      <c r="K159" s="91">
        <v>945.02</v>
      </c>
      <c r="L159" s="92">
        <v>0.05</v>
      </c>
      <c r="M159" s="31">
        <f t="shared" si="13"/>
        <v>47.251000000000005</v>
      </c>
      <c r="N159" s="31">
        <f t="shared" si="14"/>
        <v>992.27099999999996</v>
      </c>
      <c r="O159" s="25"/>
      <c r="P159" s="78">
        <v>45911</v>
      </c>
      <c r="Q159" s="81"/>
      <c r="R159" s="26" t="s">
        <v>1084</v>
      </c>
      <c r="S159" s="21"/>
      <c r="T159" s="32" t="s">
        <v>1040</v>
      </c>
      <c r="U159" s="21"/>
    </row>
    <row r="160" spans="1:21" ht="20.100000000000001" hidden="1" customHeight="1" x14ac:dyDescent="0.3">
      <c r="A160" s="44">
        <v>152</v>
      </c>
      <c r="B160" s="78">
        <v>45910</v>
      </c>
      <c r="C160" s="145"/>
      <c r="D160" s="80" t="s">
        <v>887</v>
      </c>
      <c r="E160" s="148"/>
      <c r="F160" s="82">
        <v>88</v>
      </c>
      <c r="G160" s="82">
        <v>1000</v>
      </c>
      <c r="H160" s="82">
        <f t="shared" si="16"/>
        <v>88000</v>
      </c>
      <c r="I160" s="144" t="s">
        <v>51</v>
      </c>
      <c r="J160" s="145"/>
      <c r="K160" s="91">
        <v>2499</v>
      </c>
      <c r="L160" s="92">
        <v>0.05</v>
      </c>
      <c r="M160" s="31">
        <f t="shared" si="13"/>
        <v>124.95</v>
      </c>
      <c r="N160" s="31">
        <f t="shared" si="14"/>
        <v>2623.95</v>
      </c>
      <c r="O160" s="25"/>
      <c r="P160" s="78">
        <v>45911</v>
      </c>
      <c r="Q160" s="81"/>
      <c r="R160" s="26" t="s">
        <v>1084</v>
      </c>
      <c r="S160" s="21"/>
      <c r="T160" s="32" t="s">
        <v>1040</v>
      </c>
      <c r="U160" s="21"/>
    </row>
    <row r="161" spans="1:21" ht="20.100000000000001" hidden="1" customHeight="1" x14ac:dyDescent="0.3">
      <c r="A161" s="44">
        <v>153</v>
      </c>
      <c r="B161" s="78">
        <v>45910</v>
      </c>
      <c r="C161" s="145"/>
      <c r="D161" s="80" t="s">
        <v>1085</v>
      </c>
      <c r="E161" s="148"/>
      <c r="F161" s="82">
        <v>20</v>
      </c>
      <c r="G161" s="82">
        <v>5</v>
      </c>
      <c r="H161" s="82">
        <f t="shared" si="16"/>
        <v>100</v>
      </c>
      <c r="I161" s="144" t="s">
        <v>56</v>
      </c>
      <c r="J161" s="145"/>
      <c r="K161" s="91">
        <v>8600</v>
      </c>
      <c r="L161" s="92">
        <v>0.05</v>
      </c>
      <c r="M161" s="31">
        <f t="shared" si="13"/>
        <v>430</v>
      </c>
      <c r="N161" s="31">
        <f t="shared" si="14"/>
        <v>9030</v>
      </c>
      <c r="O161" s="25"/>
      <c r="P161" s="78">
        <v>45911</v>
      </c>
      <c r="Q161" s="81"/>
      <c r="R161" s="26" t="s">
        <v>1086</v>
      </c>
      <c r="S161" s="21"/>
      <c r="T161" s="32" t="s">
        <v>1087</v>
      </c>
      <c r="U161" s="21"/>
    </row>
    <row r="162" spans="1:21" ht="20.100000000000001" hidden="1" customHeight="1" x14ac:dyDescent="0.3">
      <c r="A162" s="44">
        <v>154</v>
      </c>
      <c r="B162" s="78">
        <v>45910</v>
      </c>
      <c r="C162" s="145"/>
      <c r="D162" s="80" t="s">
        <v>696</v>
      </c>
      <c r="E162" s="148"/>
      <c r="F162" s="82">
        <v>88</v>
      </c>
      <c r="G162" s="82">
        <v>1000</v>
      </c>
      <c r="H162" s="82">
        <f t="shared" si="16"/>
        <v>88000</v>
      </c>
      <c r="I162" s="144" t="s">
        <v>51</v>
      </c>
      <c r="J162" s="145"/>
      <c r="K162" s="91">
        <v>2050</v>
      </c>
      <c r="L162" s="92">
        <v>0.05</v>
      </c>
      <c r="M162" s="31">
        <f t="shared" si="13"/>
        <v>102.5</v>
      </c>
      <c r="N162" s="31">
        <f t="shared" si="14"/>
        <v>2152.5</v>
      </c>
      <c r="O162" s="25"/>
      <c r="P162" s="78">
        <v>45911</v>
      </c>
      <c r="Q162" s="81"/>
      <c r="R162" s="26" t="s">
        <v>1088</v>
      </c>
      <c r="S162" s="21"/>
      <c r="T162" s="32" t="s">
        <v>309</v>
      </c>
      <c r="U162" s="21"/>
    </row>
    <row r="163" spans="1:21" ht="20.100000000000001" hidden="1" customHeight="1" x14ac:dyDescent="0.3">
      <c r="A163" s="44">
        <v>155</v>
      </c>
      <c r="B163" s="78">
        <v>45910</v>
      </c>
      <c r="C163" s="155"/>
      <c r="D163" s="80" t="s">
        <v>407</v>
      </c>
      <c r="E163" s="148"/>
      <c r="F163" s="82">
        <v>88</v>
      </c>
      <c r="G163" s="82">
        <v>1000</v>
      </c>
      <c r="H163" s="82">
        <f t="shared" si="16"/>
        <v>88000</v>
      </c>
      <c r="I163" s="144" t="s">
        <v>51</v>
      </c>
      <c r="J163" s="145"/>
      <c r="K163" s="91">
        <v>3325</v>
      </c>
      <c r="L163" s="92">
        <v>0.05</v>
      </c>
      <c r="M163" s="31">
        <f t="shared" si="13"/>
        <v>166.25</v>
      </c>
      <c r="N163" s="31">
        <f t="shared" si="14"/>
        <v>3491.25</v>
      </c>
      <c r="O163" s="25"/>
      <c r="P163" s="78">
        <v>45911</v>
      </c>
      <c r="Q163" s="81"/>
      <c r="R163" s="26" t="s">
        <v>1088</v>
      </c>
      <c r="S163" s="21"/>
      <c r="T163" s="32" t="s">
        <v>309</v>
      </c>
      <c r="U163" s="21"/>
    </row>
    <row r="164" spans="1:21" ht="20.100000000000001" hidden="1" customHeight="1" x14ac:dyDescent="0.3">
      <c r="A164" s="44">
        <v>156</v>
      </c>
      <c r="B164" s="78">
        <v>45910</v>
      </c>
      <c r="C164" s="155"/>
      <c r="D164" s="80" t="s">
        <v>277</v>
      </c>
      <c r="E164" s="148"/>
      <c r="F164" s="82">
        <v>88</v>
      </c>
      <c r="G164" s="82">
        <v>1000</v>
      </c>
      <c r="H164" s="82">
        <f t="shared" si="16"/>
        <v>88000</v>
      </c>
      <c r="I164" s="144" t="s">
        <v>51</v>
      </c>
      <c r="J164" s="145"/>
      <c r="K164" s="91">
        <v>2200</v>
      </c>
      <c r="L164" s="92">
        <v>0.05</v>
      </c>
      <c r="M164" s="31">
        <f t="shared" si="13"/>
        <v>110</v>
      </c>
      <c r="N164" s="31">
        <f t="shared" si="14"/>
        <v>2310</v>
      </c>
      <c r="O164" s="25"/>
      <c r="P164" s="78">
        <v>45911</v>
      </c>
      <c r="Q164" s="81"/>
      <c r="R164" s="26" t="s">
        <v>1088</v>
      </c>
      <c r="S164" s="21"/>
      <c r="T164" s="32" t="s">
        <v>309</v>
      </c>
      <c r="U164" s="21"/>
    </row>
    <row r="165" spans="1:21" ht="20.100000000000001" hidden="1" customHeight="1" x14ac:dyDescent="0.3">
      <c r="A165" s="44">
        <v>157</v>
      </c>
      <c r="B165" s="78">
        <v>45910</v>
      </c>
      <c r="C165" s="155"/>
      <c r="D165" s="80" t="s">
        <v>967</v>
      </c>
      <c r="E165" s="148"/>
      <c r="F165" s="82">
        <v>85</v>
      </c>
      <c r="G165" s="82">
        <v>1000</v>
      </c>
      <c r="H165" s="82">
        <f t="shared" si="16"/>
        <v>85000</v>
      </c>
      <c r="I165" s="144" t="s">
        <v>51</v>
      </c>
      <c r="J165" s="145"/>
      <c r="K165" s="91">
        <v>5304</v>
      </c>
      <c r="L165" s="92">
        <v>0.05</v>
      </c>
      <c r="M165" s="31">
        <f t="shared" si="13"/>
        <v>265.2</v>
      </c>
      <c r="N165" s="31">
        <f t="shared" si="14"/>
        <v>5569.2</v>
      </c>
      <c r="O165" s="25"/>
      <c r="P165" s="78">
        <v>45911</v>
      </c>
      <c r="Q165" s="81"/>
      <c r="R165" s="26" t="s">
        <v>1088</v>
      </c>
      <c r="S165" s="21"/>
      <c r="T165" s="32" t="s">
        <v>309</v>
      </c>
      <c r="U165" s="21"/>
    </row>
    <row r="166" spans="1:21" ht="20.100000000000001" hidden="1" customHeight="1" x14ac:dyDescent="0.3">
      <c r="A166" s="44">
        <v>158</v>
      </c>
      <c r="B166" s="78">
        <v>45910</v>
      </c>
      <c r="C166" s="155"/>
      <c r="D166" s="80" t="s">
        <v>1089</v>
      </c>
      <c r="E166" s="148"/>
      <c r="F166" s="82">
        <v>34</v>
      </c>
      <c r="G166" s="82">
        <v>1000</v>
      </c>
      <c r="H166" s="82">
        <f t="shared" si="16"/>
        <v>34000</v>
      </c>
      <c r="I166" s="144" t="s">
        <v>51</v>
      </c>
      <c r="J166" s="145"/>
      <c r="K166" s="91">
        <v>5150</v>
      </c>
      <c r="L166" s="92">
        <v>0.05</v>
      </c>
      <c r="M166" s="31">
        <f t="shared" si="13"/>
        <v>257.5</v>
      </c>
      <c r="N166" s="31">
        <f t="shared" si="14"/>
        <v>5407.5</v>
      </c>
      <c r="O166" s="25"/>
      <c r="P166" s="78">
        <v>45911</v>
      </c>
      <c r="Q166" s="81"/>
      <c r="R166" s="26" t="s">
        <v>1090</v>
      </c>
      <c r="S166" s="21"/>
      <c r="T166" s="32" t="s">
        <v>265</v>
      </c>
      <c r="U166" s="21"/>
    </row>
    <row r="167" spans="1:21" ht="20.100000000000001" hidden="1" customHeight="1" x14ac:dyDescent="0.3">
      <c r="A167" s="44">
        <v>159</v>
      </c>
      <c r="B167" s="78">
        <v>45910</v>
      </c>
      <c r="C167" s="155"/>
      <c r="D167" s="80" t="s">
        <v>946</v>
      </c>
      <c r="E167" s="148"/>
      <c r="F167" s="82">
        <v>41</v>
      </c>
      <c r="G167" s="82">
        <v>1000</v>
      </c>
      <c r="H167" s="82">
        <f t="shared" si="16"/>
        <v>41000</v>
      </c>
      <c r="I167" s="144" t="s">
        <v>51</v>
      </c>
      <c r="J167" s="145"/>
      <c r="K167" s="91">
        <v>3432</v>
      </c>
      <c r="L167" s="92">
        <v>0.05</v>
      </c>
      <c r="M167" s="31">
        <f t="shared" si="13"/>
        <v>171.60000000000002</v>
      </c>
      <c r="N167" s="31">
        <f t="shared" si="14"/>
        <v>3603.6</v>
      </c>
      <c r="O167" s="25"/>
      <c r="P167" s="78">
        <v>45911</v>
      </c>
      <c r="Q167" s="81"/>
      <c r="R167" s="26" t="s">
        <v>1090</v>
      </c>
      <c r="S167" s="21"/>
      <c r="T167" s="32" t="s">
        <v>265</v>
      </c>
      <c r="U167" s="21"/>
    </row>
    <row r="168" spans="1:21" ht="20.100000000000001" hidden="1" customHeight="1" x14ac:dyDescent="0.3">
      <c r="A168" s="44">
        <v>160</v>
      </c>
      <c r="B168" s="78">
        <v>45910</v>
      </c>
      <c r="C168" s="155"/>
      <c r="D168" s="80" t="s">
        <v>402</v>
      </c>
      <c r="E168" s="148"/>
      <c r="F168" s="82">
        <v>100</v>
      </c>
      <c r="G168" s="82">
        <v>1</v>
      </c>
      <c r="H168" s="82">
        <f t="shared" si="16"/>
        <v>100</v>
      </c>
      <c r="I168" s="144" t="s">
        <v>18</v>
      </c>
      <c r="J168" s="145"/>
      <c r="K168" s="91">
        <v>720</v>
      </c>
      <c r="L168" s="92"/>
      <c r="M168" s="31">
        <f t="shared" si="13"/>
        <v>0</v>
      </c>
      <c r="N168" s="31">
        <f t="shared" si="14"/>
        <v>720</v>
      </c>
      <c r="O168" s="25"/>
      <c r="P168" s="78">
        <v>45911</v>
      </c>
      <c r="Q168" s="81"/>
      <c r="R168" s="26" t="s">
        <v>1091</v>
      </c>
      <c r="S168" s="21"/>
      <c r="T168" s="32" t="s">
        <v>955</v>
      </c>
      <c r="U168" s="21"/>
    </row>
    <row r="169" spans="1:21" ht="20.100000000000001" hidden="1" customHeight="1" x14ac:dyDescent="0.3">
      <c r="A169" s="44">
        <v>161</v>
      </c>
      <c r="B169" s="84">
        <v>45908</v>
      </c>
      <c r="C169" s="155"/>
      <c r="D169" s="80" t="s">
        <v>1092</v>
      </c>
      <c r="E169" s="148"/>
      <c r="F169" s="82">
        <v>20</v>
      </c>
      <c r="G169" s="82">
        <v>25</v>
      </c>
      <c r="H169" s="82">
        <f t="shared" si="16"/>
        <v>500</v>
      </c>
      <c r="I169" s="144" t="s">
        <v>18</v>
      </c>
      <c r="J169" s="145"/>
      <c r="K169" s="91">
        <v>21250</v>
      </c>
      <c r="L169" s="92"/>
      <c r="M169" s="31">
        <f t="shared" si="13"/>
        <v>0</v>
      </c>
      <c r="N169" s="31">
        <f t="shared" si="14"/>
        <v>21250</v>
      </c>
      <c r="O169" s="25"/>
      <c r="P169" s="84">
        <v>45914</v>
      </c>
      <c r="Q169" s="81"/>
      <c r="R169" s="26" t="s">
        <v>1093</v>
      </c>
      <c r="S169" s="21"/>
      <c r="T169" s="32" t="s">
        <v>1022</v>
      </c>
      <c r="U169" s="21"/>
    </row>
    <row r="170" spans="1:21" ht="20.100000000000001" customHeight="1" x14ac:dyDescent="0.3">
      <c r="A170" s="44">
        <v>162</v>
      </c>
      <c r="B170" s="84">
        <v>45918</v>
      </c>
      <c r="C170" s="155"/>
      <c r="D170" s="80" t="s">
        <v>1073</v>
      </c>
      <c r="E170" s="148"/>
      <c r="F170" s="82">
        <v>20</v>
      </c>
      <c r="G170" s="82">
        <v>5</v>
      </c>
      <c r="H170" s="82">
        <f t="shared" ref="H170:H172" si="17">F170*G170</f>
        <v>100</v>
      </c>
      <c r="I170" s="144" t="s">
        <v>18</v>
      </c>
      <c r="J170" s="145"/>
      <c r="K170" s="91">
        <v>4750</v>
      </c>
      <c r="L170" s="92"/>
      <c r="M170" s="31">
        <f t="shared" si="13"/>
        <v>0</v>
      </c>
      <c r="N170" s="31">
        <f t="shared" si="14"/>
        <v>4750</v>
      </c>
      <c r="O170" s="25"/>
      <c r="P170" s="84">
        <v>45919</v>
      </c>
      <c r="Q170" s="81"/>
      <c r="R170" s="26" t="s">
        <v>1094</v>
      </c>
      <c r="S170" s="21"/>
      <c r="T170" s="32" t="s">
        <v>1075</v>
      </c>
      <c r="U170" s="21"/>
    </row>
    <row r="171" spans="1:21" ht="20.100000000000001" customHeight="1" x14ac:dyDescent="0.3">
      <c r="A171" s="44">
        <v>163</v>
      </c>
      <c r="B171" s="84">
        <v>45918</v>
      </c>
      <c r="C171" s="155"/>
      <c r="D171" s="80" t="s">
        <v>1076</v>
      </c>
      <c r="E171" s="148"/>
      <c r="F171" s="82">
        <v>4</v>
      </c>
      <c r="G171" s="82">
        <v>25</v>
      </c>
      <c r="H171" s="82">
        <f t="shared" si="17"/>
        <v>100</v>
      </c>
      <c r="I171" s="144" t="s">
        <v>18</v>
      </c>
      <c r="J171" s="145"/>
      <c r="K171" s="91">
        <v>10500</v>
      </c>
      <c r="L171" s="92"/>
      <c r="M171" s="31">
        <f t="shared" si="13"/>
        <v>0</v>
      </c>
      <c r="N171" s="31">
        <f t="shared" si="14"/>
        <v>10500</v>
      </c>
      <c r="O171" s="25"/>
      <c r="P171" s="84">
        <v>45919</v>
      </c>
      <c r="Q171" s="81"/>
      <c r="R171" s="26" t="s">
        <v>1095</v>
      </c>
      <c r="S171" s="21"/>
      <c r="T171" s="32" t="s">
        <v>1078</v>
      </c>
      <c r="U171" s="21"/>
    </row>
    <row r="172" spans="1:21" ht="20.100000000000001" hidden="1" customHeight="1" x14ac:dyDescent="0.3">
      <c r="A172" s="44">
        <v>164</v>
      </c>
      <c r="B172" s="84">
        <v>45918</v>
      </c>
      <c r="C172" s="155"/>
      <c r="D172" s="80" t="s">
        <v>1070</v>
      </c>
      <c r="E172" s="148"/>
      <c r="F172" s="82">
        <v>2</v>
      </c>
      <c r="G172" s="82">
        <v>25</v>
      </c>
      <c r="H172" s="82">
        <f t="shared" si="17"/>
        <v>50</v>
      </c>
      <c r="I172" s="144" t="s">
        <v>18</v>
      </c>
      <c r="J172" s="145"/>
      <c r="K172" s="91">
        <v>7500</v>
      </c>
      <c r="L172" s="92"/>
      <c r="M172" s="31">
        <f t="shared" si="13"/>
        <v>0</v>
      </c>
      <c r="N172" s="31">
        <f t="shared" si="14"/>
        <v>7500</v>
      </c>
      <c r="O172" s="25"/>
      <c r="P172" s="84">
        <v>45919</v>
      </c>
      <c r="Q172" s="81"/>
      <c r="R172" s="26" t="s">
        <v>1096</v>
      </c>
      <c r="S172" s="21"/>
      <c r="T172" s="32" t="s">
        <v>1047</v>
      </c>
      <c r="U172" s="21"/>
    </row>
    <row r="173" spans="1:21" ht="20.100000000000001" hidden="1" customHeight="1" x14ac:dyDescent="0.3">
      <c r="A173" s="44">
        <v>165</v>
      </c>
      <c r="B173" s="84">
        <v>45918</v>
      </c>
      <c r="C173" s="155"/>
      <c r="D173" s="80" t="s">
        <v>1061</v>
      </c>
      <c r="E173" s="148"/>
      <c r="F173" s="82">
        <v>6</v>
      </c>
      <c r="G173" s="82">
        <v>25</v>
      </c>
      <c r="H173" s="82">
        <f t="shared" si="16"/>
        <v>150</v>
      </c>
      <c r="I173" s="144" t="s">
        <v>18</v>
      </c>
      <c r="J173" s="145"/>
      <c r="K173" s="91">
        <v>9750</v>
      </c>
      <c r="L173" s="92"/>
      <c r="M173" s="31">
        <f t="shared" si="13"/>
        <v>0</v>
      </c>
      <c r="N173" s="31">
        <f t="shared" si="14"/>
        <v>9750</v>
      </c>
      <c r="O173" s="25"/>
      <c r="P173" s="84">
        <v>45919</v>
      </c>
      <c r="Q173" s="81"/>
      <c r="R173" s="26" t="s">
        <v>1098</v>
      </c>
      <c r="S173" s="21"/>
      <c r="T173" s="32" t="s">
        <v>349</v>
      </c>
      <c r="U173" s="21"/>
    </row>
    <row r="174" spans="1:21" ht="20.100000000000001" hidden="1" customHeight="1" x14ac:dyDescent="0.3">
      <c r="A174" s="44">
        <v>166</v>
      </c>
      <c r="B174" s="84">
        <v>45918</v>
      </c>
      <c r="C174" s="155"/>
      <c r="D174" s="80" t="s">
        <v>1062</v>
      </c>
      <c r="E174" s="148"/>
      <c r="F174" s="82">
        <v>4</v>
      </c>
      <c r="G174" s="82">
        <v>25</v>
      </c>
      <c r="H174" s="82">
        <f t="shared" si="16"/>
        <v>100</v>
      </c>
      <c r="I174" s="144" t="s">
        <v>18</v>
      </c>
      <c r="J174" s="145"/>
      <c r="K174" s="91">
        <v>2625</v>
      </c>
      <c r="L174" s="92"/>
      <c r="M174" s="31">
        <f t="shared" si="13"/>
        <v>0</v>
      </c>
      <c r="N174" s="31">
        <f t="shared" si="14"/>
        <v>2625</v>
      </c>
      <c r="O174" s="25"/>
      <c r="P174" s="84">
        <v>45919</v>
      </c>
      <c r="Q174" s="81"/>
      <c r="R174" s="26" t="s">
        <v>1098</v>
      </c>
      <c r="S174" s="21"/>
      <c r="T174" s="32" t="s">
        <v>349</v>
      </c>
      <c r="U174" s="21"/>
    </row>
    <row r="175" spans="1:21" ht="20.100000000000001" hidden="1" customHeight="1" x14ac:dyDescent="0.3">
      <c r="A175" s="44">
        <v>167</v>
      </c>
      <c r="B175" s="84">
        <v>45918</v>
      </c>
      <c r="C175" s="155"/>
      <c r="D175" s="80" t="s">
        <v>1063</v>
      </c>
      <c r="E175" s="148"/>
      <c r="F175" s="82">
        <v>12</v>
      </c>
      <c r="G175" s="82">
        <v>25</v>
      </c>
      <c r="H175" s="82">
        <f t="shared" si="16"/>
        <v>300</v>
      </c>
      <c r="I175" s="144" t="s">
        <v>18</v>
      </c>
      <c r="J175" s="145"/>
      <c r="K175" s="91">
        <v>6500</v>
      </c>
      <c r="L175" s="92"/>
      <c r="M175" s="31">
        <f t="shared" si="13"/>
        <v>0</v>
      </c>
      <c r="N175" s="31">
        <f t="shared" si="14"/>
        <v>6500</v>
      </c>
      <c r="O175" s="25"/>
      <c r="P175" s="84">
        <v>45919</v>
      </c>
      <c r="Q175" s="81"/>
      <c r="R175" s="26" t="s">
        <v>1098</v>
      </c>
      <c r="S175" s="21"/>
      <c r="T175" s="32" t="s">
        <v>349</v>
      </c>
      <c r="U175" s="21"/>
    </row>
    <row r="176" spans="1:21" ht="20.100000000000001" hidden="1" customHeight="1" x14ac:dyDescent="0.3">
      <c r="A176" s="44">
        <v>168</v>
      </c>
      <c r="B176" s="84">
        <v>45918</v>
      </c>
      <c r="C176" s="155"/>
      <c r="D176" s="80" t="s">
        <v>1097</v>
      </c>
      <c r="E176" s="148"/>
      <c r="F176" s="82">
        <v>2</v>
      </c>
      <c r="G176" s="82">
        <v>25</v>
      </c>
      <c r="H176" s="82">
        <f t="shared" si="16"/>
        <v>50</v>
      </c>
      <c r="I176" s="144" t="s">
        <v>18</v>
      </c>
      <c r="J176" s="145"/>
      <c r="K176" s="109">
        <v>11250</v>
      </c>
      <c r="L176" s="92"/>
      <c r="M176" s="31">
        <f t="shared" si="13"/>
        <v>0</v>
      </c>
      <c r="N176" s="31">
        <f t="shared" si="14"/>
        <v>11250</v>
      </c>
      <c r="O176" s="25"/>
      <c r="P176" s="84">
        <v>45919</v>
      </c>
      <c r="Q176" s="81"/>
      <c r="R176" s="26" t="s">
        <v>1098</v>
      </c>
      <c r="S176" s="21"/>
      <c r="T176" s="32" t="s">
        <v>349</v>
      </c>
      <c r="U176" s="21"/>
    </row>
    <row r="177" spans="1:21" ht="20.100000000000001" hidden="1" customHeight="1" x14ac:dyDescent="0.3">
      <c r="A177" s="44">
        <v>169</v>
      </c>
      <c r="B177" s="84">
        <v>45918</v>
      </c>
      <c r="C177" s="155"/>
      <c r="D177" s="80" t="s">
        <v>1064</v>
      </c>
      <c r="E177" s="148"/>
      <c r="F177" s="82">
        <v>2</v>
      </c>
      <c r="G177" s="82">
        <v>25</v>
      </c>
      <c r="H177" s="82">
        <f t="shared" si="16"/>
        <v>50</v>
      </c>
      <c r="I177" s="144" t="s">
        <v>18</v>
      </c>
      <c r="J177" s="145"/>
      <c r="K177" s="91">
        <v>11250</v>
      </c>
      <c r="L177" s="92"/>
      <c r="M177" s="31">
        <f t="shared" si="13"/>
        <v>0</v>
      </c>
      <c r="N177" s="31">
        <f t="shared" si="14"/>
        <v>11250</v>
      </c>
      <c r="O177" s="25"/>
      <c r="P177" s="84">
        <v>45919</v>
      </c>
      <c r="Q177" s="81"/>
      <c r="R177" s="26" t="s">
        <v>1098</v>
      </c>
      <c r="S177" s="21"/>
      <c r="T177" s="32" t="s">
        <v>349</v>
      </c>
      <c r="U177" s="21"/>
    </row>
    <row r="178" spans="1:21" ht="20.100000000000001" hidden="1" customHeight="1" x14ac:dyDescent="0.3">
      <c r="A178" s="44">
        <v>170</v>
      </c>
      <c r="B178" s="84">
        <v>45918</v>
      </c>
      <c r="C178" s="155"/>
      <c r="D178" s="80" t="s">
        <v>1065</v>
      </c>
      <c r="E178" s="148"/>
      <c r="F178" s="82">
        <v>16</v>
      </c>
      <c r="G178" s="82">
        <v>25</v>
      </c>
      <c r="H178" s="82">
        <f t="shared" si="16"/>
        <v>400</v>
      </c>
      <c r="I178" s="144" t="s">
        <v>18</v>
      </c>
      <c r="J178" s="145"/>
      <c r="K178" s="91">
        <v>3375</v>
      </c>
      <c r="L178" s="92"/>
      <c r="M178" s="31">
        <f t="shared" si="13"/>
        <v>0</v>
      </c>
      <c r="N178" s="31">
        <f t="shared" si="14"/>
        <v>3375</v>
      </c>
      <c r="O178" s="25"/>
      <c r="P178" s="84">
        <v>45919</v>
      </c>
      <c r="Q178" s="81"/>
      <c r="R178" s="26" t="s">
        <v>1098</v>
      </c>
      <c r="S178" s="21"/>
      <c r="T178" s="32" t="s">
        <v>349</v>
      </c>
      <c r="U178" s="21"/>
    </row>
    <row r="179" spans="1:21" ht="20.100000000000001" customHeight="1" x14ac:dyDescent="0.3">
      <c r="A179" s="44">
        <v>171</v>
      </c>
      <c r="B179" s="84">
        <v>45918</v>
      </c>
      <c r="C179" s="145"/>
      <c r="D179" s="80" t="s">
        <v>1067</v>
      </c>
      <c r="E179" s="148"/>
      <c r="F179" s="82">
        <v>4</v>
      </c>
      <c r="G179" s="82">
        <v>25</v>
      </c>
      <c r="H179" s="82">
        <f t="shared" ref="H179:H182" si="18">F179*G179</f>
        <v>100</v>
      </c>
      <c r="I179" s="144" t="s">
        <v>18</v>
      </c>
      <c r="J179" s="145"/>
      <c r="K179" s="91">
        <v>9000</v>
      </c>
      <c r="L179" s="92"/>
      <c r="M179" s="31">
        <f t="shared" si="13"/>
        <v>0</v>
      </c>
      <c r="N179" s="31">
        <f t="shared" si="14"/>
        <v>9000</v>
      </c>
      <c r="O179" s="25"/>
      <c r="P179" s="84">
        <v>45919</v>
      </c>
      <c r="Q179" s="81"/>
      <c r="R179" s="26" t="s">
        <v>1100</v>
      </c>
      <c r="S179" s="21"/>
      <c r="T179" s="32" t="s">
        <v>1069</v>
      </c>
      <c r="U179" s="21"/>
    </row>
    <row r="180" spans="1:21" ht="20.100000000000001" customHeight="1" x14ac:dyDescent="0.3">
      <c r="A180" s="44">
        <v>172</v>
      </c>
      <c r="B180" s="84">
        <v>45918</v>
      </c>
      <c r="C180" s="145"/>
      <c r="D180" s="80" t="s">
        <v>1099</v>
      </c>
      <c r="E180" s="148"/>
      <c r="F180" s="82">
        <v>4</v>
      </c>
      <c r="G180" s="82">
        <v>25</v>
      </c>
      <c r="H180" s="82">
        <f t="shared" si="18"/>
        <v>100</v>
      </c>
      <c r="I180" s="144" t="s">
        <v>18</v>
      </c>
      <c r="J180" s="145"/>
      <c r="K180" s="91">
        <v>5825</v>
      </c>
      <c r="L180" s="92"/>
      <c r="M180" s="31">
        <f t="shared" si="13"/>
        <v>0</v>
      </c>
      <c r="N180" s="31">
        <f t="shared" si="14"/>
        <v>5825</v>
      </c>
      <c r="O180" s="25"/>
      <c r="P180" s="84">
        <v>45919</v>
      </c>
      <c r="Q180" s="81"/>
      <c r="R180" s="26" t="s">
        <v>1100</v>
      </c>
      <c r="S180" s="21"/>
      <c r="T180" s="32" t="s">
        <v>1069</v>
      </c>
      <c r="U180" s="21"/>
    </row>
    <row r="181" spans="1:21" ht="20.100000000000001" hidden="1" customHeight="1" x14ac:dyDescent="0.3">
      <c r="A181" s="44">
        <v>173</v>
      </c>
      <c r="B181" s="84">
        <v>45918</v>
      </c>
      <c r="C181" s="145"/>
      <c r="D181" s="80" t="s">
        <v>1079</v>
      </c>
      <c r="E181" s="148"/>
      <c r="F181" s="82">
        <v>2</v>
      </c>
      <c r="G181" s="82">
        <v>25</v>
      </c>
      <c r="H181" s="82">
        <f t="shared" si="18"/>
        <v>50</v>
      </c>
      <c r="I181" s="144" t="s">
        <v>18</v>
      </c>
      <c r="J181" s="145"/>
      <c r="K181" s="91">
        <v>21250</v>
      </c>
      <c r="L181" s="92"/>
      <c r="M181" s="31">
        <f t="shared" si="13"/>
        <v>0</v>
      </c>
      <c r="N181" s="31">
        <f t="shared" si="14"/>
        <v>21250</v>
      </c>
      <c r="O181" s="25"/>
      <c r="P181" s="84">
        <v>45919</v>
      </c>
      <c r="Q181" s="81"/>
      <c r="R181" s="26" t="s">
        <v>1101</v>
      </c>
      <c r="S181" s="21"/>
      <c r="T181" s="32" t="s">
        <v>1081</v>
      </c>
      <c r="U181" s="21"/>
    </row>
    <row r="182" spans="1:21" ht="20.100000000000001" hidden="1" customHeight="1" x14ac:dyDescent="0.3">
      <c r="A182" s="44">
        <v>174</v>
      </c>
      <c r="B182" s="84">
        <v>45918</v>
      </c>
      <c r="C182" s="145"/>
      <c r="D182" s="80" t="s">
        <v>999</v>
      </c>
      <c r="E182" s="148"/>
      <c r="F182" s="82">
        <v>20</v>
      </c>
      <c r="G182" s="82">
        <v>25</v>
      </c>
      <c r="H182" s="82">
        <f t="shared" si="18"/>
        <v>500</v>
      </c>
      <c r="I182" s="144" t="s">
        <v>18</v>
      </c>
      <c r="J182" s="145"/>
      <c r="K182" s="91">
        <v>2750</v>
      </c>
      <c r="L182" s="92"/>
      <c r="M182" s="31">
        <f t="shared" si="13"/>
        <v>0</v>
      </c>
      <c r="N182" s="31">
        <f t="shared" si="14"/>
        <v>2750</v>
      </c>
      <c r="O182" s="25"/>
      <c r="P182" s="84">
        <v>45919</v>
      </c>
      <c r="Q182" s="81"/>
      <c r="R182" s="26" t="s">
        <v>1102</v>
      </c>
      <c r="S182" s="21"/>
      <c r="T182" s="32" t="s">
        <v>98</v>
      </c>
      <c r="U182" s="21"/>
    </row>
    <row r="183" spans="1:21" ht="20.100000000000001" hidden="1" customHeight="1" x14ac:dyDescent="0.3">
      <c r="A183" s="44">
        <v>175</v>
      </c>
      <c r="B183" s="84">
        <v>45918</v>
      </c>
      <c r="C183" s="145"/>
      <c r="D183" s="80" t="s">
        <v>1103</v>
      </c>
      <c r="E183" s="148"/>
      <c r="F183" s="82">
        <v>24</v>
      </c>
      <c r="G183" s="82">
        <v>500</v>
      </c>
      <c r="H183" s="82">
        <f t="shared" si="16"/>
        <v>12000</v>
      </c>
      <c r="I183" s="144" t="s">
        <v>66</v>
      </c>
      <c r="J183" s="145"/>
      <c r="K183" s="91">
        <v>8625</v>
      </c>
      <c r="L183" s="161">
        <v>0.05</v>
      </c>
      <c r="M183" s="31">
        <f t="shared" si="13"/>
        <v>431.25</v>
      </c>
      <c r="N183" s="31">
        <f t="shared" si="14"/>
        <v>9056.25</v>
      </c>
      <c r="O183" s="25"/>
      <c r="P183" s="84">
        <v>45919</v>
      </c>
      <c r="Q183" s="81"/>
      <c r="R183" s="26" t="s">
        <v>1104</v>
      </c>
      <c r="S183" s="21"/>
      <c r="T183" s="32" t="s">
        <v>1006</v>
      </c>
      <c r="U183" s="21"/>
    </row>
    <row r="184" spans="1:21" ht="20.100000000000001" hidden="1" customHeight="1" x14ac:dyDescent="0.3">
      <c r="A184" s="44">
        <v>176</v>
      </c>
      <c r="B184" s="84">
        <v>45918</v>
      </c>
      <c r="C184" s="145"/>
      <c r="D184" s="80" t="s">
        <v>337</v>
      </c>
      <c r="E184" s="148"/>
      <c r="F184" s="82">
        <v>20</v>
      </c>
      <c r="G184" s="82">
        <v>25</v>
      </c>
      <c r="H184" s="82">
        <f t="shared" si="16"/>
        <v>500</v>
      </c>
      <c r="I184" s="144" t="s">
        <v>18</v>
      </c>
      <c r="J184" s="145"/>
      <c r="K184" s="91">
        <v>1500</v>
      </c>
      <c r="L184" s="92"/>
      <c r="M184" s="31">
        <f t="shared" si="13"/>
        <v>0</v>
      </c>
      <c r="N184" s="31">
        <f t="shared" si="14"/>
        <v>1500</v>
      </c>
      <c r="O184" s="25"/>
      <c r="P184" s="78">
        <v>45922</v>
      </c>
      <c r="Q184" s="81"/>
      <c r="R184" s="26" t="s">
        <v>1105</v>
      </c>
      <c r="S184" s="21"/>
      <c r="T184" s="32" t="s">
        <v>1106</v>
      </c>
      <c r="U184" s="21"/>
    </row>
    <row r="185" spans="1:21" ht="20.100000000000001" hidden="1" customHeight="1" x14ac:dyDescent="0.3">
      <c r="A185" s="44">
        <v>177</v>
      </c>
      <c r="B185" s="78">
        <v>45953</v>
      </c>
      <c r="C185" s="145"/>
      <c r="D185" s="80" t="s">
        <v>1107</v>
      </c>
      <c r="E185" s="148"/>
      <c r="F185" s="82">
        <v>100</v>
      </c>
      <c r="G185" s="82">
        <v>50</v>
      </c>
      <c r="H185" s="82">
        <f t="shared" si="16"/>
        <v>5000</v>
      </c>
      <c r="I185" s="144" t="s">
        <v>18</v>
      </c>
      <c r="J185" s="145"/>
      <c r="K185" s="91">
        <v>3813.55</v>
      </c>
      <c r="L185" s="92">
        <v>0.18</v>
      </c>
      <c r="M185" s="31">
        <f t="shared" si="13"/>
        <v>686.43899999999996</v>
      </c>
      <c r="N185" s="31">
        <f t="shared" si="14"/>
        <v>4499.9890000000005</v>
      </c>
      <c r="O185" s="25"/>
      <c r="P185" s="78">
        <v>45954</v>
      </c>
      <c r="Q185" s="81"/>
      <c r="R185" s="26" t="s">
        <v>1108</v>
      </c>
      <c r="S185" s="21"/>
      <c r="T185" s="32" t="s">
        <v>1109</v>
      </c>
      <c r="U185" s="21"/>
    </row>
    <row r="186" spans="1:21" ht="20.100000000000001" customHeight="1" x14ac:dyDescent="0.3">
      <c r="A186" s="44">
        <v>178</v>
      </c>
      <c r="B186" s="78">
        <v>45953</v>
      </c>
      <c r="C186" s="145"/>
      <c r="D186" s="80" t="s">
        <v>1073</v>
      </c>
      <c r="E186" s="148"/>
      <c r="F186" s="82">
        <v>30</v>
      </c>
      <c r="G186" s="82">
        <v>5</v>
      </c>
      <c r="H186" s="82">
        <f t="shared" si="16"/>
        <v>150</v>
      </c>
      <c r="I186" s="144" t="s">
        <v>18</v>
      </c>
      <c r="J186" s="145"/>
      <c r="K186" s="91">
        <v>4750</v>
      </c>
      <c r="L186" s="92"/>
      <c r="M186" s="31">
        <f t="shared" si="13"/>
        <v>0</v>
      </c>
      <c r="N186" s="31">
        <f t="shared" si="14"/>
        <v>4750</v>
      </c>
      <c r="O186" s="25"/>
      <c r="P186" s="78">
        <v>45955</v>
      </c>
      <c r="Q186" s="81"/>
      <c r="R186" s="26" t="s">
        <v>1110</v>
      </c>
      <c r="S186" s="21"/>
      <c r="T186" s="32" t="s">
        <v>1075</v>
      </c>
      <c r="U186" s="21"/>
    </row>
    <row r="187" spans="1:21" ht="20.100000000000001" customHeight="1" x14ac:dyDescent="0.3">
      <c r="A187" s="44">
        <v>179</v>
      </c>
      <c r="B187" s="78">
        <v>45953</v>
      </c>
      <c r="C187" s="145"/>
      <c r="D187" s="80" t="s">
        <v>1076</v>
      </c>
      <c r="E187" s="148"/>
      <c r="F187" s="82">
        <v>6</v>
      </c>
      <c r="G187" s="82">
        <v>25</v>
      </c>
      <c r="H187" s="82">
        <f t="shared" si="16"/>
        <v>150</v>
      </c>
      <c r="I187" s="144" t="s">
        <v>18</v>
      </c>
      <c r="J187" s="145"/>
      <c r="K187" s="91">
        <v>10500</v>
      </c>
      <c r="L187" s="92"/>
      <c r="M187" s="31">
        <f t="shared" si="13"/>
        <v>0</v>
      </c>
      <c r="N187" s="31">
        <f t="shared" si="14"/>
        <v>10500</v>
      </c>
      <c r="O187" s="25"/>
      <c r="P187" s="78">
        <v>45955</v>
      </c>
      <c r="Q187" s="81"/>
      <c r="R187" s="26" t="s">
        <v>1111</v>
      </c>
      <c r="S187" s="21"/>
      <c r="T187" s="32" t="s">
        <v>1078</v>
      </c>
      <c r="U187" s="21"/>
    </row>
    <row r="188" spans="1:21" ht="20.100000000000001" hidden="1" customHeight="1" x14ac:dyDescent="0.3">
      <c r="A188" s="44">
        <v>180</v>
      </c>
      <c r="B188" s="78">
        <v>45953</v>
      </c>
      <c r="C188" s="145"/>
      <c r="D188" s="80" t="s">
        <v>1092</v>
      </c>
      <c r="E188" s="148"/>
      <c r="F188" s="82">
        <v>30</v>
      </c>
      <c r="G188" s="82">
        <v>25</v>
      </c>
      <c r="H188" s="82">
        <f t="shared" ref="H188:H198" si="19">F188*G188</f>
        <v>750</v>
      </c>
      <c r="I188" s="144" t="s">
        <v>18</v>
      </c>
      <c r="J188" s="145"/>
      <c r="K188" s="91">
        <v>21125</v>
      </c>
      <c r="L188" s="92"/>
      <c r="M188" s="31">
        <f t="shared" si="13"/>
        <v>0</v>
      </c>
      <c r="N188" s="31">
        <f t="shared" si="14"/>
        <v>21125</v>
      </c>
      <c r="O188" s="25"/>
      <c r="P188" s="78">
        <v>45955</v>
      </c>
      <c r="Q188" s="81"/>
      <c r="R188" s="26" t="s">
        <v>1112</v>
      </c>
      <c r="S188" s="21"/>
      <c r="T188" s="32" t="s">
        <v>1022</v>
      </c>
      <c r="U188" s="21"/>
    </row>
    <row r="189" spans="1:21" ht="20.100000000000001" hidden="1" customHeight="1" x14ac:dyDescent="0.3">
      <c r="A189" s="44">
        <v>181</v>
      </c>
      <c r="B189" s="78">
        <v>45953</v>
      </c>
      <c r="C189" s="145"/>
      <c r="D189" s="80" t="s">
        <v>1070</v>
      </c>
      <c r="E189" s="148"/>
      <c r="F189" s="82">
        <v>8</v>
      </c>
      <c r="G189" s="82">
        <v>25</v>
      </c>
      <c r="H189" s="82">
        <f t="shared" si="19"/>
        <v>200</v>
      </c>
      <c r="I189" s="144" t="s">
        <v>18</v>
      </c>
      <c r="J189" s="145"/>
      <c r="K189" s="91">
        <v>7500</v>
      </c>
      <c r="L189" s="92"/>
      <c r="M189" s="31">
        <f t="shared" si="13"/>
        <v>0</v>
      </c>
      <c r="N189" s="31">
        <f t="shared" si="14"/>
        <v>7500</v>
      </c>
      <c r="O189" s="25"/>
      <c r="P189" s="78">
        <v>45955</v>
      </c>
      <c r="Q189" s="81"/>
      <c r="R189" s="26" t="s">
        <v>1113</v>
      </c>
      <c r="S189" s="21"/>
      <c r="T189" s="32" t="s">
        <v>1047</v>
      </c>
      <c r="U189" s="21"/>
    </row>
    <row r="190" spans="1:21" ht="20.100000000000001" hidden="1" customHeight="1" x14ac:dyDescent="0.3">
      <c r="A190" s="44">
        <v>182</v>
      </c>
      <c r="B190" s="78">
        <v>45953</v>
      </c>
      <c r="C190" s="145"/>
      <c r="D190" s="24" t="s">
        <v>1061</v>
      </c>
      <c r="E190" s="147"/>
      <c r="F190" s="26">
        <v>16</v>
      </c>
      <c r="G190" s="26">
        <v>25</v>
      </c>
      <c r="H190" s="26">
        <f t="shared" si="19"/>
        <v>400</v>
      </c>
      <c r="I190" s="115" t="s">
        <v>18</v>
      </c>
      <c r="J190" s="151"/>
      <c r="K190" s="29">
        <v>9750</v>
      </c>
      <c r="L190" s="92"/>
      <c r="M190" s="31">
        <f t="shared" si="13"/>
        <v>0</v>
      </c>
      <c r="N190" s="31">
        <f t="shared" si="14"/>
        <v>9750</v>
      </c>
      <c r="O190" s="25"/>
      <c r="P190" s="78">
        <v>45955</v>
      </c>
      <c r="Q190" s="81"/>
      <c r="R190" s="26" t="s">
        <v>1114</v>
      </c>
      <c r="S190" s="21"/>
      <c r="T190" s="32" t="s">
        <v>349</v>
      </c>
      <c r="U190" s="21"/>
    </row>
    <row r="191" spans="1:21" ht="20.100000000000001" hidden="1" customHeight="1" x14ac:dyDescent="0.3">
      <c r="A191" s="44">
        <v>183</v>
      </c>
      <c r="B191" s="78">
        <v>45953</v>
      </c>
      <c r="C191" s="145"/>
      <c r="D191" s="24" t="s">
        <v>1062</v>
      </c>
      <c r="E191" s="147"/>
      <c r="F191" s="26">
        <v>5</v>
      </c>
      <c r="G191" s="26">
        <v>25</v>
      </c>
      <c r="H191" s="26">
        <f t="shared" si="19"/>
        <v>125</v>
      </c>
      <c r="I191" s="115" t="s">
        <v>18</v>
      </c>
      <c r="J191" s="151"/>
      <c r="K191" s="29">
        <v>2625</v>
      </c>
      <c r="L191" s="92"/>
      <c r="M191" s="31">
        <f t="shared" si="13"/>
        <v>0</v>
      </c>
      <c r="N191" s="31">
        <f t="shared" si="14"/>
        <v>2625</v>
      </c>
      <c r="O191" s="25"/>
      <c r="P191" s="78">
        <v>45955</v>
      </c>
      <c r="Q191" s="81"/>
      <c r="R191" s="26" t="s">
        <v>1114</v>
      </c>
      <c r="S191" s="21"/>
      <c r="T191" s="32" t="s">
        <v>349</v>
      </c>
      <c r="U191" s="21"/>
    </row>
    <row r="192" spans="1:21" ht="20.100000000000001" hidden="1" customHeight="1" x14ac:dyDescent="0.3">
      <c r="A192" s="44">
        <v>184</v>
      </c>
      <c r="B192" s="78">
        <v>45953</v>
      </c>
      <c r="C192" s="145"/>
      <c r="D192" s="24" t="s">
        <v>1063</v>
      </c>
      <c r="E192" s="147"/>
      <c r="F192" s="26">
        <v>24</v>
      </c>
      <c r="G192" s="26">
        <v>25</v>
      </c>
      <c r="H192" s="26">
        <f t="shared" si="19"/>
        <v>600</v>
      </c>
      <c r="I192" s="115" t="s">
        <v>18</v>
      </c>
      <c r="J192" s="151"/>
      <c r="K192" s="29">
        <v>6500</v>
      </c>
      <c r="L192" s="92"/>
      <c r="M192" s="31">
        <f t="shared" si="13"/>
        <v>0</v>
      </c>
      <c r="N192" s="31">
        <f t="shared" si="14"/>
        <v>6500</v>
      </c>
      <c r="O192" s="25"/>
      <c r="P192" s="78">
        <v>45955</v>
      </c>
      <c r="Q192" s="81"/>
      <c r="R192" s="26" t="s">
        <v>1114</v>
      </c>
      <c r="S192" s="21"/>
      <c r="T192" s="32" t="s">
        <v>349</v>
      </c>
      <c r="U192" s="21"/>
    </row>
    <row r="193" spans="1:21" ht="20.100000000000001" hidden="1" customHeight="1" x14ac:dyDescent="0.3">
      <c r="A193" s="44">
        <v>185</v>
      </c>
      <c r="B193" s="78">
        <v>45953</v>
      </c>
      <c r="C193" s="145"/>
      <c r="D193" s="24" t="s">
        <v>1097</v>
      </c>
      <c r="E193" s="147"/>
      <c r="F193" s="26">
        <v>8</v>
      </c>
      <c r="G193" s="26">
        <v>25</v>
      </c>
      <c r="H193" s="26">
        <f t="shared" si="19"/>
        <v>200</v>
      </c>
      <c r="I193" s="115" t="s">
        <v>18</v>
      </c>
      <c r="J193" s="151"/>
      <c r="K193" s="29">
        <v>11250</v>
      </c>
      <c r="L193" s="92"/>
      <c r="M193" s="31">
        <f t="shared" si="13"/>
        <v>0</v>
      </c>
      <c r="N193" s="31">
        <f t="shared" si="14"/>
        <v>11250</v>
      </c>
      <c r="O193" s="25"/>
      <c r="P193" s="78">
        <v>45955</v>
      </c>
      <c r="Q193" s="81"/>
      <c r="R193" s="26" t="s">
        <v>1114</v>
      </c>
      <c r="S193" s="21"/>
      <c r="T193" s="32" t="s">
        <v>349</v>
      </c>
      <c r="U193" s="21"/>
    </row>
    <row r="194" spans="1:21" ht="20.100000000000001" hidden="1" customHeight="1" x14ac:dyDescent="0.3">
      <c r="A194" s="44">
        <v>186</v>
      </c>
      <c r="B194" s="78">
        <v>45953</v>
      </c>
      <c r="C194" s="145"/>
      <c r="D194" s="24" t="s">
        <v>1064</v>
      </c>
      <c r="E194" s="147"/>
      <c r="F194" s="26">
        <v>4</v>
      </c>
      <c r="G194" s="26">
        <v>25</v>
      </c>
      <c r="H194" s="26">
        <f t="shared" si="19"/>
        <v>100</v>
      </c>
      <c r="I194" s="115" t="s">
        <v>18</v>
      </c>
      <c r="J194" s="151"/>
      <c r="K194" s="29">
        <v>11250</v>
      </c>
      <c r="L194" s="92"/>
      <c r="M194" s="31">
        <f t="shared" si="13"/>
        <v>0</v>
      </c>
      <c r="N194" s="31">
        <f t="shared" si="14"/>
        <v>11250</v>
      </c>
      <c r="O194" s="25"/>
      <c r="P194" s="78">
        <v>45955</v>
      </c>
      <c r="Q194" s="81"/>
      <c r="R194" s="26" t="s">
        <v>1114</v>
      </c>
      <c r="S194" s="21"/>
      <c r="T194" s="32" t="s">
        <v>349</v>
      </c>
      <c r="U194" s="21"/>
    </row>
    <row r="195" spans="1:21" ht="20.100000000000001" hidden="1" customHeight="1" x14ac:dyDescent="0.3">
      <c r="A195" s="44">
        <v>187</v>
      </c>
      <c r="B195" s="78">
        <v>45953</v>
      </c>
      <c r="C195" s="145"/>
      <c r="D195" s="24" t="s">
        <v>1065</v>
      </c>
      <c r="E195" s="147"/>
      <c r="F195" s="26">
        <v>40</v>
      </c>
      <c r="G195" s="26">
        <v>25</v>
      </c>
      <c r="H195" s="26">
        <f t="shared" si="19"/>
        <v>1000</v>
      </c>
      <c r="I195" s="115" t="s">
        <v>18</v>
      </c>
      <c r="J195" s="151"/>
      <c r="K195" s="29">
        <v>3375</v>
      </c>
      <c r="L195" s="92"/>
      <c r="M195" s="31">
        <f t="shared" si="13"/>
        <v>0</v>
      </c>
      <c r="N195" s="31">
        <f t="shared" si="14"/>
        <v>3375</v>
      </c>
      <c r="O195" s="25"/>
      <c r="P195" s="78">
        <v>45955</v>
      </c>
      <c r="Q195" s="81"/>
      <c r="R195" s="26" t="s">
        <v>1114</v>
      </c>
      <c r="S195" s="21"/>
      <c r="T195" s="32" t="s">
        <v>349</v>
      </c>
      <c r="U195" s="21"/>
    </row>
    <row r="196" spans="1:21" ht="20.100000000000001" customHeight="1" x14ac:dyDescent="0.3">
      <c r="A196" s="44">
        <v>188</v>
      </c>
      <c r="B196" s="78">
        <v>45953</v>
      </c>
      <c r="C196" s="145"/>
      <c r="D196" s="24" t="s">
        <v>1067</v>
      </c>
      <c r="E196" s="147"/>
      <c r="F196" s="26">
        <v>8</v>
      </c>
      <c r="G196" s="26">
        <v>25</v>
      </c>
      <c r="H196" s="26">
        <f t="shared" si="19"/>
        <v>200</v>
      </c>
      <c r="I196" s="115" t="s">
        <v>18</v>
      </c>
      <c r="J196" s="151"/>
      <c r="K196" s="29">
        <v>9000</v>
      </c>
      <c r="L196" s="92"/>
      <c r="M196" s="31">
        <f t="shared" si="13"/>
        <v>0</v>
      </c>
      <c r="N196" s="31">
        <f t="shared" si="14"/>
        <v>9000</v>
      </c>
      <c r="O196" s="25"/>
      <c r="P196" s="78">
        <v>45955</v>
      </c>
      <c r="Q196" s="81"/>
      <c r="R196" s="26" t="s">
        <v>1115</v>
      </c>
      <c r="S196" s="21"/>
      <c r="T196" s="32" t="s">
        <v>1069</v>
      </c>
      <c r="U196" s="21"/>
    </row>
    <row r="197" spans="1:21" ht="20.100000000000001" customHeight="1" x14ac:dyDescent="0.3">
      <c r="A197" s="44">
        <v>189</v>
      </c>
      <c r="B197" s="78">
        <v>45953</v>
      </c>
      <c r="C197" s="145"/>
      <c r="D197" s="24" t="s">
        <v>1099</v>
      </c>
      <c r="E197" s="147"/>
      <c r="F197" s="26">
        <v>8</v>
      </c>
      <c r="G197" s="26">
        <v>25</v>
      </c>
      <c r="H197" s="26">
        <f t="shared" si="19"/>
        <v>200</v>
      </c>
      <c r="I197" s="115" t="s">
        <v>18</v>
      </c>
      <c r="J197" s="151"/>
      <c r="K197" s="29">
        <v>5825</v>
      </c>
      <c r="L197" s="92"/>
      <c r="M197" s="31">
        <f t="shared" si="13"/>
        <v>0</v>
      </c>
      <c r="N197" s="31">
        <f t="shared" si="14"/>
        <v>5825</v>
      </c>
      <c r="O197" s="25"/>
      <c r="P197" s="78">
        <v>45955</v>
      </c>
      <c r="Q197" s="81"/>
      <c r="R197" s="26" t="s">
        <v>1115</v>
      </c>
      <c r="S197" s="21"/>
      <c r="T197" s="32" t="s">
        <v>1069</v>
      </c>
      <c r="U197" s="21"/>
    </row>
    <row r="198" spans="1:21" ht="20.100000000000001" hidden="1" customHeight="1" x14ac:dyDescent="0.3">
      <c r="A198" s="44">
        <v>190</v>
      </c>
      <c r="B198" s="78">
        <v>45953</v>
      </c>
      <c r="C198" s="145"/>
      <c r="D198" s="80" t="s">
        <v>1079</v>
      </c>
      <c r="E198" s="148"/>
      <c r="F198" s="82">
        <v>8</v>
      </c>
      <c r="G198" s="82">
        <v>25</v>
      </c>
      <c r="H198" s="82">
        <f t="shared" si="19"/>
        <v>200</v>
      </c>
      <c r="I198" s="144" t="s">
        <v>18</v>
      </c>
      <c r="J198" s="145"/>
      <c r="K198" s="91">
        <v>21250</v>
      </c>
      <c r="L198" s="92"/>
      <c r="M198" s="31">
        <f t="shared" si="13"/>
        <v>0</v>
      </c>
      <c r="N198" s="31">
        <f t="shared" si="14"/>
        <v>21250</v>
      </c>
      <c r="O198" s="25"/>
      <c r="P198" s="78">
        <v>45955</v>
      </c>
      <c r="Q198" s="81"/>
      <c r="R198" s="26" t="s">
        <v>1116</v>
      </c>
      <c r="S198" s="21"/>
      <c r="T198" s="32" t="s">
        <v>1081</v>
      </c>
      <c r="U198" s="21"/>
    </row>
    <row r="199" spans="1:21" ht="20.100000000000001" hidden="1" customHeight="1" x14ac:dyDescent="0.3">
      <c r="A199" s="44">
        <v>191</v>
      </c>
      <c r="B199" s="78">
        <v>45957</v>
      </c>
      <c r="C199" s="145"/>
      <c r="D199" s="80" t="s">
        <v>1117</v>
      </c>
      <c r="E199" s="148"/>
      <c r="F199" s="82">
        <v>120</v>
      </c>
      <c r="G199" s="82">
        <v>5</v>
      </c>
      <c r="H199" s="82">
        <f t="shared" si="16"/>
        <v>600</v>
      </c>
      <c r="I199" s="144" t="s">
        <v>56</v>
      </c>
      <c r="J199" s="145"/>
      <c r="K199" s="91">
        <v>980</v>
      </c>
      <c r="L199" s="92"/>
      <c r="M199" s="31">
        <f t="shared" si="13"/>
        <v>0</v>
      </c>
      <c r="N199" s="31">
        <f t="shared" si="14"/>
        <v>980</v>
      </c>
      <c r="O199" s="25"/>
      <c r="P199" s="78">
        <v>45958</v>
      </c>
      <c r="Q199" s="81"/>
      <c r="R199" s="26" t="s">
        <v>1118</v>
      </c>
      <c r="S199" s="21"/>
      <c r="T199" s="32" t="s">
        <v>953</v>
      </c>
      <c r="U199" s="21"/>
    </row>
    <row r="200" spans="1:21" ht="20.100000000000001" hidden="1" customHeight="1" x14ac:dyDescent="0.3">
      <c r="A200" s="44">
        <v>192</v>
      </c>
      <c r="B200" s="78">
        <v>45957</v>
      </c>
      <c r="C200" s="145"/>
      <c r="D200" s="80" t="s">
        <v>1121</v>
      </c>
      <c r="E200" s="148"/>
      <c r="F200" s="82">
        <v>100</v>
      </c>
      <c r="G200" s="82">
        <v>2.5</v>
      </c>
      <c r="H200" s="82">
        <f t="shared" si="16"/>
        <v>250</v>
      </c>
      <c r="I200" s="144" t="s">
        <v>1122</v>
      </c>
      <c r="J200" s="145"/>
      <c r="K200" s="91">
        <v>61</v>
      </c>
      <c r="L200" s="92">
        <v>0.05</v>
      </c>
      <c r="M200" s="31">
        <f t="shared" si="13"/>
        <v>3.0500000000000003</v>
      </c>
      <c r="N200" s="31">
        <f t="shared" si="14"/>
        <v>64.05</v>
      </c>
      <c r="O200" s="25"/>
      <c r="P200" s="78">
        <v>45958</v>
      </c>
      <c r="Q200" s="81"/>
      <c r="R200" s="26" t="s">
        <v>1123</v>
      </c>
      <c r="S200" s="21"/>
      <c r="T200" s="32" t="s">
        <v>609</v>
      </c>
      <c r="U200" s="21"/>
    </row>
    <row r="201" spans="1:21" ht="20.100000000000001" hidden="1" customHeight="1" x14ac:dyDescent="0.3">
      <c r="A201" s="44">
        <v>193</v>
      </c>
      <c r="B201" s="78">
        <v>45957</v>
      </c>
      <c r="C201" s="145"/>
      <c r="D201" s="80" t="s">
        <v>1119</v>
      </c>
      <c r="E201" s="148"/>
      <c r="F201" s="82">
        <v>400</v>
      </c>
      <c r="G201" s="82">
        <v>50</v>
      </c>
      <c r="H201" s="82">
        <f t="shared" si="16"/>
        <v>20000</v>
      </c>
      <c r="I201" s="144" t="s">
        <v>230</v>
      </c>
      <c r="J201" s="145"/>
      <c r="K201" s="91">
        <v>116</v>
      </c>
      <c r="L201" s="92">
        <v>0.05</v>
      </c>
      <c r="M201" s="31">
        <f t="shared" ref="M201:M208" si="20">K201*L201</f>
        <v>5.8000000000000007</v>
      </c>
      <c r="N201" s="31">
        <f t="shared" ref="N201:N208" si="21">K201+M201</f>
        <v>121.8</v>
      </c>
      <c r="O201" s="25"/>
      <c r="P201" s="78">
        <v>45958</v>
      </c>
      <c r="Q201" s="81"/>
      <c r="R201" s="26" t="s">
        <v>1123</v>
      </c>
      <c r="S201" s="21"/>
      <c r="T201" s="32" t="s">
        <v>609</v>
      </c>
      <c r="U201" s="21"/>
    </row>
    <row r="202" spans="1:21" ht="20.100000000000001" hidden="1" customHeight="1" x14ac:dyDescent="0.3">
      <c r="A202" s="44">
        <v>194</v>
      </c>
      <c r="B202" s="78">
        <v>45957</v>
      </c>
      <c r="C202" s="145"/>
      <c r="D202" s="80" t="s">
        <v>1120</v>
      </c>
      <c r="E202" s="148"/>
      <c r="F202" s="82">
        <v>20</v>
      </c>
      <c r="G202" s="82">
        <v>5</v>
      </c>
      <c r="H202" s="82">
        <f t="shared" ref="H202:H208" si="22">F202*G202</f>
        <v>100</v>
      </c>
      <c r="I202" s="144" t="s">
        <v>56</v>
      </c>
      <c r="J202" s="145"/>
      <c r="K202" s="91">
        <v>4620</v>
      </c>
      <c r="L202" s="92">
        <v>0.05</v>
      </c>
      <c r="M202" s="31">
        <f t="shared" si="20"/>
        <v>231</v>
      </c>
      <c r="N202" s="31">
        <f t="shared" si="21"/>
        <v>4851</v>
      </c>
      <c r="O202" s="25"/>
      <c r="P202" s="78">
        <v>45958</v>
      </c>
      <c r="Q202" s="81"/>
      <c r="R202" s="26" t="s">
        <v>1123</v>
      </c>
      <c r="S202" s="21"/>
      <c r="T202" s="32" t="s">
        <v>609</v>
      </c>
      <c r="U202" s="21"/>
    </row>
    <row r="203" spans="1:21" ht="20.100000000000001" hidden="1" customHeight="1" x14ac:dyDescent="0.3">
      <c r="A203" s="44">
        <v>195</v>
      </c>
      <c r="B203" s="78">
        <v>45957</v>
      </c>
      <c r="C203" s="145"/>
      <c r="D203" s="80" t="s">
        <v>400</v>
      </c>
      <c r="E203" s="148"/>
      <c r="F203" s="82">
        <v>500</v>
      </c>
      <c r="G203" s="82">
        <v>1</v>
      </c>
      <c r="H203" s="82">
        <f t="shared" si="22"/>
        <v>500</v>
      </c>
      <c r="I203" s="144" t="s">
        <v>230</v>
      </c>
      <c r="J203" s="145"/>
      <c r="K203" s="91">
        <v>75</v>
      </c>
      <c r="L203" s="92">
        <v>0.05</v>
      </c>
      <c r="M203" s="31">
        <f t="shared" si="20"/>
        <v>3.75</v>
      </c>
      <c r="N203" s="31">
        <f t="shared" si="21"/>
        <v>78.75</v>
      </c>
      <c r="O203" s="25"/>
      <c r="P203" s="78">
        <v>45958</v>
      </c>
      <c r="Q203" s="81"/>
      <c r="R203" s="26" t="s">
        <v>1124</v>
      </c>
      <c r="S203" s="21"/>
      <c r="T203" s="32" t="s">
        <v>713</v>
      </c>
      <c r="U203" s="21"/>
    </row>
    <row r="204" spans="1:21" ht="20.100000000000001" hidden="1" customHeight="1" x14ac:dyDescent="0.3">
      <c r="A204" s="44">
        <v>196</v>
      </c>
      <c r="B204" s="78">
        <v>45957</v>
      </c>
      <c r="C204" s="145"/>
      <c r="D204" s="80" t="s">
        <v>543</v>
      </c>
      <c r="E204" s="148"/>
      <c r="F204" s="82">
        <v>20</v>
      </c>
      <c r="G204" s="82">
        <v>5</v>
      </c>
      <c r="H204" s="82">
        <f t="shared" si="22"/>
        <v>100</v>
      </c>
      <c r="I204" s="144" t="s">
        <v>56</v>
      </c>
      <c r="J204" s="145"/>
      <c r="K204" s="91">
        <v>457</v>
      </c>
      <c r="L204" s="92">
        <v>0.18</v>
      </c>
      <c r="M204" s="31">
        <f t="shared" si="20"/>
        <v>82.259999999999991</v>
      </c>
      <c r="N204" s="31">
        <f t="shared" si="21"/>
        <v>539.26</v>
      </c>
      <c r="O204" s="25"/>
      <c r="P204" s="78">
        <v>45958</v>
      </c>
      <c r="Q204" s="81"/>
      <c r="R204" s="26" t="s">
        <v>1125</v>
      </c>
      <c r="S204" s="21"/>
      <c r="T204" s="32" t="s">
        <v>68</v>
      </c>
      <c r="U204" s="21"/>
    </row>
    <row r="205" spans="1:21" ht="20.100000000000001" hidden="1" customHeight="1" x14ac:dyDescent="0.3">
      <c r="A205" s="44">
        <v>197</v>
      </c>
      <c r="B205" s="78">
        <v>45957</v>
      </c>
      <c r="C205" s="145"/>
      <c r="D205" s="80" t="s">
        <v>574</v>
      </c>
      <c r="E205" s="148"/>
      <c r="F205" s="82">
        <v>12</v>
      </c>
      <c r="G205" s="82">
        <v>5</v>
      </c>
      <c r="H205" s="82">
        <f t="shared" si="22"/>
        <v>60</v>
      </c>
      <c r="I205" s="144" t="s">
        <v>1122</v>
      </c>
      <c r="J205" s="145"/>
      <c r="K205" s="91">
        <v>3273</v>
      </c>
      <c r="L205" s="92">
        <v>0.18</v>
      </c>
      <c r="M205" s="31">
        <f t="shared" si="20"/>
        <v>589.14</v>
      </c>
      <c r="N205" s="31">
        <f t="shared" si="21"/>
        <v>3862.14</v>
      </c>
      <c r="O205" s="25"/>
      <c r="P205" s="78">
        <v>45958</v>
      </c>
      <c r="Q205" s="81"/>
      <c r="R205" s="26" t="s">
        <v>1125</v>
      </c>
      <c r="S205" s="21"/>
      <c r="T205" s="32" t="s">
        <v>68</v>
      </c>
      <c r="U205" s="21"/>
    </row>
    <row r="206" spans="1:21" ht="20.100000000000001" hidden="1" customHeight="1" x14ac:dyDescent="0.3">
      <c r="A206" s="44">
        <v>198</v>
      </c>
      <c r="B206" s="78">
        <v>45957</v>
      </c>
      <c r="C206" s="145"/>
      <c r="D206" s="80" t="s">
        <v>715</v>
      </c>
      <c r="E206" s="148"/>
      <c r="F206" s="82">
        <v>20</v>
      </c>
      <c r="G206" s="82">
        <v>50</v>
      </c>
      <c r="H206" s="82">
        <f t="shared" si="22"/>
        <v>1000</v>
      </c>
      <c r="I206" s="144" t="s">
        <v>109</v>
      </c>
      <c r="J206" s="145"/>
      <c r="K206" s="91">
        <v>1000</v>
      </c>
      <c r="L206" s="92">
        <v>0.18</v>
      </c>
      <c r="M206" s="31">
        <f t="shared" si="20"/>
        <v>180</v>
      </c>
      <c r="N206" s="31">
        <f t="shared" si="21"/>
        <v>1180</v>
      </c>
      <c r="O206" s="25"/>
      <c r="P206" s="78">
        <v>45958</v>
      </c>
      <c r="Q206" s="81"/>
      <c r="R206" s="26" t="s">
        <v>1125</v>
      </c>
      <c r="S206" s="21"/>
      <c r="T206" s="32" t="s">
        <v>68</v>
      </c>
      <c r="U206" s="21"/>
    </row>
    <row r="207" spans="1:21" ht="20.100000000000001" hidden="1" customHeight="1" x14ac:dyDescent="0.3">
      <c r="A207" s="44">
        <v>199</v>
      </c>
      <c r="B207" s="78">
        <v>45957</v>
      </c>
      <c r="C207" s="145"/>
      <c r="D207" s="80" t="s">
        <v>507</v>
      </c>
      <c r="E207" s="148"/>
      <c r="F207" s="82">
        <v>20</v>
      </c>
      <c r="G207" s="82">
        <v>5</v>
      </c>
      <c r="H207" s="82">
        <f t="shared" si="22"/>
        <v>100</v>
      </c>
      <c r="I207" s="144" t="s">
        <v>56</v>
      </c>
      <c r="J207" s="145"/>
      <c r="K207" s="91">
        <v>1172</v>
      </c>
      <c r="L207" s="92">
        <v>0.18</v>
      </c>
      <c r="M207" s="31">
        <f t="shared" si="20"/>
        <v>210.95999999999998</v>
      </c>
      <c r="N207" s="31">
        <f t="shared" si="21"/>
        <v>1382.96</v>
      </c>
      <c r="O207" s="25"/>
      <c r="P207" s="78">
        <v>45958</v>
      </c>
      <c r="Q207" s="81"/>
      <c r="R207" s="26" t="s">
        <v>1125</v>
      </c>
      <c r="S207" s="21"/>
      <c r="T207" s="32" t="s">
        <v>68</v>
      </c>
      <c r="U207" s="21"/>
    </row>
    <row r="208" spans="1:21" ht="20.100000000000001" hidden="1" customHeight="1" x14ac:dyDescent="0.3">
      <c r="A208" s="44">
        <v>200</v>
      </c>
      <c r="B208" s="78">
        <v>45957</v>
      </c>
      <c r="C208" s="145"/>
      <c r="D208" s="80" t="s">
        <v>1126</v>
      </c>
      <c r="E208" s="148"/>
      <c r="F208" s="82">
        <v>100</v>
      </c>
      <c r="G208" s="82">
        <v>2500</v>
      </c>
      <c r="H208" s="82">
        <f t="shared" si="22"/>
        <v>250000</v>
      </c>
      <c r="I208" s="144" t="s">
        <v>51</v>
      </c>
      <c r="J208" s="145"/>
      <c r="K208" s="91">
        <v>875</v>
      </c>
      <c r="L208" s="92">
        <v>0.05</v>
      </c>
      <c r="M208" s="31">
        <f t="shared" si="20"/>
        <v>43.75</v>
      </c>
      <c r="N208" s="31">
        <f t="shared" si="21"/>
        <v>918.75</v>
      </c>
      <c r="O208" s="25"/>
      <c r="P208" s="78">
        <v>45958</v>
      </c>
      <c r="Q208" s="81"/>
      <c r="R208" s="26" t="s">
        <v>1127</v>
      </c>
      <c r="S208" s="21"/>
      <c r="T208" s="32" t="s">
        <v>265</v>
      </c>
      <c r="U208" s="21"/>
    </row>
    <row r="209" spans="1:21" ht="20.100000000000001" hidden="1" customHeight="1" x14ac:dyDescent="0.3">
      <c r="A209" s="44">
        <v>201</v>
      </c>
      <c r="B209" s="78">
        <v>45957</v>
      </c>
      <c r="C209" s="145"/>
      <c r="D209" s="80" t="s">
        <v>1103</v>
      </c>
      <c r="E209" s="148"/>
      <c r="F209" s="82">
        <v>36</v>
      </c>
      <c r="G209" s="82">
        <v>500</v>
      </c>
      <c r="H209" s="82">
        <f t="shared" ref="H209:H250" si="23">F209*G209</f>
        <v>18000</v>
      </c>
      <c r="I209" s="144" t="s">
        <v>1122</v>
      </c>
      <c r="J209" s="145" t="s">
        <v>717</v>
      </c>
      <c r="K209" s="89">
        <v>8194</v>
      </c>
      <c r="L209" s="92">
        <v>0.05</v>
      </c>
      <c r="M209" s="31">
        <f t="shared" ref="M209:M250" si="24">K209*L209</f>
        <v>409.70000000000005</v>
      </c>
      <c r="N209" s="31">
        <f t="shared" ref="N209:N250" si="25">K209+M209</f>
        <v>8603.7000000000007</v>
      </c>
      <c r="O209" s="25"/>
      <c r="P209" s="78">
        <v>45958</v>
      </c>
      <c r="Q209" s="81"/>
      <c r="R209" s="26" t="s">
        <v>1128</v>
      </c>
      <c r="S209" s="21"/>
      <c r="T209" s="32" t="s">
        <v>1006</v>
      </c>
      <c r="U209" s="21"/>
    </row>
    <row r="210" spans="1:21" ht="20.100000000000001" hidden="1" customHeight="1" x14ac:dyDescent="0.3">
      <c r="A210" s="44">
        <v>202</v>
      </c>
      <c r="B210" s="65">
        <v>45953</v>
      </c>
      <c r="C210" s="145"/>
      <c r="D210" s="80" t="s">
        <v>1129</v>
      </c>
      <c r="E210" s="148"/>
      <c r="F210" s="82">
        <v>28</v>
      </c>
      <c r="G210" s="82">
        <v>25</v>
      </c>
      <c r="H210" s="82">
        <f t="shared" si="23"/>
        <v>700</v>
      </c>
      <c r="I210" s="144" t="s">
        <v>18</v>
      </c>
      <c r="J210" s="145"/>
      <c r="K210" s="91">
        <v>2750</v>
      </c>
      <c r="L210" s="92"/>
      <c r="M210" s="31">
        <f t="shared" si="24"/>
        <v>0</v>
      </c>
      <c r="N210" s="31">
        <f t="shared" si="25"/>
        <v>2750</v>
      </c>
      <c r="O210" s="25"/>
      <c r="P210" s="78">
        <v>45966</v>
      </c>
      <c r="Q210" s="81"/>
      <c r="R210" s="26" t="s">
        <v>1130</v>
      </c>
      <c r="S210" s="21"/>
      <c r="T210" s="32" t="s">
        <v>1131</v>
      </c>
      <c r="U210" s="21"/>
    </row>
    <row r="211" spans="1:21" ht="20.100000000000001" hidden="1" customHeight="1" x14ac:dyDescent="0.3">
      <c r="A211" s="44">
        <v>203</v>
      </c>
      <c r="B211" s="78">
        <v>45983</v>
      </c>
      <c r="C211" s="145"/>
      <c r="D211" s="80" t="s">
        <v>873</v>
      </c>
      <c r="E211" s="148"/>
      <c r="F211" s="82">
        <v>20</v>
      </c>
      <c r="G211" s="82">
        <v>5</v>
      </c>
      <c r="H211" s="82">
        <f t="shared" si="23"/>
        <v>100</v>
      </c>
      <c r="I211" s="144" t="s">
        <v>56</v>
      </c>
      <c r="J211" s="145"/>
      <c r="K211" s="91">
        <v>515</v>
      </c>
      <c r="L211" s="92"/>
      <c r="M211" s="31">
        <f t="shared" si="24"/>
        <v>0</v>
      </c>
      <c r="N211" s="31">
        <f t="shared" si="25"/>
        <v>515</v>
      </c>
      <c r="O211" s="25"/>
      <c r="P211" s="78">
        <v>45983</v>
      </c>
      <c r="Q211" s="81"/>
      <c r="R211" s="26" t="s">
        <v>1132</v>
      </c>
      <c r="S211" s="21"/>
      <c r="T211" s="32" t="s">
        <v>609</v>
      </c>
      <c r="U211" s="21"/>
    </row>
    <row r="212" spans="1:21" ht="20.100000000000001" hidden="1" customHeight="1" x14ac:dyDescent="0.3">
      <c r="A212" s="44">
        <v>204</v>
      </c>
      <c r="B212" s="78">
        <v>45983</v>
      </c>
      <c r="C212" s="145"/>
      <c r="D212" s="80" t="s">
        <v>509</v>
      </c>
      <c r="E212" s="148"/>
      <c r="F212" s="82">
        <v>96</v>
      </c>
      <c r="G212" s="82">
        <v>1</v>
      </c>
      <c r="H212" s="82">
        <f t="shared" si="23"/>
        <v>96</v>
      </c>
      <c r="I212" s="144" t="s">
        <v>56</v>
      </c>
      <c r="J212" s="145"/>
      <c r="K212" s="91">
        <v>580</v>
      </c>
      <c r="L212" s="92"/>
      <c r="M212" s="31">
        <f t="shared" si="24"/>
        <v>0</v>
      </c>
      <c r="N212" s="31">
        <f t="shared" si="25"/>
        <v>580</v>
      </c>
      <c r="O212" s="25"/>
      <c r="P212" s="78">
        <v>45983</v>
      </c>
      <c r="Q212" s="81"/>
      <c r="R212" s="26" t="s">
        <v>1132</v>
      </c>
      <c r="S212" s="21"/>
      <c r="T212" s="32" t="s">
        <v>609</v>
      </c>
      <c r="U212" s="21"/>
    </row>
    <row r="213" spans="1:21" ht="20.100000000000001" hidden="1" customHeight="1" x14ac:dyDescent="0.3">
      <c r="A213" s="44">
        <v>205</v>
      </c>
      <c r="B213" s="78">
        <v>45983</v>
      </c>
      <c r="C213" s="145"/>
      <c r="D213" s="80" t="s">
        <v>400</v>
      </c>
      <c r="E213" s="148"/>
      <c r="F213" s="82">
        <v>500</v>
      </c>
      <c r="G213" s="82">
        <v>1</v>
      </c>
      <c r="H213" s="82">
        <f t="shared" si="23"/>
        <v>500</v>
      </c>
      <c r="I213" s="144" t="s">
        <v>230</v>
      </c>
      <c r="J213" s="145"/>
      <c r="K213" s="91">
        <v>75</v>
      </c>
      <c r="L213" s="92">
        <v>0.05</v>
      </c>
      <c r="M213" s="31">
        <f t="shared" si="24"/>
        <v>3.75</v>
      </c>
      <c r="N213" s="31">
        <f t="shared" si="25"/>
        <v>78.75</v>
      </c>
      <c r="O213" s="25"/>
      <c r="P213" s="78">
        <v>45983</v>
      </c>
      <c r="Q213" s="81"/>
      <c r="R213" s="26" t="s">
        <v>1133</v>
      </c>
      <c r="S213" s="21"/>
      <c r="T213" s="32" t="s">
        <v>713</v>
      </c>
      <c r="U213" s="21"/>
    </row>
    <row r="214" spans="1:21" ht="20.100000000000001" hidden="1" customHeight="1" x14ac:dyDescent="0.3">
      <c r="A214" s="44">
        <v>206</v>
      </c>
      <c r="B214" s="78">
        <v>45983</v>
      </c>
      <c r="C214" s="145"/>
      <c r="D214" s="80" t="s">
        <v>921</v>
      </c>
      <c r="E214" s="148"/>
      <c r="F214" s="82">
        <v>20</v>
      </c>
      <c r="G214" s="82">
        <v>5</v>
      </c>
      <c r="H214" s="82">
        <f t="shared" si="23"/>
        <v>100</v>
      </c>
      <c r="I214" s="144" t="s">
        <v>56</v>
      </c>
      <c r="J214" s="145"/>
      <c r="K214" s="91">
        <v>950</v>
      </c>
      <c r="L214" s="92"/>
      <c r="M214" s="31">
        <f t="shared" si="24"/>
        <v>0</v>
      </c>
      <c r="N214" s="31">
        <f t="shared" si="25"/>
        <v>950</v>
      </c>
      <c r="O214" s="25"/>
      <c r="P214" s="78">
        <v>45983</v>
      </c>
      <c r="Q214" s="81"/>
      <c r="R214" s="26" t="s">
        <v>1134</v>
      </c>
      <c r="S214" s="21"/>
      <c r="T214" s="32" t="s">
        <v>923</v>
      </c>
      <c r="U214" s="21"/>
    </row>
    <row r="215" spans="1:21" ht="20.100000000000001" hidden="1" customHeight="1" x14ac:dyDescent="0.3">
      <c r="A215" s="44">
        <v>207</v>
      </c>
      <c r="B215" s="78">
        <v>45983</v>
      </c>
      <c r="C215" s="145"/>
      <c r="D215" s="80" t="s">
        <v>402</v>
      </c>
      <c r="E215" s="148"/>
      <c r="F215" s="82">
        <v>100</v>
      </c>
      <c r="G215" s="82">
        <v>1</v>
      </c>
      <c r="H215" s="82">
        <f t="shared" si="23"/>
        <v>100</v>
      </c>
      <c r="I215" s="144" t="s">
        <v>18</v>
      </c>
      <c r="J215" s="145"/>
      <c r="K215" s="91">
        <v>720</v>
      </c>
      <c r="L215" s="92"/>
      <c r="M215" s="31">
        <f t="shared" si="24"/>
        <v>0</v>
      </c>
      <c r="N215" s="31">
        <f t="shared" si="25"/>
        <v>720</v>
      </c>
      <c r="O215" s="25"/>
      <c r="P215" s="78">
        <v>45983</v>
      </c>
      <c r="Q215" s="81"/>
      <c r="R215" s="26" t="s">
        <v>1135</v>
      </c>
      <c r="S215" s="21"/>
      <c r="T215" s="32" t="s">
        <v>955</v>
      </c>
      <c r="U215" s="21"/>
    </row>
    <row r="216" spans="1:21" ht="20.100000000000001" hidden="1" customHeight="1" x14ac:dyDescent="0.3">
      <c r="A216" s="44">
        <v>208</v>
      </c>
      <c r="B216" s="78">
        <v>45983</v>
      </c>
      <c r="C216" s="145"/>
      <c r="D216" s="80" t="s">
        <v>886</v>
      </c>
      <c r="E216" s="148"/>
      <c r="F216" s="82">
        <v>39</v>
      </c>
      <c r="G216" s="82">
        <v>1000</v>
      </c>
      <c r="H216" s="82">
        <f t="shared" si="23"/>
        <v>39000</v>
      </c>
      <c r="I216" s="144" t="s">
        <v>51</v>
      </c>
      <c r="J216" s="145"/>
      <c r="K216" s="91">
        <v>945.02</v>
      </c>
      <c r="L216" s="92"/>
      <c r="M216" s="31">
        <f t="shared" si="24"/>
        <v>0</v>
      </c>
      <c r="N216" s="31">
        <f t="shared" si="25"/>
        <v>945.02</v>
      </c>
      <c r="O216" s="25"/>
      <c r="P216" s="78">
        <v>45985</v>
      </c>
      <c r="Q216" s="81"/>
      <c r="R216" s="26" t="s">
        <v>1136</v>
      </c>
      <c r="S216" s="21"/>
      <c r="T216" s="32" t="s">
        <v>1040</v>
      </c>
      <c r="U216" s="21"/>
    </row>
    <row r="217" spans="1:21" ht="20.100000000000001" hidden="1" customHeight="1" x14ac:dyDescent="0.3">
      <c r="A217" s="44">
        <v>209</v>
      </c>
      <c r="B217" s="78">
        <v>45983</v>
      </c>
      <c r="C217" s="145"/>
      <c r="D217" s="80" t="s">
        <v>256</v>
      </c>
      <c r="E217" s="148"/>
      <c r="F217" s="82">
        <v>200</v>
      </c>
      <c r="G217" s="82">
        <v>1000</v>
      </c>
      <c r="H217" s="82">
        <f t="shared" si="23"/>
        <v>200000</v>
      </c>
      <c r="I217" s="144" t="s">
        <v>51</v>
      </c>
      <c r="J217" s="145"/>
      <c r="K217" s="91">
        <v>60</v>
      </c>
      <c r="L217" s="92">
        <v>0.05</v>
      </c>
      <c r="M217" s="31">
        <f t="shared" si="24"/>
        <v>3</v>
      </c>
      <c r="N217" s="31">
        <f t="shared" si="25"/>
        <v>63</v>
      </c>
      <c r="O217" s="25"/>
      <c r="P217" s="78">
        <v>45985</v>
      </c>
      <c r="Q217" s="81"/>
      <c r="R217" s="26" t="s">
        <v>1137</v>
      </c>
      <c r="S217" s="21"/>
      <c r="T217" s="32" t="s">
        <v>309</v>
      </c>
      <c r="U217" s="21"/>
    </row>
    <row r="218" spans="1:21" ht="20.100000000000001" hidden="1" customHeight="1" x14ac:dyDescent="0.3">
      <c r="A218" s="44">
        <v>210</v>
      </c>
      <c r="B218" s="78">
        <v>45983</v>
      </c>
      <c r="C218" s="145"/>
      <c r="D218" s="80" t="s">
        <v>943</v>
      </c>
      <c r="E218" s="148"/>
      <c r="F218" s="82">
        <v>200</v>
      </c>
      <c r="G218" s="82">
        <v>30</v>
      </c>
      <c r="H218" s="82">
        <f t="shared" si="23"/>
        <v>6000</v>
      </c>
      <c r="I218" s="144" t="s">
        <v>230</v>
      </c>
      <c r="J218" s="145"/>
      <c r="K218" s="91">
        <v>1.75</v>
      </c>
      <c r="L218" s="92">
        <v>0.05</v>
      </c>
      <c r="M218" s="31">
        <f t="shared" si="24"/>
        <v>8.7500000000000008E-2</v>
      </c>
      <c r="N218" s="31">
        <f t="shared" si="25"/>
        <v>1.8374999999999999</v>
      </c>
      <c r="O218" s="25"/>
      <c r="P218" s="78">
        <v>45985</v>
      </c>
      <c r="Q218" s="81"/>
      <c r="R218" s="26" t="s">
        <v>1137</v>
      </c>
      <c r="S218" s="21"/>
      <c r="T218" s="32" t="s">
        <v>309</v>
      </c>
      <c r="U218" s="21"/>
    </row>
    <row r="219" spans="1:21" ht="20.100000000000001" hidden="1" customHeight="1" x14ac:dyDescent="0.3">
      <c r="A219" s="44">
        <v>211</v>
      </c>
      <c r="B219" s="78">
        <v>45983</v>
      </c>
      <c r="C219" s="145"/>
      <c r="D219" s="80" t="s">
        <v>523</v>
      </c>
      <c r="E219" s="148"/>
      <c r="F219" s="82">
        <v>100</v>
      </c>
      <c r="G219" s="82">
        <v>1000</v>
      </c>
      <c r="H219" s="82">
        <f t="shared" si="23"/>
        <v>100000</v>
      </c>
      <c r="I219" s="144" t="s">
        <v>51</v>
      </c>
      <c r="J219" s="145"/>
      <c r="K219" s="91">
        <v>480</v>
      </c>
      <c r="L219" s="92">
        <v>0.05</v>
      </c>
      <c r="M219" s="31">
        <f t="shared" si="24"/>
        <v>24</v>
      </c>
      <c r="N219" s="31">
        <f t="shared" si="25"/>
        <v>504</v>
      </c>
      <c r="O219" s="25"/>
      <c r="P219" s="78">
        <v>45985</v>
      </c>
      <c r="Q219" s="81"/>
      <c r="R219" s="26" t="s">
        <v>1138</v>
      </c>
      <c r="S219" s="21"/>
      <c r="T219" s="32" t="s">
        <v>265</v>
      </c>
      <c r="U219" s="21"/>
    </row>
    <row r="220" spans="1:21" ht="20.100000000000001" hidden="1" customHeight="1" x14ac:dyDescent="0.3">
      <c r="A220" s="44">
        <v>212</v>
      </c>
      <c r="B220" s="78">
        <v>45983</v>
      </c>
      <c r="C220" s="145"/>
      <c r="D220" s="80" t="s">
        <v>1103</v>
      </c>
      <c r="E220" s="110" t="s">
        <v>717</v>
      </c>
      <c r="F220" s="82">
        <v>24</v>
      </c>
      <c r="G220" s="82">
        <v>500</v>
      </c>
      <c r="H220" s="82">
        <f t="shared" ref="H220" si="26">F220*G220</f>
        <v>12000</v>
      </c>
      <c r="I220" s="144" t="s">
        <v>1122</v>
      </c>
      <c r="J220" s="145"/>
      <c r="K220" s="91">
        <v>8194</v>
      </c>
      <c r="L220" s="92">
        <v>0.05</v>
      </c>
      <c r="M220" s="31">
        <f t="shared" si="24"/>
        <v>409.70000000000005</v>
      </c>
      <c r="N220" s="31">
        <f t="shared" si="25"/>
        <v>8603.7000000000007</v>
      </c>
      <c r="O220" s="25"/>
      <c r="P220" s="78">
        <v>45985</v>
      </c>
      <c r="Q220" s="81"/>
      <c r="R220" s="26" t="s">
        <v>1139</v>
      </c>
      <c r="S220" s="21"/>
      <c r="T220" s="32" t="s">
        <v>1006</v>
      </c>
      <c r="U220" s="21"/>
    </row>
    <row r="221" spans="1:21" ht="20.100000000000001" hidden="1" customHeight="1" x14ac:dyDescent="0.3">
      <c r="A221" s="44">
        <v>213</v>
      </c>
      <c r="B221" s="78">
        <v>45995</v>
      </c>
      <c r="C221" s="145"/>
      <c r="D221" s="80" t="s">
        <v>1156</v>
      </c>
      <c r="E221" s="148"/>
      <c r="F221" s="82">
        <v>40</v>
      </c>
      <c r="G221" s="82">
        <v>25</v>
      </c>
      <c r="H221" s="82">
        <v>1000</v>
      </c>
      <c r="I221" s="144" t="s">
        <v>1141</v>
      </c>
      <c r="J221" s="145"/>
      <c r="K221" s="91">
        <v>2900</v>
      </c>
      <c r="L221" s="92"/>
      <c r="M221" s="31">
        <f t="shared" si="24"/>
        <v>0</v>
      </c>
      <c r="N221" s="31">
        <f t="shared" si="25"/>
        <v>2900</v>
      </c>
      <c r="O221" s="25"/>
      <c r="P221" s="78">
        <v>45995</v>
      </c>
      <c r="Q221" s="81"/>
      <c r="R221" s="26" t="s">
        <v>1142</v>
      </c>
      <c r="S221" s="21"/>
      <c r="T221" s="32" t="s">
        <v>98</v>
      </c>
      <c r="U221" s="21"/>
    </row>
    <row r="222" spans="1:21" ht="20.100000000000001" hidden="1" customHeight="1" x14ac:dyDescent="0.3">
      <c r="A222" s="44">
        <v>214</v>
      </c>
      <c r="B222" s="78">
        <v>45995</v>
      </c>
      <c r="C222" s="145"/>
      <c r="D222" s="80" t="s">
        <v>337</v>
      </c>
      <c r="E222" s="148"/>
      <c r="F222" s="82">
        <v>40</v>
      </c>
      <c r="G222" s="82">
        <v>25</v>
      </c>
      <c r="H222" s="82">
        <f t="shared" ref="H222:H235" si="27">F222*G222</f>
        <v>1000</v>
      </c>
      <c r="I222" s="144" t="s">
        <v>18</v>
      </c>
      <c r="J222" s="145"/>
      <c r="K222" s="91">
        <v>1500</v>
      </c>
      <c r="L222" s="92"/>
      <c r="M222" s="31">
        <f t="shared" si="24"/>
        <v>0</v>
      </c>
      <c r="N222" s="31">
        <f t="shared" si="25"/>
        <v>1500</v>
      </c>
      <c r="O222" s="25"/>
      <c r="P222" s="78">
        <v>45995</v>
      </c>
      <c r="Q222" s="81"/>
      <c r="R222" s="26" t="s">
        <v>1143</v>
      </c>
      <c r="S222" s="21"/>
      <c r="T222" s="32" t="s">
        <v>1106</v>
      </c>
      <c r="U222" s="21"/>
    </row>
    <row r="223" spans="1:21" ht="20.100000000000001" customHeight="1" x14ac:dyDescent="0.3">
      <c r="A223" s="44">
        <v>215</v>
      </c>
      <c r="B223" s="78">
        <v>46007</v>
      </c>
      <c r="C223" s="145"/>
      <c r="D223" s="80" t="s">
        <v>1076</v>
      </c>
      <c r="E223" s="148"/>
      <c r="F223" s="82">
        <v>6</v>
      </c>
      <c r="G223" s="82">
        <v>25</v>
      </c>
      <c r="H223" s="82">
        <f t="shared" si="27"/>
        <v>150</v>
      </c>
      <c r="I223" s="144" t="s">
        <v>18</v>
      </c>
      <c r="J223" s="145"/>
      <c r="K223" s="91">
        <v>10500</v>
      </c>
      <c r="L223" s="92"/>
      <c r="M223" s="31">
        <f t="shared" si="24"/>
        <v>0</v>
      </c>
      <c r="N223" s="31">
        <f t="shared" si="25"/>
        <v>10500</v>
      </c>
      <c r="O223" s="25"/>
      <c r="P223" s="78">
        <v>46008</v>
      </c>
      <c r="Q223" s="81"/>
      <c r="R223" s="26" t="s">
        <v>1144</v>
      </c>
      <c r="S223" s="21"/>
      <c r="T223" s="32" t="s">
        <v>1078</v>
      </c>
      <c r="U223" s="21"/>
    </row>
    <row r="224" spans="1:21" ht="20.100000000000001" hidden="1" customHeight="1" x14ac:dyDescent="0.3">
      <c r="A224" s="44">
        <v>216</v>
      </c>
      <c r="B224" s="78">
        <v>46007</v>
      </c>
      <c r="C224" s="145"/>
      <c r="D224" s="80" t="s">
        <v>1092</v>
      </c>
      <c r="E224" s="148"/>
      <c r="F224" s="82">
        <v>40</v>
      </c>
      <c r="G224" s="82">
        <v>25</v>
      </c>
      <c r="H224" s="82">
        <f t="shared" si="27"/>
        <v>1000</v>
      </c>
      <c r="I224" s="144" t="s">
        <v>18</v>
      </c>
      <c r="J224" s="145"/>
      <c r="K224" s="91">
        <v>20500</v>
      </c>
      <c r="L224" s="92"/>
      <c r="M224" s="31">
        <f t="shared" si="24"/>
        <v>0</v>
      </c>
      <c r="N224" s="31">
        <f t="shared" si="25"/>
        <v>20500</v>
      </c>
      <c r="O224" s="25"/>
      <c r="P224" s="78">
        <v>46008</v>
      </c>
      <c r="Q224" s="81"/>
      <c r="R224" s="26" t="s">
        <v>1145</v>
      </c>
      <c r="S224" s="21"/>
      <c r="T224" s="32" t="s">
        <v>1022</v>
      </c>
      <c r="U224" s="21"/>
    </row>
    <row r="225" spans="1:21" ht="20.100000000000001" hidden="1" customHeight="1" x14ac:dyDescent="0.3">
      <c r="A225" s="44">
        <v>217</v>
      </c>
      <c r="B225" s="78">
        <v>46007</v>
      </c>
      <c r="C225" s="145"/>
      <c r="D225" s="24" t="s">
        <v>1061</v>
      </c>
      <c r="E225" s="147"/>
      <c r="F225" s="26">
        <v>24</v>
      </c>
      <c r="G225" s="26">
        <v>25</v>
      </c>
      <c r="H225" s="26">
        <f t="shared" si="27"/>
        <v>600</v>
      </c>
      <c r="I225" s="115" t="s">
        <v>18</v>
      </c>
      <c r="J225" s="151"/>
      <c r="K225" s="29">
        <v>9750</v>
      </c>
      <c r="L225" s="92"/>
      <c r="M225" s="31">
        <f t="shared" si="24"/>
        <v>0</v>
      </c>
      <c r="N225" s="31">
        <f t="shared" si="25"/>
        <v>9750</v>
      </c>
      <c r="O225" s="25"/>
      <c r="P225" s="78">
        <v>46008</v>
      </c>
      <c r="Q225" s="81"/>
      <c r="R225" s="26" t="s">
        <v>1146</v>
      </c>
      <c r="S225" s="21"/>
      <c r="T225" s="32" t="s">
        <v>349</v>
      </c>
      <c r="U225" s="21"/>
    </row>
    <row r="226" spans="1:21" ht="20.100000000000001" hidden="1" customHeight="1" x14ac:dyDescent="0.3">
      <c r="A226" s="44">
        <v>218</v>
      </c>
      <c r="B226" s="78">
        <v>46007</v>
      </c>
      <c r="C226" s="145"/>
      <c r="D226" s="24" t="s">
        <v>1062</v>
      </c>
      <c r="E226" s="147"/>
      <c r="F226" s="26">
        <v>10</v>
      </c>
      <c r="G226" s="26">
        <v>25</v>
      </c>
      <c r="H226" s="26">
        <f t="shared" si="27"/>
        <v>250</v>
      </c>
      <c r="I226" s="115" t="s">
        <v>18</v>
      </c>
      <c r="J226" s="151"/>
      <c r="K226" s="29">
        <v>2625</v>
      </c>
      <c r="L226" s="92"/>
      <c r="M226" s="31">
        <f t="shared" si="24"/>
        <v>0</v>
      </c>
      <c r="N226" s="31">
        <f t="shared" si="25"/>
        <v>2625</v>
      </c>
      <c r="O226" s="25"/>
      <c r="P226" s="78">
        <v>46008</v>
      </c>
      <c r="Q226" s="81"/>
      <c r="R226" s="26" t="s">
        <v>1146</v>
      </c>
      <c r="S226" s="21"/>
      <c r="T226" s="32" t="s">
        <v>349</v>
      </c>
      <c r="U226" s="21"/>
    </row>
    <row r="227" spans="1:21" ht="20.100000000000001" hidden="1" customHeight="1" x14ac:dyDescent="0.3">
      <c r="A227" s="44">
        <v>219</v>
      </c>
      <c r="B227" s="78">
        <v>46007</v>
      </c>
      <c r="C227" s="145"/>
      <c r="D227" s="24" t="s">
        <v>1063</v>
      </c>
      <c r="E227" s="147"/>
      <c r="F227" s="26">
        <v>40</v>
      </c>
      <c r="G227" s="26">
        <v>25</v>
      </c>
      <c r="H227" s="26">
        <f t="shared" si="27"/>
        <v>1000</v>
      </c>
      <c r="I227" s="115" t="s">
        <v>18</v>
      </c>
      <c r="J227" s="151"/>
      <c r="K227" s="29">
        <v>6500</v>
      </c>
      <c r="L227" s="92"/>
      <c r="M227" s="31">
        <f t="shared" si="24"/>
        <v>0</v>
      </c>
      <c r="N227" s="31">
        <f t="shared" si="25"/>
        <v>6500</v>
      </c>
      <c r="O227" s="25"/>
      <c r="P227" s="78">
        <v>46008</v>
      </c>
      <c r="Q227" s="81"/>
      <c r="R227" s="26" t="s">
        <v>1146</v>
      </c>
      <c r="S227" s="21"/>
      <c r="T227" s="32" t="s">
        <v>349</v>
      </c>
      <c r="U227" s="21"/>
    </row>
    <row r="228" spans="1:21" ht="20.100000000000001" hidden="1" customHeight="1" x14ac:dyDescent="0.3">
      <c r="A228" s="44">
        <v>220</v>
      </c>
      <c r="B228" s="78">
        <v>46007</v>
      </c>
      <c r="C228" s="145"/>
      <c r="D228" s="24" t="s">
        <v>1097</v>
      </c>
      <c r="E228" s="147"/>
      <c r="F228" s="26">
        <v>12</v>
      </c>
      <c r="G228" s="26">
        <v>25</v>
      </c>
      <c r="H228" s="26">
        <f t="shared" si="27"/>
        <v>300</v>
      </c>
      <c r="I228" s="115" t="s">
        <v>18</v>
      </c>
      <c r="J228" s="151"/>
      <c r="K228" s="29">
        <v>11250</v>
      </c>
      <c r="L228" s="92"/>
      <c r="M228" s="31">
        <f t="shared" si="24"/>
        <v>0</v>
      </c>
      <c r="N228" s="31">
        <f t="shared" si="25"/>
        <v>11250</v>
      </c>
      <c r="O228" s="25"/>
      <c r="P228" s="78">
        <v>46008</v>
      </c>
      <c r="Q228" s="81"/>
      <c r="R228" s="26" t="s">
        <v>1146</v>
      </c>
      <c r="S228" s="21"/>
      <c r="T228" s="32" t="s">
        <v>349</v>
      </c>
      <c r="U228" s="21"/>
    </row>
    <row r="229" spans="1:21" ht="20.100000000000001" hidden="1" customHeight="1" x14ac:dyDescent="0.3">
      <c r="A229" s="44">
        <v>221</v>
      </c>
      <c r="B229" s="78">
        <v>46007</v>
      </c>
      <c r="C229" s="145"/>
      <c r="D229" s="24" t="s">
        <v>1064</v>
      </c>
      <c r="E229" s="147"/>
      <c r="F229" s="26">
        <v>4</v>
      </c>
      <c r="G229" s="26">
        <v>25</v>
      </c>
      <c r="H229" s="26">
        <f t="shared" si="27"/>
        <v>100</v>
      </c>
      <c r="I229" s="115" t="s">
        <v>18</v>
      </c>
      <c r="J229" s="151"/>
      <c r="K229" s="29">
        <v>11250</v>
      </c>
      <c r="L229" s="92"/>
      <c r="M229" s="31">
        <f t="shared" si="24"/>
        <v>0</v>
      </c>
      <c r="N229" s="31">
        <f t="shared" si="25"/>
        <v>11250</v>
      </c>
      <c r="O229" s="25"/>
      <c r="P229" s="78">
        <v>46008</v>
      </c>
      <c r="Q229" s="81"/>
      <c r="R229" s="26" t="s">
        <v>1146</v>
      </c>
      <c r="S229" s="21"/>
      <c r="T229" s="32" t="s">
        <v>349</v>
      </c>
      <c r="U229" s="21"/>
    </row>
    <row r="230" spans="1:21" ht="20.100000000000001" hidden="1" customHeight="1" x14ac:dyDescent="0.3">
      <c r="A230" s="44">
        <v>222</v>
      </c>
      <c r="B230" s="78">
        <v>46007</v>
      </c>
      <c r="C230" s="145"/>
      <c r="D230" s="24" t="s">
        <v>1065</v>
      </c>
      <c r="E230" s="147"/>
      <c r="F230" s="26">
        <v>60</v>
      </c>
      <c r="G230" s="26">
        <v>25</v>
      </c>
      <c r="H230" s="26">
        <f t="shared" si="27"/>
        <v>1500</v>
      </c>
      <c r="I230" s="115" t="s">
        <v>18</v>
      </c>
      <c r="J230" s="151"/>
      <c r="K230" s="29">
        <v>3375</v>
      </c>
      <c r="L230" s="92"/>
      <c r="M230" s="31">
        <f t="shared" si="24"/>
        <v>0</v>
      </c>
      <c r="N230" s="31">
        <f t="shared" si="25"/>
        <v>3375</v>
      </c>
      <c r="O230" s="25"/>
      <c r="P230" s="78">
        <v>46008</v>
      </c>
      <c r="Q230" s="81"/>
      <c r="R230" s="26" t="s">
        <v>1146</v>
      </c>
      <c r="S230" s="21"/>
      <c r="T230" s="32" t="s">
        <v>349</v>
      </c>
      <c r="U230" s="21"/>
    </row>
    <row r="231" spans="1:21" ht="20.100000000000001" customHeight="1" x14ac:dyDescent="0.3">
      <c r="A231" s="44">
        <v>223</v>
      </c>
      <c r="B231" s="78">
        <v>46007</v>
      </c>
      <c r="C231" s="145"/>
      <c r="D231" s="24" t="s">
        <v>1067</v>
      </c>
      <c r="E231" s="147"/>
      <c r="F231" s="26">
        <v>14</v>
      </c>
      <c r="G231" s="26">
        <v>25</v>
      </c>
      <c r="H231" s="26">
        <f t="shared" si="27"/>
        <v>350</v>
      </c>
      <c r="I231" s="115" t="s">
        <v>18</v>
      </c>
      <c r="J231" s="151"/>
      <c r="K231" s="29">
        <v>9000</v>
      </c>
      <c r="L231" s="92"/>
      <c r="M231" s="31">
        <f t="shared" si="24"/>
        <v>0</v>
      </c>
      <c r="N231" s="31">
        <f t="shared" si="25"/>
        <v>9000</v>
      </c>
      <c r="O231" s="25"/>
      <c r="P231" s="78">
        <v>46008</v>
      </c>
      <c r="Q231" s="81"/>
      <c r="R231" s="26" t="s">
        <v>1147</v>
      </c>
      <c r="S231" s="21"/>
      <c r="T231" s="32" t="s">
        <v>1069</v>
      </c>
      <c r="U231" s="21"/>
    </row>
    <row r="232" spans="1:21" ht="20.100000000000001" customHeight="1" x14ac:dyDescent="0.3">
      <c r="A232" s="44">
        <v>224</v>
      </c>
      <c r="B232" s="78">
        <v>46007</v>
      </c>
      <c r="C232" s="145"/>
      <c r="D232" s="24" t="s">
        <v>1099</v>
      </c>
      <c r="E232" s="147"/>
      <c r="F232" s="26">
        <v>15</v>
      </c>
      <c r="G232" s="26">
        <v>25</v>
      </c>
      <c r="H232" s="26">
        <f t="shared" si="27"/>
        <v>375</v>
      </c>
      <c r="I232" s="115" t="s">
        <v>18</v>
      </c>
      <c r="J232" s="151"/>
      <c r="K232" s="29">
        <v>5825</v>
      </c>
      <c r="L232" s="92"/>
      <c r="M232" s="31">
        <f t="shared" si="24"/>
        <v>0</v>
      </c>
      <c r="N232" s="31">
        <f t="shared" si="25"/>
        <v>5825</v>
      </c>
      <c r="O232" s="25"/>
      <c r="P232" s="78">
        <v>46008</v>
      </c>
      <c r="Q232" s="81"/>
      <c r="R232" s="26" t="s">
        <v>1147</v>
      </c>
      <c r="S232" s="21"/>
      <c r="T232" s="32" t="s">
        <v>1069</v>
      </c>
      <c r="U232" s="21"/>
    </row>
    <row r="233" spans="1:21" ht="20.100000000000001" hidden="1" customHeight="1" x14ac:dyDescent="0.3">
      <c r="A233" s="44">
        <v>225</v>
      </c>
      <c r="B233" s="78">
        <v>46007</v>
      </c>
      <c r="C233" s="145"/>
      <c r="D233" s="80" t="s">
        <v>1079</v>
      </c>
      <c r="E233" s="148"/>
      <c r="F233" s="82">
        <v>10</v>
      </c>
      <c r="G233" s="82">
        <v>25</v>
      </c>
      <c r="H233" s="82">
        <f t="shared" si="27"/>
        <v>250</v>
      </c>
      <c r="I233" s="144" t="s">
        <v>18</v>
      </c>
      <c r="J233" s="145"/>
      <c r="K233" s="91">
        <v>21250</v>
      </c>
      <c r="L233" s="92"/>
      <c r="M233" s="31">
        <f t="shared" si="24"/>
        <v>0</v>
      </c>
      <c r="N233" s="31">
        <f t="shared" si="25"/>
        <v>21250</v>
      </c>
      <c r="O233" s="25"/>
      <c r="P233" s="78">
        <v>46008</v>
      </c>
      <c r="Q233" s="81"/>
      <c r="R233" s="26" t="s">
        <v>1148</v>
      </c>
      <c r="S233" s="21"/>
      <c r="T233" s="32" t="s">
        <v>1081</v>
      </c>
      <c r="U233" s="21"/>
    </row>
    <row r="234" spans="1:21" ht="20.100000000000001" hidden="1" customHeight="1" x14ac:dyDescent="0.3">
      <c r="A234" s="44">
        <v>226</v>
      </c>
      <c r="B234" s="78">
        <v>46007</v>
      </c>
      <c r="C234" s="145"/>
      <c r="D234" s="80" t="s">
        <v>1129</v>
      </c>
      <c r="E234" s="148"/>
      <c r="F234" s="82">
        <v>60</v>
      </c>
      <c r="G234" s="82">
        <v>25</v>
      </c>
      <c r="H234" s="82">
        <f t="shared" si="27"/>
        <v>1500</v>
      </c>
      <c r="I234" s="144" t="s">
        <v>18</v>
      </c>
      <c r="J234" s="145"/>
      <c r="K234" s="91">
        <v>2750</v>
      </c>
      <c r="L234" s="92"/>
      <c r="M234" s="31">
        <f t="shared" si="24"/>
        <v>0</v>
      </c>
      <c r="N234" s="31">
        <f t="shared" si="25"/>
        <v>2750</v>
      </c>
      <c r="O234" s="25"/>
      <c r="P234" s="78">
        <v>46008</v>
      </c>
      <c r="Q234" s="81"/>
      <c r="R234" s="26" t="s">
        <v>1149</v>
      </c>
      <c r="S234" s="21"/>
      <c r="T234" s="32" t="s">
        <v>1131</v>
      </c>
      <c r="U234" s="21"/>
    </row>
    <row r="235" spans="1:21" ht="20.100000000000001" hidden="1" customHeight="1" x14ac:dyDescent="0.3">
      <c r="A235" s="44">
        <v>227</v>
      </c>
      <c r="B235" s="78">
        <v>46007</v>
      </c>
      <c r="C235" s="145"/>
      <c r="D235" s="80" t="s">
        <v>1070</v>
      </c>
      <c r="E235" s="148"/>
      <c r="F235" s="82">
        <v>10</v>
      </c>
      <c r="G235" s="82">
        <v>25</v>
      </c>
      <c r="H235" s="82">
        <f t="shared" si="27"/>
        <v>250</v>
      </c>
      <c r="I235" s="144" t="s">
        <v>18</v>
      </c>
      <c r="J235" s="145"/>
      <c r="K235" s="91">
        <v>7500</v>
      </c>
      <c r="L235" s="92"/>
      <c r="M235" s="31">
        <f t="shared" si="24"/>
        <v>0</v>
      </c>
      <c r="N235" s="31">
        <f t="shared" si="25"/>
        <v>7500</v>
      </c>
      <c r="O235" s="25"/>
      <c r="P235" s="78">
        <v>46009</v>
      </c>
      <c r="Q235" s="81"/>
      <c r="R235" s="26" t="s">
        <v>1150</v>
      </c>
      <c r="S235" s="21"/>
      <c r="T235" s="32" t="s">
        <v>1047</v>
      </c>
      <c r="U235" s="21"/>
    </row>
    <row r="236" spans="1:21" ht="20.100000000000001" hidden="1" customHeight="1" x14ac:dyDescent="0.3">
      <c r="A236" s="44">
        <v>228</v>
      </c>
      <c r="B236" s="78">
        <v>46021</v>
      </c>
      <c r="C236" s="145"/>
      <c r="D236" s="80" t="s">
        <v>543</v>
      </c>
      <c r="E236" s="148"/>
      <c r="F236" s="82">
        <v>20</v>
      </c>
      <c r="G236" s="82">
        <v>5</v>
      </c>
      <c r="H236" s="82">
        <f t="shared" si="23"/>
        <v>100</v>
      </c>
      <c r="I236" s="144" t="s">
        <v>56</v>
      </c>
      <c r="J236" s="145"/>
      <c r="K236" s="91">
        <v>457</v>
      </c>
      <c r="L236" s="92">
        <v>0.18</v>
      </c>
      <c r="M236" s="31">
        <f t="shared" si="24"/>
        <v>82.259999999999991</v>
      </c>
      <c r="N236" s="31">
        <f t="shared" si="25"/>
        <v>539.26</v>
      </c>
      <c r="O236" s="25"/>
      <c r="P236" s="78">
        <v>46021</v>
      </c>
      <c r="Q236" s="81"/>
      <c r="R236" s="26" t="s">
        <v>1153</v>
      </c>
      <c r="S236" s="21"/>
      <c r="T236" s="32" t="s">
        <v>68</v>
      </c>
      <c r="U236" s="21"/>
    </row>
    <row r="237" spans="1:21" ht="20.100000000000001" hidden="1" customHeight="1" x14ac:dyDescent="0.3">
      <c r="A237" s="44">
        <v>229</v>
      </c>
      <c r="B237" s="78">
        <v>46021</v>
      </c>
      <c r="C237" s="145"/>
      <c r="D237" s="80" t="s">
        <v>574</v>
      </c>
      <c r="E237" s="148"/>
      <c r="F237" s="82">
        <v>20</v>
      </c>
      <c r="G237" s="82">
        <v>5</v>
      </c>
      <c r="H237" s="82">
        <f t="shared" si="23"/>
        <v>100</v>
      </c>
      <c r="I237" s="144" t="s">
        <v>56</v>
      </c>
      <c r="J237" s="145"/>
      <c r="K237" s="91">
        <v>3273</v>
      </c>
      <c r="L237" s="92">
        <v>0.18</v>
      </c>
      <c r="M237" s="31">
        <f t="shared" si="24"/>
        <v>589.14</v>
      </c>
      <c r="N237" s="31">
        <f t="shared" si="25"/>
        <v>3862.14</v>
      </c>
      <c r="O237" s="25"/>
      <c r="P237" s="78">
        <v>46021</v>
      </c>
      <c r="Q237" s="81"/>
      <c r="R237" s="26" t="s">
        <v>1153</v>
      </c>
      <c r="S237" s="21"/>
      <c r="T237" s="32" t="s">
        <v>68</v>
      </c>
      <c r="U237" s="21"/>
    </row>
    <row r="238" spans="1:21" ht="20.100000000000001" hidden="1" customHeight="1" x14ac:dyDescent="0.3">
      <c r="A238" s="44">
        <v>230</v>
      </c>
      <c r="B238" s="78">
        <v>46021</v>
      </c>
      <c r="C238" s="145"/>
      <c r="D238" s="80" t="s">
        <v>1151</v>
      </c>
      <c r="E238" s="148"/>
      <c r="F238" s="82">
        <v>96</v>
      </c>
      <c r="G238" s="82">
        <v>500</v>
      </c>
      <c r="H238" s="82">
        <f t="shared" si="23"/>
        <v>48000</v>
      </c>
      <c r="I238" s="144" t="s">
        <v>1122</v>
      </c>
      <c r="J238" s="145"/>
      <c r="K238" s="91">
        <v>405</v>
      </c>
      <c r="L238" s="92">
        <v>0.18</v>
      </c>
      <c r="M238" s="31">
        <f t="shared" si="24"/>
        <v>72.899999999999991</v>
      </c>
      <c r="N238" s="31">
        <f t="shared" si="25"/>
        <v>477.9</v>
      </c>
      <c r="O238" s="25"/>
      <c r="P238" s="78">
        <v>46021</v>
      </c>
      <c r="Q238" s="81"/>
      <c r="R238" s="26" t="s">
        <v>1153</v>
      </c>
      <c r="S238" s="21"/>
      <c r="T238" s="32" t="s">
        <v>68</v>
      </c>
      <c r="U238" s="21"/>
    </row>
    <row r="239" spans="1:21" ht="20.100000000000001" hidden="1" customHeight="1" x14ac:dyDescent="0.3">
      <c r="A239" s="44">
        <v>231</v>
      </c>
      <c r="B239" s="78">
        <v>46021</v>
      </c>
      <c r="C239" s="145"/>
      <c r="D239" s="80" t="s">
        <v>507</v>
      </c>
      <c r="E239" s="148"/>
      <c r="F239" s="82">
        <v>20</v>
      </c>
      <c r="G239" s="82">
        <v>5</v>
      </c>
      <c r="H239" s="82">
        <f t="shared" si="23"/>
        <v>100</v>
      </c>
      <c r="I239" s="144" t="s">
        <v>56</v>
      </c>
      <c r="J239" s="145"/>
      <c r="K239" s="91">
        <v>1172</v>
      </c>
      <c r="L239" s="92">
        <v>0.18</v>
      </c>
      <c r="M239" s="31">
        <f t="shared" si="24"/>
        <v>210.95999999999998</v>
      </c>
      <c r="N239" s="31">
        <f t="shared" si="25"/>
        <v>1382.96</v>
      </c>
      <c r="O239" s="25"/>
      <c r="P239" s="78">
        <v>46021</v>
      </c>
      <c r="Q239" s="81"/>
      <c r="R239" s="26" t="s">
        <v>1153</v>
      </c>
      <c r="S239" s="21"/>
      <c r="T239" s="32" t="s">
        <v>68</v>
      </c>
      <c r="U239" s="21"/>
    </row>
    <row r="240" spans="1:21" ht="20.100000000000001" hidden="1" customHeight="1" x14ac:dyDescent="0.3">
      <c r="A240" s="44">
        <v>232</v>
      </c>
      <c r="B240" s="78">
        <v>46021</v>
      </c>
      <c r="C240" s="145"/>
      <c r="D240" s="80" t="s">
        <v>715</v>
      </c>
      <c r="E240" s="148"/>
      <c r="F240" s="82">
        <v>20</v>
      </c>
      <c r="G240" s="82">
        <v>50</v>
      </c>
      <c r="H240" s="82">
        <f t="shared" si="23"/>
        <v>1000</v>
      </c>
      <c r="I240" s="144" t="s">
        <v>109</v>
      </c>
      <c r="J240" s="145"/>
      <c r="K240" s="91">
        <v>1000</v>
      </c>
      <c r="L240" s="92">
        <v>0.18</v>
      </c>
      <c r="M240" s="31">
        <f t="shared" si="24"/>
        <v>180</v>
      </c>
      <c r="N240" s="31">
        <f t="shared" si="25"/>
        <v>1180</v>
      </c>
      <c r="O240" s="25"/>
      <c r="P240" s="78">
        <v>46021</v>
      </c>
      <c r="Q240" s="81"/>
      <c r="R240" s="26" t="s">
        <v>1153</v>
      </c>
      <c r="S240" s="21"/>
      <c r="T240" s="32" t="s">
        <v>68</v>
      </c>
      <c r="U240" s="21"/>
    </row>
    <row r="241" spans="1:21" ht="20.100000000000001" hidden="1" customHeight="1" x14ac:dyDescent="0.3">
      <c r="A241" s="44">
        <v>233</v>
      </c>
      <c r="B241" s="78">
        <v>46021</v>
      </c>
      <c r="C241" s="145"/>
      <c r="D241" s="80" t="s">
        <v>1152</v>
      </c>
      <c r="E241" s="145" t="s">
        <v>717</v>
      </c>
      <c r="F241" s="63">
        <v>5</v>
      </c>
      <c r="G241" s="63">
        <v>100</v>
      </c>
      <c r="H241" s="82">
        <f t="shared" si="23"/>
        <v>500</v>
      </c>
      <c r="I241" s="144" t="s">
        <v>109</v>
      </c>
      <c r="J241" s="145" t="s">
        <v>717</v>
      </c>
      <c r="K241" s="89">
        <v>6647</v>
      </c>
      <c r="L241" s="92"/>
      <c r="M241" s="31">
        <f t="shared" si="24"/>
        <v>0</v>
      </c>
      <c r="N241" s="31">
        <f t="shared" si="25"/>
        <v>6647</v>
      </c>
      <c r="O241" s="25"/>
      <c r="P241" s="78">
        <v>46021</v>
      </c>
      <c r="Q241" s="81"/>
      <c r="R241" s="26" t="s">
        <v>1153</v>
      </c>
      <c r="S241" s="21"/>
      <c r="T241" s="32" t="s">
        <v>68</v>
      </c>
      <c r="U241" s="21"/>
    </row>
    <row r="242" spans="1:21" ht="20.100000000000001" hidden="1" customHeight="1" x14ac:dyDescent="0.3">
      <c r="A242" s="44">
        <v>234</v>
      </c>
      <c r="B242" s="78">
        <v>46021</v>
      </c>
      <c r="C242" s="145"/>
      <c r="D242" s="80" t="s">
        <v>256</v>
      </c>
      <c r="E242" s="148"/>
      <c r="F242" s="82">
        <v>150</v>
      </c>
      <c r="G242" s="82">
        <v>2000</v>
      </c>
      <c r="H242" s="82">
        <f t="shared" si="23"/>
        <v>300000</v>
      </c>
      <c r="I242" s="144" t="s">
        <v>51</v>
      </c>
      <c r="J242" s="145"/>
      <c r="K242" s="91">
        <v>120</v>
      </c>
      <c r="L242" s="92">
        <v>0.05</v>
      </c>
      <c r="M242" s="31">
        <f t="shared" si="24"/>
        <v>6</v>
      </c>
      <c r="N242" s="31">
        <f t="shared" si="25"/>
        <v>126</v>
      </c>
      <c r="O242" s="25"/>
      <c r="P242" s="78">
        <v>46021</v>
      </c>
      <c r="Q242" s="81"/>
      <c r="R242" s="26" t="s">
        <v>1154</v>
      </c>
      <c r="S242" s="21"/>
      <c r="T242" s="32" t="s">
        <v>309</v>
      </c>
      <c r="U242" s="21"/>
    </row>
    <row r="243" spans="1:21" ht="20.100000000000001" hidden="1" customHeight="1" x14ac:dyDescent="0.3">
      <c r="A243" s="44">
        <v>235</v>
      </c>
      <c r="B243" s="78">
        <v>46021</v>
      </c>
      <c r="C243" s="145"/>
      <c r="D243" s="80" t="s">
        <v>943</v>
      </c>
      <c r="E243" s="148"/>
      <c r="F243" s="82">
        <v>150</v>
      </c>
      <c r="G243" s="82">
        <v>60</v>
      </c>
      <c r="H243" s="82">
        <f t="shared" si="23"/>
        <v>9000</v>
      </c>
      <c r="I243" s="144" t="s">
        <v>230</v>
      </c>
      <c r="J243" s="145"/>
      <c r="K243" s="91">
        <v>2</v>
      </c>
      <c r="L243" s="92">
        <v>0.05</v>
      </c>
      <c r="M243" s="31">
        <f t="shared" si="24"/>
        <v>0.1</v>
      </c>
      <c r="N243" s="31">
        <f t="shared" si="25"/>
        <v>2.1</v>
      </c>
      <c r="O243" s="25"/>
      <c r="P243" s="78">
        <v>46021</v>
      </c>
      <c r="Q243" s="81"/>
      <c r="R243" s="26" t="s">
        <v>1154</v>
      </c>
      <c r="S243" s="21"/>
      <c r="T243" s="32" t="s">
        <v>309</v>
      </c>
      <c r="U243" s="21"/>
    </row>
    <row r="244" spans="1:21" ht="20.100000000000001" hidden="1" customHeight="1" x14ac:dyDescent="0.3">
      <c r="A244" s="44">
        <v>236</v>
      </c>
      <c r="B244" s="78">
        <v>46021</v>
      </c>
      <c r="C244" s="145"/>
      <c r="D244" s="80" t="s">
        <v>1103</v>
      </c>
      <c r="E244" s="148"/>
      <c r="F244" s="82">
        <v>36</v>
      </c>
      <c r="G244" s="82">
        <v>500</v>
      </c>
      <c r="H244" s="82">
        <f t="shared" si="23"/>
        <v>18000</v>
      </c>
      <c r="I244" s="144" t="s">
        <v>1122</v>
      </c>
      <c r="J244" s="145"/>
      <c r="K244" s="91">
        <v>8194</v>
      </c>
      <c r="L244" s="92">
        <v>0.05</v>
      </c>
      <c r="M244" s="31">
        <f t="shared" si="24"/>
        <v>409.70000000000005</v>
      </c>
      <c r="N244" s="31">
        <f t="shared" si="25"/>
        <v>8603.7000000000007</v>
      </c>
      <c r="O244" s="25"/>
      <c r="P244" s="78">
        <v>46021</v>
      </c>
      <c r="Q244" s="81"/>
      <c r="R244" s="26" t="s">
        <v>1155</v>
      </c>
      <c r="S244" s="21"/>
      <c r="T244" s="32" t="s">
        <v>1006</v>
      </c>
      <c r="U244" s="21"/>
    </row>
    <row r="245" spans="1:21" ht="20.100000000000001" customHeight="1" x14ac:dyDescent="0.3">
      <c r="A245" s="44">
        <v>237</v>
      </c>
      <c r="B245" s="78">
        <v>46031</v>
      </c>
      <c r="C245" s="145"/>
      <c r="D245" s="80" t="s">
        <v>1073</v>
      </c>
      <c r="E245" s="148"/>
      <c r="F245" s="82">
        <v>40</v>
      </c>
      <c r="G245" s="82">
        <v>5</v>
      </c>
      <c r="H245" s="82">
        <f t="shared" si="23"/>
        <v>200</v>
      </c>
      <c r="I245" s="144" t="s">
        <v>18</v>
      </c>
      <c r="J245" s="145"/>
      <c r="K245" s="91">
        <v>4750</v>
      </c>
      <c r="L245" s="92"/>
      <c r="M245" s="31">
        <f t="shared" si="24"/>
        <v>0</v>
      </c>
      <c r="N245" s="31">
        <f t="shared" si="25"/>
        <v>4750</v>
      </c>
      <c r="O245" s="25"/>
      <c r="P245" s="78">
        <v>46032</v>
      </c>
      <c r="Q245" s="81"/>
      <c r="R245" s="26" t="s">
        <v>1157</v>
      </c>
      <c r="S245" s="21"/>
      <c r="T245" s="32" t="s">
        <v>1075</v>
      </c>
      <c r="U245" s="21"/>
    </row>
    <row r="246" spans="1:21" ht="20.100000000000001" hidden="1" customHeight="1" x14ac:dyDescent="0.3">
      <c r="A246" s="44">
        <v>238</v>
      </c>
      <c r="B246" s="111">
        <v>46021</v>
      </c>
      <c r="C246" s="145"/>
      <c r="D246" s="80" t="s">
        <v>694</v>
      </c>
      <c r="E246" s="148"/>
      <c r="F246" s="82">
        <v>20</v>
      </c>
      <c r="G246" s="82">
        <v>5</v>
      </c>
      <c r="H246" s="82">
        <f t="shared" si="23"/>
        <v>100</v>
      </c>
      <c r="I246" s="144" t="s">
        <v>56</v>
      </c>
      <c r="J246" s="145"/>
      <c r="K246" s="91">
        <v>4930</v>
      </c>
      <c r="L246" s="92">
        <v>0.18</v>
      </c>
      <c r="M246" s="31">
        <f t="shared" si="24"/>
        <v>887.4</v>
      </c>
      <c r="N246" s="31">
        <f t="shared" si="25"/>
        <v>5817.4</v>
      </c>
      <c r="O246" s="25"/>
      <c r="P246" s="78">
        <v>46032</v>
      </c>
      <c r="Q246" s="81"/>
      <c r="R246" s="26" t="s">
        <v>1158</v>
      </c>
      <c r="S246" s="21"/>
      <c r="T246" s="32" t="s">
        <v>609</v>
      </c>
      <c r="U246" s="21"/>
    </row>
    <row r="247" spans="1:21" ht="20.100000000000001" hidden="1" customHeight="1" x14ac:dyDescent="0.3">
      <c r="A247" s="44">
        <v>239</v>
      </c>
      <c r="B247" s="78">
        <v>46031</v>
      </c>
      <c r="C247" s="145"/>
      <c r="D247" s="80" t="s">
        <v>1045</v>
      </c>
      <c r="E247" s="148"/>
      <c r="F247" s="82">
        <v>8</v>
      </c>
      <c r="G247" s="82">
        <v>25</v>
      </c>
      <c r="H247" s="82">
        <f t="shared" si="23"/>
        <v>200</v>
      </c>
      <c r="I247" s="144" t="s">
        <v>18</v>
      </c>
      <c r="J247" s="145"/>
      <c r="K247" s="91">
        <v>18750</v>
      </c>
      <c r="L247" s="92"/>
      <c r="M247" s="31">
        <f t="shared" si="24"/>
        <v>0</v>
      </c>
      <c r="N247" s="31">
        <f t="shared" si="25"/>
        <v>18750</v>
      </c>
      <c r="O247" s="25"/>
      <c r="P247" s="78">
        <v>46032</v>
      </c>
      <c r="Q247" s="81"/>
      <c r="R247" s="26" t="s">
        <v>1159</v>
      </c>
      <c r="S247" s="21"/>
      <c r="T247" s="32" t="s">
        <v>1047</v>
      </c>
      <c r="U247" s="21"/>
    </row>
    <row r="248" spans="1:21" ht="20.100000000000001" hidden="1" customHeight="1" x14ac:dyDescent="0.3">
      <c r="A248" s="44">
        <v>240</v>
      </c>
      <c r="B248" s="78">
        <v>46031</v>
      </c>
      <c r="C248" s="145"/>
      <c r="D248" s="80" t="s">
        <v>402</v>
      </c>
      <c r="E248" s="148"/>
      <c r="F248" s="82">
        <v>100</v>
      </c>
      <c r="G248" s="82">
        <v>1</v>
      </c>
      <c r="H248" s="82">
        <f t="shared" si="23"/>
        <v>100</v>
      </c>
      <c r="I248" s="144" t="s">
        <v>18</v>
      </c>
      <c r="J248" s="145"/>
      <c r="K248" s="91">
        <v>720</v>
      </c>
      <c r="L248" s="92"/>
      <c r="M248" s="31">
        <f t="shared" si="24"/>
        <v>0</v>
      </c>
      <c r="N248" s="31">
        <f t="shared" si="25"/>
        <v>720</v>
      </c>
      <c r="O248" s="25"/>
      <c r="P248" s="78">
        <v>46032</v>
      </c>
      <c r="Q248" s="81"/>
      <c r="R248" s="26" t="s">
        <v>1160</v>
      </c>
      <c r="S248" s="21"/>
      <c r="T248" s="32" t="s">
        <v>955</v>
      </c>
      <c r="U248" s="21"/>
    </row>
    <row r="249" spans="1:21" ht="20.100000000000001" hidden="1" customHeight="1" x14ac:dyDescent="0.3">
      <c r="A249" s="44">
        <v>241</v>
      </c>
      <c r="B249" s="78">
        <v>46031</v>
      </c>
      <c r="C249" s="145"/>
      <c r="D249" s="80" t="s">
        <v>1156</v>
      </c>
      <c r="E249" s="148"/>
      <c r="F249" s="82">
        <v>40</v>
      </c>
      <c r="G249" s="82">
        <v>25</v>
      </c>
      <c r="H249" s="82">
        <v>1000</v>
      </c>
      <c r="I249" s="144" t="s">
        <v>1141</v>
      </c>
      <c r="J249" s="145"/>
      <c r="K249" s="91">
        <v>2950</v>
      </c>
      <c r="L249" s="92"/>
      <c r="M249" s="31">
        <f t="shared" si="24"/>
        <v>0</v>
      </c>
      <c r="N249" s="31">
        <f t="shared" si="25"/>
        <v>2950</v>
      </c>
      <c r="O249" s="25"/>
      <c r="P249" s="78">
        <v>46035</v>
      </c>
      <c r="Q249" s="81"/>
      <c r="R249" s="26" t="s">
        <v>1161</v>
      </c>
      <c r="S249" s="21"/>
      <c r="T249" s="32" t="s">
        <v>98</v>
      </c>
      <c r="U249" s="21"/>
    </row>
    <row r="250" spans="1:21" ht="20.100000000000001" hidden="1" customHeight="1" x14ac:dyDescent="0.3">
      <c r="A250" s="44">
        <v>242</v>
      </c>
      <c r="B250" s="78">
        <v>46051</v>
      </c>
      <c r="C250" s="145"/>
      <c r="D250" s="80" t="s">
        <v>733</v>
      </c>
      <c r="E250" s="148"/>
      <c r="F250" s="82">
        <v>120</v>
      </c>
      <c r="G250" s="82">
        <v>5</v>
      </c>
      <c r="H250" s="82">
        <f t="shared" si="23"/>
        <v>600</v>
      </c>
      <c r="I250" s="144" t="s">
        <v>56</v>
      </c>
      <c r="J250" s="145"/>
      <c r="K250" s="91">
        <v>980</v>
      </c>
      <c r="L250" s="92"/>
      <c r="M250" s="31">
        <f t="shared" si="24"/>
        <v>0</v>
      </c>
      <c r="N250" s="31">
        <f t="shared" si="25"/>
        <v>980</v>
      </c>
      <c r="O250" s="25"/>
      <c r="P250" s="78">
        <v>46052</v>
      </c>
      <c r="Q250" s="81"/>
      <c r="R250" s="26" t="s">
        <v>1162</v>
      </c>
      <c r="S250" s="21"/>
      <c r="T250" s="32" t="s">
        <v>953</v>
      </c>
      <c r="U250" s="21"/>
    </row>
    <row r="251" spans="1:21" ht="20.100000000000001" hidden="1" customHeight="1" x14ac:dyDescent="0.3">
      <c r="A251" s="44">
        <v>243</v>
      </c>
      <c r="B251" s="78">
        <v>46051</v>
      </c>
      <c r="C251" s="145"/>
      <c r="D251" s="80" t="s">
        <v>886</v>
      </c>
      <c r="E251" s="148"/>
      <c r="F251" s="82">
        <v>39</v>
      </c>
      <c r="G251" s="82">
        <v>1000</v>
      </c>
      <c r="H251" s="82">
        <f t="shared" ref="H251:H300" si="28">F251*G251</f>
        <v>39000</v>
      </c>
      <c r="I251" s="144" t="s">
        <v>51</v>
      </c>
      <c r="J251" s="145"/>
      <c r="K251" s="91">
        <v>945.02</v>
      </c>
      <c r="L251" s="92">
        <v>0.05</v>
      </c>
      <c r="M251" s="31">
        <f t="shared" ref="M251:M300" si="29">K251*L251</f>
        <v>47.251000000000005</v>
      </c>
      <c r="N251" s="31">
        <f t="shared" ref="N251:N300" si="30">K251+M251</f>
        <v>992.27099999999996</v>
      </c>
      <c r="O251" s="25"/>
      <c r="P251" s="78">
        <v>46052</v>
      </c>
      <c r="Q251" s="81"/>
      <c r="R251" s="26" t="s">
        <v>1163</v>
      </c>
      <c r="S251" s="21"/>
      <c r="T251" s="32" t="s">
        <v>1040</v>
      </c>
      <c r="U251" s="21"/>
    </row>
    <row r="252" spans="1:21" ht="20.100000000000001" hidden="1" customHeight="1" x14ac:dyDescent="0.3">
      <c r="A252" s="44">
        <v>244</v>
      </c>
      <c r="B252" s="78">
        <v>46051</v>
      </c>
      <c r="C252" s="145"/>
      <c r="D252" s="80" t="s">
        <v>887</v>
      </c>
      <c r="E252" s="148"/>
      <c r="F252" s="82">
        <v>39</v>
      </c>
      <c r="G252" s="82">
        <v>1000</v>
      </c>
      <c r="H252" s="82">
        <f t="shared" ref="H252" si="31">F252*G252</f>
        <v>39000</v>
      </c>
      <c r="I252" s="144" t="s">
        <v>51</v>
      </c>
      <c r="J252" s="145"/>
      <c r="K252" s="91">
        <v>2499</v>
      </c>
      <c r="L252" s="92">
        <v>0.05</v>
      </c>
      <c r="M252" s="31">
        <f t="shared" si="29"/>
        <v>124.95</v>
      </c>
      <c r="N252" s="31">
        <f t="shared" si="30"/>
        <v>2623.95</v>
      </c>
      <c r="O252" s="25"/>
      <c r="P252" s="78">
        <v>46052</v>
      </c>
      <c r="Q252" s="81"/>
      <c r="R252" s="26" t="s">
        <v>1163</v>
      </c>
      <c r="S252" s="21"/>
      <c r="T252" s="32" t="s">
        <v>1040</v>
      </c>
      <c r="U252" s="21"/>
    </row>
    <row r="253" spans="1:21" ht="20.100000000000001" hidden="1" customHeight="1" x14ac:dyDescent="0.3">
      <c r="A253" s="44">
        <v>245</v>
      </c>
      <c r="B253" s="78">
        <v>46051</v>
      </c>
      <c r="C253" s="145"/>
      <c r="D253" s="80" t="s">
        <v>1165</v>
      </c>
      <c r="E253" s="148"/>
      <c r="F253" s="82">
        <v>77</v>
      </c>
      <c r="G253" s="82">
        <v>1000</v>
      </c>
      <c r="H253" s="82">
        <f t="shared" si="28"/>
        <v>77000</v>
      </c>
      <c r="I253" s="144" t="s">
        <v>51</v>
      </c>
      <c r="J253" s="145"/>
      <c r="K253" s="91">
        <v>2200</v>
      </c>
      <c r="L253" s="92">
        <v>0.05</v>
      </c>
      <c r="M253" s="31">
        <f t="shared" si="29"/>
        <v>110</v>
      </c>
      <c r="N253" s="31">
        <f t="shared" si="30"/>
        <v>2310</v>
      </c>
      <c r="O253" s="25"/>
      <c r="P253" s="78">
        <v>46052</v>
      </c>
      <c r="Q253" s="81"/>
      <c r="R253" s="26" t="s">
        <v>1166</v>
      </c>
      <c r="S253" s="21"/>
      <c r="T253" s="32" t="s">
        <v>309</v>
      </c>
      <c r="U253" s="21"/>
    </row>
    <row r="254" spans="1:21" ht="20.100000000000001" hidden="1" customHeight="1" x14ac:dyDescent="0.3">
      <c r="A254" s="44">
        <v>246</v>
      </c>
      <c r="B254" s="78">
        <v>46051</v>
      </c>
      <c r="C254" s="145"/>
      <c r="D254" s="80" t="s">
        <v>1164</v>
      </c>
      <c r="E254" s="148"/>
      <c r="F254" s="82">
        <v>43</v>
      </c>
      <c r="G254" s="82">
        <v>1000</v>
      </c>
      <c r="H254" s="82">
        <f t="shared" si="28"/>
        <v>43000</v>
      </c>
      <c r="I254" s="144" t="s">
        <v>51</v>
      </c>
      <c r="J254" s="145"/>
      <c r="K254" s="91">
        <v>2867</v>
      </c>
      <c r="L254" s="92">
        <v>0.05</v>
      </c>
      <c r="M254" s="31">
        <f t="shared" si="29"/>
        <v>143.35</v>
      </c>
      <c r="N254" s="31">
        <f t="shared" si="30"/>
        <v>3010.35</v>
      </c>
      <c r="O254" s="25"/>
      <c r="P254" s="78">
        <v>46052</v>
      </c>
      <c r="Q254" s="81"/>
      <c r="R254" s="26" t="s">
        <v>1166</v>
      </c>
      <c r="S254" s="21"/>
      <c r="T254" s="32" t="s">
        <v>309</v>
      </c>
      <c r="U254" s="21"/>
    </row>
    <row r="255" spans="1:21" ht="20.100000000000001" hidden="1" customHeight="1" x14ac:dyDescent="0.3">
      <c r="A255" s="44">
        <v>247</v>
      </c>
      <c r="B255" s="78">
        <v>46051</v>
      </c>
      <c r="C255" s="145"/>
      <c r="D255" s="80" t="s">
        <v>557</v>
      </c>
      <c r="E255" s="148"/>
      <c r="F255" s="82">
        <v>78</v>
      </c>
      <c r="G255" s="82">
        <v>1000</v>
      </c>
      <c r="H255" s="82">
        <f t="shared" si="28"/>
        <v>78000</v>
      </c>
      <c r="I255" s="144" t="s">
        <v>51</v>
      </c>
      <c r="J255" s="145"/>
      <c r="K255" s="91">
        <v>5304</v>
      </c>
      <c r="L255" s="92">
        <v>0.05</v>
      </c>
      <c r="M255" s="31">
        <f t="shared" si="29"/>
        <v>265.2</v>
      </c>
      <c r="N255" s="31">
        <f t="shared" si="30"/>
        <v>5569.2</v>
      </c>
      <c r="O255" s="25"/>
      <c r="P255" s="78">
        <v>46052</v>
      </c>
      <c r="Q255" s="81"/>
      <c r="R255" s="26" t="s">
        <v>1166</v>
      </c>
      <c r="S255" s="21"/>
      <c r="T255" s="32" t="s">
        <v>309</v>
      </c>
      <c r="U255" s="21"/>
    </row>
    <row r="256" spans="1:21" ht="20.100000000000001" hidden="1" customHeight="1" x14ac:dyDescent="0.3">
      <c r="A256" s="44">
        <v>248</v>
      </c>
      <c r="B256" s="78">
        <v>46051</v>
      </c>
      <c r="C256" s="145"/>
      <c r="D256" s="80" t="s">
        <v>523</v>
      </c>
      <c r="E256" s="148"/>
      <c r="F256" s="82">
        <v>60</v>
      </c>
      <c r="G256" s="82">
        <v>2500</v>
      </c>
      <c r="H256" s="82">
        <f t="shared" si="28"/>
        <v>150000</v>
      </c>
      <c r="I256" s="144" t="s">
        <v>51</v>
      </c>
      <c r="J256" s="145"/>
      <c r="K256" s="91">
        <v>785</v>
      </c>
      <c r="L256" s="92">
        <v>0.05</v>
      </c>
      <c r="M256" s="31">
        <f t="shared" si="29"/>
        <v>39.25</v>
      </c>
      <c r="N256" s="31">
        <f t="shared" si="30"/>
        <v>824.25</v>
      </c>
      <c r="O256" s="25"/>
      <c r="P256" s="78">
        <v>46052</v>
      </c>
      <c r="Q256" s="81"/>
      <c r="R256" s="26" t="s">
        <v>1167</v>
      </c>
      <c r="S256" s="21"/>
      <c r="T256" s="32" t="s">
        <v>265</v>
      </c>
      <c r="U256" s="21"/>
    </row>
    <row r="257" spans="1:21" ht="20.100000000000001" hidden="1" customHeight="1" x14ac:dyDescent="0.3">
      <c r="A257" s="44">
        <v>249</v>
      </c>
      <c r="B257" s="78">
        <v>46051</v>
      </c>
      <c r="C257" s="145"/>
      <c r="D257" s="80" t="s">
        <v>402</v>
      </c>
      <c r="E257" s="148"/>
      <c r="F257" s="82">
        <v>100</v>
      </c>
      <c r="G257" s="82">
        <v>1</v>
      </c>
      <c r="H257" s="82">
        <f t="shared" si="28"/>
        <v>100</v>
      </c>
      <c r="I257" s="144" t="s">
        <v>18</v>
      </c>
      <c r="J257" s="145"/>
      <c r="K257" s="91">
        <v>720</v>
      </c>
      <c r="L257" s="92"/>
      <c r="M257" s="31">
        <f t="shared" si="29"/>
        <v>0</v>
      </c>
      <c r="N257" s="31">
        <f t="shared" si="30"/>
        <v>720</v>
      </c>
      <c r="O257" s="25"/>
      <c r="P257" s="78">
        <v>46052</v>
      </c>
      <c r="Q257" s="81"/>
      <c r="R257" s="26" t="s">
        <v>1168</v>
      </c>
      <c r="S257" s="21"/>
      <c r="T257" s="32" t="s">
        <v>955</v>
      </c>
      <c r="U257" s="21"/>
    </row>
    <row r="258" spans="1:21" ht="20.100000000000001" hidden="1" customHeight="1" x14ac:dyDescent="0.3">
      <c r="A258" s="44">
        <v>250</v>
      </c>
      <c r="B258" s="78" t="s">
        <v>189</v>
      </c>
      <c r="C258" s="145"/>
      <c r="D258" s="80" t="s">
        <v>1169</v>
      </c>
      <c r="E258" s="148"/>
      <c r="F258" s="82">
        <v>20</v>
      </c>
      <c r="G258" s="82">
        <v>25</v>
      </c>
      <c r="H258" s="82">
        <f t="shared" si="28"/>
        <v>500</v>
      </c>
      <c r="I258" s="144" t="s">
        <v>18</v>
      </c>
      <c r="J258" s="145"/>
      <c r="K258" s="91">
        <v>3500</v>
      </c>
      <c r="L258" s="92"/>
      <c r="M258" s="31">
        <f t="shared" si="29"/>
        <v>0</v>
      </c>
      <c r="N258" s="31">
        <f t="shared" si="30"/>
        <v>3500</v>
      </c>
      <c r="O258" s="25"/>
      <c r="P258" s="78">
        <v>46059</v>
      </c>
      <c r="Q258" s="81"/>
      <c r="R258" s="26" t="s">
        <v>1170</v>
      </c>
      <c r="S258" s="21"/>
      <c r="T258" s="32" t="s">
        <v>1171</v>
      </c>
      <c r="U258" s="21"/>
    </row>
    <row r="259" spans="1:21" ht="20.100000000000001" hidden="1" customHeight="1" x14ac:dyDescent="0.3">
      <c r="A259" s="44">
        <v>251</v>
      </c>
      <c r="B259" s="78">
        <v>46085</v>
      </c>
      <c r="C259" s="145"/>
      <c r="D259" s="80" t="s">
        <v>1173</v>
      </c>
      <c r="E259" s="148"/>
      <c r="F259" s="82">
        <v>400</v>
      </c>
      <c r="G259" s="82">
        <v>50</v>
      </c>
      <c r="H259" s="82">
        <f t="shared" si="28"/>
        <v>20000</v>
      </c>
      <c r="I259" s="144" t="s">
        <v>230</v>
      </c>
      <c r="J259" s="145"/>
      <c r="K259" s="91">
        <v>116</v>
      </c>
      <c r="L259" s="92">
        <v>0.05</v>
      </c>
      <c r="M259" s="31">
        <f t="shared" si="29"/>
        <v>5.8000000000000007</v>
      </c>
      <c r="N259" s="31">
        <f t="shared" si="30"/>
        <v>121.8</v>
      </c>
      <c r="O259" s="25"/>
      <c r="P259" s="78">
        <v>46086</v>
      </c>
      <c r="Q259" s="81"/>
      <c r="R259" s="26" t="s">
        <v>1174</v>
      </c>
      <c r="S259" s="21"/>
      <c r="T259" s="32" t="s">
        <v>609</v>
      </c>
      <c r="U259" s="21"/>
    </row>
    <row r="260" spans="1:21" ht="20.100000000000001" hidden="1" customHeight="1" x14ac:dyDescent="0.3">
      <c r="A260" s="44">
        <v>252</v>
      </c>
      <c r="B260" s="78">
        <v>46085</v>
      </c>
      <c r="C260" s="145"/>
      <c r="D260" s="80" t="s">
        <v>1172</v>
      </c>
      <c r="E260" s="148"/>
      <c r="F260" s="82">
        <v>20</v>
      </c>
      <c r="G260" s="82">
        <v>5</v>
      </c>
      <c r="H260" s="82">
        <f t="shared" si="28"/>
        <v>100</v>
      </c>
      <c r="I260" s="144" t="s">
        <v>18</v>
      </c>
      <c r="J260" s="145"/>
      <c r="K260" s="91">
        <v>8740</v>
      </c>
      <c r="L260" s="92">
        <v>0.18</v>
      </c>
      <c r="M260" s="31">
        <f t="shared" si="29"/>
        <v>1573.2</v>
      </c>
      <c r="N260" s="31">
        <f t="shared" si="30"/>
        <v>10313.200000000001</v>
      </c>
      <c r="O260" s="25"/>
      <c r="P260" s="78">
        <v>46086</v>
      </c>
      <c r="Q260" s="81"/>
      <c r="R260" s="26" t="s">
        <v>1174</v>
      </c>
      <c r="S260" s="21"/>
      <c r="T260" s="32" t="s">
        <v>609</v>
      </c>
      <c r="U260" s="21"/>
    </row>
    <row r="261" spans="1:21" ht="20.100000000000001" customHeight="1" x14ac:dyDescent="0.3">
      <c r="A261" s="44">
        <v>253</v>
      </c>
      <c r="B261" s="78">
        <v>46085</v>
      </c>
      <c r="C261" s="145"/>
      <c r="D261" s="24" t="s">
        <v>1067</v>
      </c>
      <c r="E261" s="147"/>
      <c r="F261" s="26">
        <v>8</v>
      </c>
      <c r="G261" s="26">
        <v>25</v>
      </c>
      <c r="H261" s="26">
        <f t="shared" si="28"/>
        <v>200</v>
      </c>
      <c r="I261" s="115" t="s">
        <v>18</v>
      </c>
      <c r="J261" s="151"/>
      <c r="K261" s="29">
        <v>9000</v>
      </c>
      <c r="L261" s="92"/>
      <c r="M261" s="31">
        <f t="shared" si="29"/>
        <v>0</v>
      </c>
      <c r="N261" s="31">
        <f t="shared" si="30"/>
        <v>9000</v>
      </c>
      <c r="O261" s="25"/>
      <c r="P261" s="78">
        <v>46086</v>
      </c>
      <c r="Q261" s="81"/>
      <c r="R261" s="26" t="s">
        <v>1175</v>
      </c>
      <c r="S261" s="21"/>
      <c r="T261" s="32" t="s">
        <v>1069</v>
      </c>
      <c r="U261" s="21"/>
    </row>
    <row r="262" spans="1:21" ht="20.100000000000001" customHeight="1" x14ac:dyDescent="0.3">
      <c r="A262" s="44">
        <v>254</v>
      </c>
      <c r="B262" s="78">
        <v>46085</v>
      </c>
      <c r="C262" s="145"/>
      <c r="D262" s="24" t="s">
        <v>1099</v>
      </c>
      <c r="E262" s="147"/>
      <c r="F262" s="26">
        <v>24</v>
      </c>
      <c r="G262" s="26">
        <v>25</v>
      </c>
      <c r="H262" s="26">
        <f t="shared" si="28"/>
        <v>600</v>
      </c>
      <c r="I262" s="115" t="s">
        <v>18</v>
      </c>
      <c r="J262" s="151"/>
      <c r="K262" s="29">
        <v>5825</v>
      </c>
      <c r="L262" s="92"/>
      <c r="M262" s="31">
        <f t="shared" si="29"/>
        <v>0</v>
      </c>
      <c r="N262" s="31">
        <f t="shared" si="30"/>
        <v>5825</v>
      </c>
      <c r="O262" s="25"/>
      <c r="P262" s="78">
        <v>46086</v>
      </c>
      <c r="Q262" s="81"/>
      <c r="R262" s="26" t="s">
        <v>1175</v>
      </c>
      <c r="S262" s="21"/>
      <c r="T262" s="32" t="s">
        <v>1069</v>
      </c>
      <c r="U262" s="21"/>
    </row>
    <row r="263" spans="1:21" ht="20.100000000000001" customHeight="1" x14ac:dyDescent="0.3">
      <c r="A263" s="44">
        <v>255</v>
      </c>
      <c r="B263" s="78">
        <v>46085</v>
      </c>
      <c r="C263" s="145"/>
      <c r="D263" s="80" t="s">
        <v>1073</v>
      </c>
      <c r="E263" s="148"/>
      <c r="F263" s="82">
        <v>50</v>
      </c>
      <c r="G263" s="82">
        <v>5</v>
      </c>
      <c r="H263" s="82">
        <f t="shared" si="28"/>
        <v>250</v>
      </c>
      <c r="I263" s="144" t="s">
        <v>18</v>
      </c>
      <c r="J263" s="145"/>
      <c r="K263" s="91">
        <v>4750</v>
      </c>
      <c r="L263" s="92"/>
      <c r="M263" s="31">
        <f t="shared" si="29"/>
        <v>0</v>
      </c>
      <c r="N263" s="31">
        <f t="shared" si="30"/>
        <v>4750</v>
      </c>
      <c r="O263" s="25"/>
      <c r="P263" s="78">
        <v>46086</v>
      </c>
      <c r="Q263" s="81"/>
      <c r="R263" s="26" t="s">
        <v>1176</v>
      </c>
      <c r="S263" s="21"/>
      <c r="T263" s="32" t="s">
        <v>1075</v>
      </c>
      <c r="U263" s="21"/>
    </row>
    <row r="264" spans="1:21" ht="20.100000000000001" customHeight="1" x14ac:dyDescent="0.3">
      <c r="A264" s="44">
        <v>256</v>
      </c>
      <c r="B264" s="78">
        <v>46085</v>
      </c>
      <c r="C264" s="145"/>
      <c r="D264" s="80" t="s">
        <v>1076</v>
      </c>
      <c r="E264" s="148"/>
      <c r="F264" s="82">
        <v>8</v>
      </c>
      <c r="G264" s="82">
        <v>25</v>
      </c>
      <c r="H264" s="82">
        <f t="shared" si="28"/>
        <v>200</v>
      </c>
      <c r="I264" s="144" t="s">
        <v>18</v>
      </c>
      <c r="J264" s="145"/>
      <c r="K264" s="91">
        <v>10500</v>
      </c>
      <c r="L264" s="92"/>
      <c r="M264" s="31">
        <f t="shared" si="29"/>
        <v>0</v>
      </c>
      <c r="N264" s="31">
        <f t="shared" si="30"/>
        <v>10500</v>
      </c>
      <c r="O264" s="25"/>
      <c r="P264" s="78">
        <v>46086</v>
      </c>
      <c r="Q264" s="81"/>
      <c r="R264" s="26" t="s">
        <v>1177</v>
      </c>
      <c r="S264" s="21"/>
      <c r="T264" s="32" t="s">
        <v>1078</v>
      </c>
      <c r="U264" s="21"/>
    </row>
    <row r="265" spans="1:21" ht="20.100000000000001" hidden="1" customHeight="1" x14ac:dyDescent="0.3">
      <c r="A265" s="44">
        <v>257</v>
      </c>
      <c r="B265" s="78">
        <v>46085</v>
      </c>
      <c r="C265" s="145"/>
      <c r="D265" s="24" t="s">
        <v>1061</v>
      </c>
      <c r="E265" s="148"/>
      <c r="F265" s="82">
        <v>22</v>
      </c>
      <c r="G265" s="82">
        <v>25</v>
      </c>
      <c r="H265" s="82">
        <f t="shared" si="28"/>
        <v>550</v>
      </c>
      <c r="I265" s="144" t="s">
        <v>18</v>
      </c>
      <c r="J265" s="145"/>
      <c r="K265" s="91">
        <v>9750</v>
      </c>
      <c r="L265" s="92"/>
      <c r="M265" s="31">
        <f t="shared" si="29"/>
        <v>0</v>
      </c>
      <c r="N265" s="31">
        <f t="shared" si="30"/>
        <v>9750</v>
      </c>
      <c r="O265" s="25"/>
      <c r="P265" s="78">
        <v>46086</v>
      </c>
      <c r="Q265" s="81"/>
      <c r="R265" s="26" t="s">
        <v>1178</v>
      </c>
      <c r="S265" s="21"/>
      <c r="T265" s="32" t="s">
        <v>349</v>
      </c>
      <c r="U265" s="21"/>
    </row>
    <row r="266" spans="1:21" ht="20.100000000000001" hidden="1" customHeight="1" x14ac:dyDescent="0.3">
      <c r="A266" s="44">
        <v>258</v>
      </c>
      <c r="B266" s="78">
        <v>46085</v>
      </c>
      <c r="C266" s="145"/>
      <c r="D266" s="24" t="s">
        <v>1062</v>
      </c>
      <c r="E266" s="148"/>
      <c r="F266" s="82">
        <v>5</v>
      </c>
      <c r="G266" s="82">
        <v>25</v>
      </c>
      <c r="H266" s="82">
        <f t="shared" si="28"/>
        <v>125</v>
      </c>
      <c r="I266" s="144" t="s">
        <v>18</v>
      </c>
      <c r="J266" s="145"/>
      <c r="K266" s="91">
        <v>2625</v>
      </c>
      <c r="L266" s="92"/>
      <c r="M266" s="31">
        <f t="shared" si="29"/>
        <v>0</v>
      </c>
      <c r="N266" s="31">
        <f t="shared" si="30"/>
        <v>2625</v>
      </c>
      <c r="O266" s="25"/>
      <c r="P266" s="78">
        <v>46086</v>
      </c>
      <c r="Q266" s="81"/>
      <c r="R266" s="26" t="s">
        <v>1178</v>
      </c>
      <c r="S266" s="21"/>
      <c r="T266" s="32" t="s">
        <v>349</v>
      </c>
      <c r="U266" s="21"/>
    </row>
    <row r="267" spans="1:21" ht="20.100000000000001" hidden="1" customHeight="1" x14ac:dyDescent="0.3">
      <c r="A267" s="44">
        <v>259</v>
      </c>
      <c r="B267" s="78">
        <v>46085</v>
      </c>
      <c r="C267" s="145"/>
      <c r="D267" s="24" t="s">
        <v>1063</v>
      </c>
      <c r="E267" s="148"/>
      <c r="F267" s="82">
        <v>30</v>
      </c>
      <c r="G267" s="82">
        <v>25</v>
      </c>
      <c r="H267" s="82">
        <f t="shared" si="28"/>
        <v>750</v>
      </c>
      <c r="I267" s="144" t="s">
        <v>18</v>
      </c>
      <c r="J267" s="145"/>
      <c r="K267" s="91">
        <v>6500</v>
      </c>
      <c r="L267" s="92"/>
      <c r="M267" s="31">
        <f t="shared" si="29"/>
        <v>0</v>
      </c>
      <c r="N267" s="31">
        <f t="shared" si="30"/>
        <v>6500</v>
      </c>
      <c r="O267" s="25"/>
      <c r="P267" s="78">
        <v>46086</v>
      </c>
      <c r="Q267" s="81"/>
      <c r="R267" s="26" t="s">
        <v>1178</v>
      </c>
      <c r="S267" s="21"/>
      <c r="T267" s="32" t="s">
        <v>349</v>
      </c>
      <c r="U267" s="21"/>
    </row>
    <row r="268" spans="1:21" ht="20.100000000000001" hidden="1" customHeight="1" x14ac:dyDescent="0.3">
      <c r="A268" s="44">
        <v>260</v>
      </c>
      <c r="B268" s="78">
        <v>46085</v>
      </c>
      <c r="C268" s="145"/>
      <c r="D268" s="24" t="s">
        <v>1097</v>
      </c>
      <c r="E268" s="148"/>
      <c r="F268" s="82">
        <v>10</v>
      </c>
      <c r="G268" s="82">
        <v>25</v>
      </c>
      <c r="H268" s="82">
        <f t="shared" si="28"/>
        <v>250</v>
      </c>
      <c r="I268" s="144" t="s">
        <v>18</v>
      </c>
      <c r="J268" s="145"/>
      <c r="K268" s="91">
        <v>11250</v>
      </c>
      <c r="L268" s="92"/>
      <c r="M268" s="31">
        <f t="shared" si="29"/>
        <v>0</v>
      </c>
      <c r="N268" s="31">
        <f t="shared" si="30"/>
        <v>11250</v>
      </c>
      <c r="O268" s="25"/>
      <c r="P268" s="78">
        <v>46086</v>
      </c>
      <c r="Q268" s="81"/>
      <c r="R268" s="26" t="s">
        <v>1178</v>
      </c>
      <c r="S268" s="21"/>
      <c r="T268" s="32" t="s">
        <v>349</v>
      </c>
      <c r="U268" s="21"/>
    </row>
    <row r="269" spans="1:21" ht="20.100000000000001" hidden="1" customHeight="1" x14ac:dyDescent="0.3">
      <c r="A269" s="44">
        <v>261</v>
      </c>
      <c r="B269" s="78">
        <v>46085</v>
      </c>
      <c r="C269" s="145"/>
      <c r="D269" s="24" t="s">
        <v>1064</v>
      </c>
      <c r="E269" s="148"/>
      <c r="F269" s="82">
        <v>3</v>
      </c>
      <c r="G269" s="82">
        <v>25</v>
      </c>
      <c r="H269" s="82">
        <f t="shared" si="28"/>
        <v>75</v>
      </c>
      <c r="I269" s="144" t="s">
        <v>18</v>
      </c>
      <c r="J269" s="145"/>
      <c r="K269" s="91">
        <v>11250</v>
      </c>
      <c r="L269" s="92"/>
      <c r="M269" s="31">
        <f t="shared" si="29"/>
        <v>0</v>
      </c>
      <c r="N269" s="31">
        <f t="shared" si="30"/>
        <v>11250</v>
      </c>
      <c r="O269" s="25"/>
      <c r="P269" s="78">
        <v>46086</v>
      </c>
      <c r="Q269" s="81"/>
      <c r="R269" s="26" t="s">
        <v>1178</v>
      </c>
      <c r="S269" s="21"/>
      <c r="T269" s="32" t="s">
        <v>349</v>
      </c>
      <c r="U269" s="21"/>
    </row>
    <row r="270" spans="1:21" ht="20.100000000000001" hidden="1" customHeight="1" x14ac:dyDescent="0.3">
      <c r="A270" s="44">
        <v>262</v>
      </c>
      <c r="B270" s="78">
        <v>46085</v>
      </c>
      <c r="C270" s="145"/>
      <c r="D270" s="24" t="s">
        <v>1065</v>
      </c>
      <c r="E270" s="148"/>
      <c r="F270" s="82">
        <v>56</v>
      </c>
      <c r="G270" s="82">
        <v>25</v>
      </c>
      <c r="H270" s="82">
        <f t="shared" si="28"/>
        <v>1400</v>
      </c>
      <c r="I270" s="144" t="s">
        <v>18</v>
      </c>
      <c r="J270" s="145"/>
      <c r="K270" s="91">
        <v>3375</v>
      </c>
      <c r="L270" s="92"/>
      <c r="M270" s="31">
        <f t="shared" si="29"/>
        <v>0</v>
      </c>
      <c r="N270" s="31">
        <f t="shared" si="30"/>
        <v>3375</v>
      </c>
      <c r="O270" s="25"/>
      <c r="P270" s="78">
        <v>46086</v>
      </c>
      <c r="Q270" s="81"/>
      <c r="R270" s="26" t="s">
        <v>1178</v>
      </c>
      <c r="S270" s="21"/>
      <c r="T270" s="32" t="s">
        <v>349</v>
      </c>
      <c r="U270" s="21"/>
    </row>
    <row r="271" spans="1:21" ht="20.100000000000001" hidden="1" customHeight="1" x14ac:dyDescent="0.3">
      <c r="A271" s="44">
        <v>263</v>
      </c>
      <c r="B271" s="78">
        <v>46085</v>
      </c>
      <c r="C271" s="145"/>
      <c r="D271" s="80" t="s">
        <v>402</v>
      </c>
      <c r="E271" s="148"/>
      <c r="F271" s="82">
        <v>100</v>
      </c>
      <c r="G271" s="82">
        <v>1</v>
      </c>
      <c r="H271" s="82">
        <f t="shared" si="28"/>
        <v>100</v>
      </c>
      <c r="I271" s="144" t="s">
        <v>18</v>
      </c>
      <c r="J271" s="145"/>
      <c r="K271" s="91">
        <v>720</v>
      </c>
      <c r="L271" s="92"/>
      <c r="M271" s="31">
        <f t="shared" si="29"/>
        <v>0</v>
      </c>
      <c r="N271" s="31">
        <f t="shared" si="30"/>
        <v>720</v>
      </c>
      <c r="O271" s="25"/>
      <c r="P271" s="78">
        <v>46087</v>
      </c>
      <c r="Q271" s="81"/>
      <c r="R271" s="26" t="s">
        <v>1179</v>
      </c>
      <c r="S271" s="21"/>
      <c r="T271" s="32" t="s">
        <v>955</v>
      </c>
      <c r="U271" s="21"/>
    </row>
    <row r="272" spans="1:21" ht="20.100000000000001" hidden="1" customHeight="1" x14ac:dyDescent="0.3">
      <c r="A272" s="44">
        <v>264</v>
      </c>
      <c r="B272" s="78">
        <v>46085</v>
      </c>
      <c r="C272" s="145"/>
      <c r="D272" s="80" t="s">
        <v>1070</v>
      </c>
      <c r="E272" s="148"/>
      <c r="F272" s="82">
        <v>10</v>
      </c>
      <c r="G272" s="82">
        <v>25</v>
      </c>
      <c r="H272" s="82">
        <f t="shared" si="28"/>
        <v>250</v>
      </c>
      <c r="I272" s="144" t="s">
        <v>18</v>
      </c>
      <c r="J272" s="145"/>
      <c r="K272" s="91">
        <v>8125</v>
      </c>
      <c r="L272" s="92"/>
      <c r="M272" s="31">
        <f t="shared" si="29"/>
        <v>0</v>
      </c>
      <c r="N272" s="31">
        <f t="shared" si="30"/>
        <v>8125</v>
      </c>
      <c r="O272" s="25"/>
      <c r="P272" s="78">
        <v>46087</v>
      </c>
      <c r="Q272" s="81"/>
      <c r="R272" s="26" t="s">
        <v>1181</v>
      </c>
      <c r="S272" s="21"/>
      <c r="T272" s="32" t="s">
        <v>1047</v>
      </c>
      <c r="U272" s="21"/>
    </row>
    <row r="273" spans="1:21" ht="20.100000000000001" hidden="1" customHeight="1" x14ac:dyDescent="0.3">
      <c r="A273" s="44">
        <v>265</v>
      </c>
      <c r="B273" s="78">
        <v>46085</v>
      </c>
      <c r="C273" s="145"/>
      <c r="D273" s="80" t="s">
        <v>1180</v>
      </c>
      <c r="E273" s="148"/>
      <c r="F273" s="82">
        <v>50</v>
      </c>
      <c r="G273" s="82">
        <v>1</v>
      </c>
      <c r="H273" s="82">
        <f t="shared" ref="H273" si="32">F273*G273</f>
        <v>50</v>
      </c>
      <c r="I273" s="144" t="s">
        <v>56</v>
      </c>
      <c r="J273" s="145"/>
      <c r="K273" s="91">
        <v>700</v>
      </c>
      <c r="L273" s="92">
        <v>0.05</v>
      </c>
      <c r="M273" s="31">
        <f t="shared" si="29"/>
        <v>35</v>
      </c>
      <c r="N273" s="31">
        <f t="shared" si="30"/>
        <v>735</v>
      </c>
      <c r="O273" s="25"/>
      <c r="P273" s="78">
        <v>46091</v>
      </c>
      <c r="Q273" s="81"/>
      <c r="R273" s="26" t="s">
        <v>1182</v>
      </c>
      <c r="S273" s="21"/>
      <c r="T273" s="32" t="s">
        <v>1171</v>
      </c>
      <c r="U273" s="21"/>
    </row>
    <row r="274" spans="1:21" ht="20.100000000000001" hidden="1" customHeight="1" x14ac:dyDescent="0.3">
      <c r="A274" s="44">
        <v>266</v>
      </c>
      <c r="B274" s="78">
        <v>46085</v>
      </c>
      <c r="C274" s="145"/>
      <c r="D274" s="80" t="s">
        <v>1156</v>
      </c>
      <c r="E274" s="148"/>
      <c r="F274" s="82">
        <v>60</v>
      </c>
      <c r="G274" s="82">
        <v>25</v>
      </c>
      <c r="H274" s="82">
        <v>1000</v>
      </c>
      <c r="I274" s="144" t="s">
        <v>1141</v>
      </c>
      <c r="J274" s="145"/>
      <c r="K274" s="91">
        <v>3125</v>
      </c>
      <c r="L274" s="92"/>
      <c r="M274" s="31">
        <f t="shared" si="29"/>
        <v>0</v>
      </c>
      <c r="N274" s="31">
        <f t="shared" si="30"/>
        <v>3125</v>
      </c>
      <c r="O274" s="25"/>
      <c r="P274" s="78">
        <v>46091</v>
      </c>
      <c r="Q274" s="81"/>
      <c r="R274" s="26" t="s">
        <v>1183</v>
      </c>
      <c r="S274" s="21"/>
      <c r="T274" s="32" t="s">
        <v>98</v>
      </c>
      <c r="U274" s="21"/>
    </row>
    <row r="275" spans="1:21" ht="20.100000000000001" hidden="1" customHeight="1" x14ac:dyDescent="0.3">
      <c r="A275" s="44">
        <v>267</v>
      </c>
      <c r="B275" s="78">
        <v>46085</v>
      </c>
      <c r="C275" s="145"/>
      <c r="D275" s="80" t="s">
        <v>1092</v>
      </c>
      <c r="E275" s="148"/>
      <c r="F275" s="82">
        <v>48</v>
      </c>
      <c r="G275" s="82">
        <v>25</v>
      </c>
      <c r="H275" s="82">
        <f t="shared" ref="H275" si="33">F275*G275</f>
        <v>1200</v>
      </c>
      <c r="I275" s="144" t="s">
        <v>18</v>
      </c>
      <c r="J275" s="145"/>
      <c r="K275" s="91">
        <v>18750</v>
      </c>
      <c r="L275" s="92"/>
      <c r="M275" s="31">
        <f t="shared" si="29"/>
        <v>0</v>
      </c>
      <c r="N275" s="31">
        <f t="shared" si="30"/>
        <v>18750</v>
      </c>
      <c r="O275" s="25"/>
      <c r="P275" s="78">
        <v>46091</v>
      </c>
      <c r="Q275" s="81"/>
      <c r="R275" s="26" t="s">
        <v>1184</v>
      </c>
      <c r="S275" s="21"/>
      <c r="T275" s="32" t="s">
        <v>1022</v>
      </c>
      <c r="U275" s="21"/>
    </row>
    <row r="276" spans="1:21" ht="20.100000000000001" hidden="1" customHeight="1" x14ac:dyDescent="0.3">
      <c r="A276" s="44">
        <v>268</v>
      </c>
      <c r="B276" s="78">
        <v>46085</v>
      </c>
      <c r="C276" s="145"/>
      <c r="D276" s="80" t="s">
        <v>1185</v>
      </c>
      <c r="E276" s="148"/>
      <c r="F276" s="82">
        <v>60</v>
      </c>
      <c r="G276" s="82">
        <v>25</v>
      </c>
      <c r="H276" s="82">
        <f t="shared" si="28"/>
        <v>1500</v>
      </c>
      <c r="I276" s="144" t="s">
        <v>18</v>
      </c>
      <c r="J276" s="145"/>
      <c r="K276" s="91">
        <v>2750</v>
      </c>
      <c r="L276" s="92"/>
      <c r="M276" s="31">
        <f t="shared" si="29"/>
        <v>0</v>
      </c>
      <c r="N276" s="31">
        <f t="shared" si="30"/>
        <v>2750</v>
      </c>
      <c r="O276" s="25"/>
      <c r="P276" s="78">
        <v>46093</v>
      </c>
      <c r="Q276" s="81"/>
      <c r="R276" s="26" t="s">
        <v>1186</v>
      </c>
      <c r="S276" s="21"/>
      <c r="T276" s="32" t="s">
        <v>1131</v>
      </c>
      <c r="U276" s="21"/>
    </row>
    <row r="277" spans="1:21" ht="20.100000000000001" hidden="1" customHeight="1" x14ac:dyDescent="0.3">
      <c r="A277" s="44">
        <v>269</v>
      </c>
      <c r="B277" s="78">
        <v>46099</v>
      </c>
      <c r="C277" s="145"/>
      <c r="D277" s="80" t="s">
        <v>1187</v>
      </c>
      <c r="E277" s="148"/>
      <c r="F277" s="82">
        <v>120</v>
      </c>
      <c r="G277" s="82">
        <v>5</v>
      </c>
      <c r="H277" s="82">
        <f t="shared" si="28"/>
        <v>600</v>
      </c>
      <c r="I277" s="144" t="s">
        <v>56</v>
      </c>
      <c r="J277" s="145"/>
      <c r="K277" s="91">
        <v>980</v>
      </c>
      <c r="L277" s="92"/>
      <c r="M277" s="31">
        <f t="shared" si="29"/>
        <v>0</v>
      </c>
      <c r="N277" s="31">
        <f t="shared" si="30"/>
        <v>980</v>
      </c>
      <c r="O277" s="25"/>
      <c r="P277" s="78">
        <v>46099</v>
      </c>
      <c r="Q277" s="81"/>
      <c r="R277" s="26" t="s">
        <v>1188</v>
      </c>
      <c r="S277" s="21"/>
      <c r="T277" s="32" t="s">
        <v>953</v>
      </c>
      <c r="U277" s="21"/>
    </row>
    <row r="278" spans="1:21" ht="20.100000000000001" hidden="1" customHeight="1" x14ac:dyDescent="0.3">
      <c r="A278" s="44">
        <v>270</v>
      </c>
      <c r="B278" s="78">
        <v>46099</v>
      </c>
      <c r="C278" s="145"/>
      <c r="D278" s="80" t="s">
        <v>543</v>
      </c>
      <c r="E278" s="148"/>
      <c r="F278" s="82">
        <v>40</v>
      </c>
      <c r="G278" s="82">
        <v>5</v>
      </c>
      <c r="H278" s="82">
        <f t="shared" si="28"/>
        <v>200</v>
      </c>
      <c r="I278" s="144" t="s">
        <v>56</v>
      </c>
      <c r="J278" s="145"/>
      <c r="K278" s="91">
        <v>457</v>
      </c>
      <c r="L278" s="92">
        <v>0.18</v>
      </c>
      <c r="M278" s="31">
        <f t="shared" si="29"/>
        <v>82.259999999999991</v>
      </c>
      <c r="N278" s="31">
        <f t="shared" si="30"/>
        <v>539.26</v>
      </c>
      <c r="O278" s="25"/>
      <c r="P278" s="78">
        <v>46099</v>
      </c>
      <c r="Q278" s="81"/>
      <c r="R278" s="26" t="s">
        <v>1189</v>
      </c>
      <c r="S278" s="21"/>
      <c r="T278" s="32" t="s">
        <v>68</v>
      </c>
      <c r="U278" s="21"/>
    </row>
    <row r="279" spans="1:21" ht="20.100000000000001" hidden="1" customHeight="1" x14ac:dyDescent="0.3">
      <c r="A279" s="44">
        <v>271</v>
      </c>
      <c r="B279" s="78">
        <v>46099</v>
      </c>
      <c r="C279" s="145"/>
      <c r="D279" s="80" t="s">
        <v>507</v>
      </c>
      <c r="E279" s="148"/>
      <c r="F279" s="82">
        <v>20</v>
      </c>
      <c r="G279" s="82">
        <v>5</v>
      </c>
      <c r="H279" s="82">
        <f t="shared" si="28"/>
        <v>100</v>
      </c>
      <c r="I279" s="144" t="s">
        <v>56</v>
      </c>
      <c r="J279" s="145"/>
      <c r="K279" s="91">
        <v>1172</v>
      </c>
      <c r="L279" s="92">
        <v>0.18</v>
      </c>
      <c r="M279" s="31">
        <f t="shared" si="29"/>
        <v>210.95999999999998</v>
      </c>
      <c r="N279" s="31">
        <f t="shared" si="30"/>
        <v>1382.96</v>
      </c>
      <c r="O279" s="25"/>
      <c r="P279" s="78">
        <v>46099</v>
      </c>
      <c r="Q279" s="81"/>
      <c r="R279" s="26" t="s">
        <v>1189</v>
      </c>
      <c r="S279" s="21"/>
      <c r="T279" s="32" t="s">
        <v>68</v>
      </c>
      <c r="U279" s="21"/>
    </row>
    <row r="280" spans="1:21" ht="20.100000000000001" hidden="1" customHeight="1" x14ac:dyDescent="0.3">
      <c r="A280" s="44">
        <v>272</v>
      </c>
      <c r="B280" s="78">
        <v>46099</v>
      </c>
      <c r="C280" s="145"/>
      <c r="D280" s="80" t="s">
        <v>667</v>
      </c>
      <c r="E280" s="148"/>
      <c r="F280" s="82">
        <v>100</v>
      </c>
      <c r="G280" s="82">
        <v>200</v>
      </c>
      <c r="H280" s="82">
        <f t="shared" si="28"/>
        <v>20000</v>
      </c>
      <c r="I280" s="144" t="s">
        <v>1122</v>
      </c>
      <c r="J280" s="145"/>
      <c r="K280" s="91">
        <v>256</v>
      </c>
      <c r="L280" s="92"/>
      <c r="M280" s="31">
        <f t="shared" si="29"/>
        <v>0</v>
      </c>
      <c r="N280" s="31">
        <f t="shared" si="30"/>
        <v>256</v>
      </c>
      <c r="O280" s="25"/>
      <c r="P280" s="78">
        <v>46099</v>
      </c>
      <c r="Q280" s="81"/>
      <c r="R280" s="26" t="s">
        <v>1190</v>
      </c>
      <c r="S280" s="21"/>
      <c r="T280" s="32" t="s">
        <v>609</v>
      </c>
      <c r="U280" s="21"/>
    </row>
    <row r="281" spans="1:21" ht="20.100000000000001" hidden="1" customHeight="1" x14ac:dyDescent="0.3">
      <c r="A281" s="44">
        <v>273</v>
      </c>
      <c r="B281" s="78">
        <v>46099</v>
      </c>
      <c r="C281" s="145"/>
      <c r="D281" s="80" t="s">
        <v>509</v>
      </c>
      <c r="E281" s="148"/>
      <c r="F281" s="82">
        <v>108</v>
      </c>
      <c r="G281" s="82">
        <v>1</v>
      </c>
      <c r="H281" s="82">
        <f t="shared" si="28"/>
        <v>108</v>
      </c>
      <c r="I281" s="144" t="s">
        <v>56</v>
      </c>
      <c r="J281" s="145"/>
      <c r="K281" s="91">
        <v>580</v>
      </c>
      <c r="L281" s="92"/>
      <c r="M281" s="31">
        <f t="shared" si="29"/>
        <v>0</v>
      </c>
      <c r="N281" s="31">
        <f t="shared" si="30"/>
        <v>580</v>
      </c>
      <c r="O281" s="25"/>
      <c r="P281" s="78">
        <v>46099</v>
      </c>
      <c r="Q281" s="81"/>
      <c r="R281" s="26" t="s">
        <v>1190</v>
      </c>
      <c r="S281" s="21"/>
      <c r="T281" s="32" t="s">
        <v>609</v>
      </c>
      <c r="U281" s="21"/>
    </row>
    <row r="282" spans="1:21" ht="20.100000000000001" hidden="1" customHeight="1" x14ac:dyDescent="0.3">
      <c r="A282" s="44">
        <v>274</v>
      </c>
      <c r="B282" s="78">
        <v>46099</v>
      </c>
      <c r="C282" s="145"/>
      <c r="D282" s="80" t="s">
        <v>1191</v>
      </c>
      <c r="E282" s="148"/>
      <c r="F282" s="82">
        <v>40</v>
      </c>
      <c r="G282" s="82">
        <v>5</v>
      </c>
      <c r="H282" s="82">
        <f t="shared" si="28"/>
        <v>200</v>
      </c>
      <c r="I282" s="144" t="s">
        <v>18</v>
      </c>
      <c r="J282" s="145"/>
      <c r="K282" s="91">
        <v>2306</v>
      </c>
      <c r="L282" s="92"/>
      <c r="M282" s="31">
        <f t="shared" si="29"/>
        <v>0</v>
      </c>
      <c r="N282" s="31">
        <f t="shared" si="30"/>
        <v>2306</v>
      </c>
      <c r="O282" s="25"/>
      <c r="P282" s="78">
        <v>46099</v>
      </c>
      <c r="Q282" s="81"/>
      <c r="R282" s="26" t="s">
        <v>1195</v>
      </c>
      <c r="S282" s="21"/>
      <c r="T282" s="32" t="s">
        <v>1006</v>
      </c>
      <c r="U282" s="21"/>
    </row>
    <row r="283" spans="1:21" ht="20.100000000000001" hidden="1" customHeight="1" x14ac:dyDescent="0.3">
      <c r="A283" s="44">
        <v>275</v>
      </c>
      <c r="B283" s="78">
        <v>46099</v>
      </c>
      <c r="C283" s="145"/>
      <c r="D283" s="80" t="s">
        <v>1192</v>
      </c>
      <c r="E283" s="148"/>
      <c r="F283" s="82">
        <v>40</v>
      </c>
      <c r="G283" s="82">
        <v>5</v>
      </c>
      <c r="H283" s="82">
        <f t="shared" si="28"/>
        <v>200</v>
      </c>
      <c r="I283" s="144" t="s">
        <v>18</v>
      </c>
      <c r="J283" s="145"/>
      <c r="K283" s="91">
        <v>2715</v>
      </c>
      <c r="L283" s="92"/>
      <c r="M283" s="31">
        <f t="shared" si="29"/>
        <v>0</v>
      </c>
      <c r="N283" s="31">
        <f t="shared" si="30"/>
        <v>2715</v>
      </c>
      <c r="O283" s="25"/>
      <c r="P283" s="78">
        <v>46099</v>
      </c>
      <c r="Q283" s="81"/>
      <c r="R283" s="26" t="s">
        <v>1195</v>
      </c>
      <c r="S283" s="21"/>
      <c r="T283" s="32" t="s">
        <v>1006</v>
      </c>
      <c r="U283" s="21"/>
    </row>
    <row r="284" spans="1:21" ht="20.100000000000001" hidden="1" customHeight="1" x14ac:dyDescent="0.3">
      <c r="A284" s="44">
        <v>276</v>
      </c>
      <c r="B284" s="78">
        <v>46099</v>
      </c>
      <c r="C284" s="145"/>
      <c r="D284" s="80" t="s">
        <v>1193</v>
      </c>
      <c r="E284" s="148"/>
      <c r="F284" s="82">
        <v>150</v>
      </c>
      <c r="G284" s="82">
        <v>100</v>
      </c>
      <c r="H284" s="82">
        <f t="shared" si="28"/>
        <v>15000</v>
      </c>
      <c r="I284" s="144" t="s">
        <v>1122</v>
      </c>
      <c r="J284" s="145"/>
      <c r="K284" s="91">
        <v>101</v>
      </c>
      <c r="L284" s="92"/>
      <c r="M284" s="31">
        <f t="shared" si="29"/>
        <v>0</v>
      </c>
      <c r="N284" s="31">
        <f t="shared" si="30"/>
        <v>101</v>
      </c>
      <c r="O284" s="25"/>
      <c r="P284" s="78">
        <v>46099</v>
      </c>
      <c r="Q284" s="81"/>
      <c r="R284" s="26" t="s">
        <v>1195</v>
      </c>
      <c r="S284" s="21"/>
      <c r="T284" s="32" t="s">
        <v>1006</v>
      </c>
      <c r="U284" s="21"/>
    </row>
    <row r="285" spans="1:21" ht="20.100000000000001" hidden="1" customHeight="1" x14ac:dyDescent="0.3">
      <c r="A285" s="44">
        <v>277</v>
      </c>
      <c r="B285" s="78">
        <v>46099</v>
      </c>
      <c r="C285" s="145"/>
      <c r="D285" s="80" t="s">
        <v>1194</v>
      </c>
      <c r="E285" s="148"/>
      <c r="F285" s="82">
        <v>20</v>
      </c>
      <c r="G285" s="82">
        <v>5</v>
      </c>
      <c r="H285" s="82">
        <f t="shared" si="28"/>
        <v>100</v>
      </c>
      <c r="I285" s="144" t="s">
        <v>56</v>
      </c>
      <c r="J285" s="145"/>
      <c r="K285" s="91">
        <v>362</v>
      </c>
      <c r="L285" s="92"/>
      <c r="M285" s="31">
        <f t="shared" si="29"/>
        <v>0</v>
      </c>
      <c r="N285" s="31">
        <f t="shared" si="30"/>
        <v>362</v>
      </c>
      <c r="O285" s="25"/>
      <c r="P285" s="78">
        <v>46099</v>
      </c>
      <c r="Q285" s="81"/>
      <c r="R285" s="26" t="s">
        <v>1195</v>
      </c>
      <c r="S285" s="21"/>
      <c r="T285" s="32" t="s">
        <v>1006</v>
      </c>
      <c r="U285" s="21"/>
    </row>
    <row r="286" spans="1:21" ht="20.100000000000001" hidden="1" customHeight="1" x14ac:dyDescent="0.3">
      <c r="A286" s="44">
        <v>278</v>
      </c>
      <c r="B286" s="78">
        <v>46099</v>
      </c>
      <c r="C286" s="145"/>
      <c r="D286" s="80" t="s">
        <v>1196</v>
      </c>
      <c r="E286" s="148"/>
      <c r="F286" s="82">
        <v>25</v>
      </c>
      <c r="G286" s="82">
        <v>4</v>
      </c>
      <c r="H286" s="82">
        <f t="shared" si="28"/>
        <v>100</v>
      </c>
      <c r="I286" s="144" t="s">
        <v>1122</v>
      </c>
      <c r="J286" s="145"/>
      <c r="K286" s="91">
        <v>975</v>
      </c>
      <c r="L286" s="92">
        <v>0.05</v>
      </c>
      <c r="M286" s="31">
        <f t="shared" si="29"/>
        <v>48.75</v>
      </c>
      <c r="N286" s="31">
        <f t="shared" si="30"/>
        <v>1023.75</v>
      </c>
      <c r="O286" s="25"/>
      <c r="P286" s="78">
        <v>46105</v>
      </c>
      <c r="Q286" s="81"/>
      <c r="R286" s="26" t="s">
        <v>1197</v>
      </c>
      <c r="S286" s="21"/>
      <c r="T286" s="32" t="s">
        <v>609</v>
      </c>
      <c r="U286" s="21"/>
    </row>
    <row r="287" spans="1:21" ht="20.100000000000001" hidden="1" customHeight="1" x14ac:dyDescent="0.3">
      <c r="A287" s="44">
        <v>279</v>
      </c>
      <c r="B287" s="112" t="s">
        <v>1200</v>
      </c>
      <c r="C287" s="145"/>
      <c r="D287" s="80" t="s">
        <v>1198</v>
      </c>
      <c r="E287" s="148"/>
      <c r="F287" s="82">
        <v>25</v>
      </c>
      <c r="G287" s="82">
        <v>4</v>
      </c>
      <c r="H287" s="82">
        <f t="shared" ref="H287" si="34">F287*G287</f>
        <v>100</v>
      </c>
      <c r="I287" s="144" t="s">
        <v>18</v>
      </c>
      <c r="J287" s="145"/>
      <c r="K287" s="91">
        <v>15375</v>
      </c>
      <c r="L287" s="92"/>
      <c r="M287" s="31">
        <f t="shared" si="29"/>
        <v>0</v>
      </c>
      <c r="N287" s="31">
        <f t="shared" si="30"/>
        <v>15375</v>
      </c>
      <c r="O287" s="25"/>
      <c r="P287" s="78">
        <v>46107</v>
      </c>
      <c r="Q287" s="81"/>
      <c r="R287" s="26" t="s">
        <v>1199</v>
      </c>
      <c r="S287" s="21"/>
      <c r="T287" s="32" t="s">
        <v>1022</v>
      </c>
      <c r="U287" s="21"/>
    </row>
    <row r="288" spans="1:21" ht="20.100000000000001" hidden="1" customHeight="1" x14ac:dyDescent="0.3">
      <c r="A288" s="44">
        <v>280</v>
      </c>
      <c r="B288" s="78"/>
      <c r="C288" s="145"/>
      <c r="D288" s="80"/>
      <c r="E288" s="148"/>
      <c r="F288" s="82"/>
      <c r="G288" s="82"/>
      <c r="H288" s="82">
        <f t="shared" si="28"/>
        <v>0</v>
      </c>
      <c r="I288" s="144"/>
      <c r="J288" s="145"/>
      <c r="K288" s="91"/>
      <c r="L288" s="92"/>
      <c r="M288" s="31">
        <f t="shared" si="29"/>
        <v>0</v>
      </c>
      <c r="N288" s="31">
        <f t="shared" si="30"/>
        <v>0</v>
      </c>
      <c r="O288" s="25"/>
      <c r="P288" s="78"/>
      <c r="Q288" s="81"/>
      <c r="R288" s="26"/>
      <c r="S288" s="21"/>
      <c r="T288" s="32"/>
      <c r="U288" s="21"/>
    </row>
    <row r="289" spans="1:21" ht="20.100000000000001" hidden="1" customHeight="1" x14ac:dyDescent="0.3">
      <c r="A289" s="44">
        <v>281</v>
      </c>
      <c r="B289" s="78"/>
      <c r="C289" s="145"/>
      <c r="D289" s="80"/>
      <c r="E289" s="148"/>
      <c r="F289" s="82"/>
      <c r="G289" s="82"/>
      <c r="H289" s="82">
        <f t="shared" si="28"/>
        <v>0</v>
      </c>
      <c r="I289" s="144"/>
      <c r="J289" s="145"/>
      <c r="K289" s="91"/>
      <c r="L289" s="92"/>
      <c r="M289" s="31">
        <f t="shared" si="29"/>
        <v>0</v>
      </c>
      <c r="N289" s="31">
        <f t="shared" si="30"/>
        <v>0</v>
      </c>
      <c r="O289" s="25"/>
      <c r="P289" s="78"/>
      <c r="Q289" s="81"/>
      <c r="R289" s="26"/>
      <c r="S289" s="21"/>
      <c r="T289" s="32"/>
      <c r="U289" s="21"/>
    </row>
    <row r="290" spans="1:21" ht="20.100000000000001" hidden="1" customHeight="1" x14ac:dyDescent="0.3">
      <c r="A290" s="44">
        <v>282</v>
      </c>
      <c r="B290" s="78"/>
      <c r="C290" s="145"/>
      <c r="D290" s="80"/>
      <c r="E290" s="148"/>
      <c r="F290" s="82"/>
      <c r="G290" s="82"/>
      <c r="H290" s="82">
        <f t="shared" si="28"/>
        <v>0</v>
      </c>
      <c r="I290" s="144"/>
      <c r="J290" s="145"/>
      <c r="K290" s="91"/>
      <c r="L290" s="92"/>
      <c r="M290" s="31">
        <f t="shared" si="29"/>
        <v>0</v>
      </c>
      <c r="N290" s="31">
        <f t="shared" si="30"/>
        <v>0</v>
      </c>
      <c r="O290" s="25"/>
      <c r="P290" s="78"/>
      <c r="Q290" s="81"/>
      <c r="R290" s="26"/>
      <c r="S290" s="21"/>
      <c r="T290" s="32"/>
      <c r="U290" s="21"/>
    </row>
    <row r="291" spans="1:21" ht="20.100000000000001" hidden="1" customHeight="1" x14ac:dyDescent="0.3">
      <c r="A291" s="44">
        <v>283</v>
      </c>
      <c r="B291" s="78"/>
      <c r="C291" s="145"/>
      <c r="D291" s="80"/>
      <c r="E291" s="148"/>
      <c r="F291" s="82"/>
      <c r="G291" s="82"/>
      <c r="H291" s="82">
        <f t="shared" si="28"/>
        <v>0</v>
      </c>
      <c r="I291" s="144"/>
      <c r="J291" s="145"/>
      <c r="K291" s="91"/>
      <c r="L291" s="92"/>
      <c r="M291" s="31">
        <f t="shared" si="29"/>
        <v>0</v>
      </c>
      <c r="N291" s="31">
        <f t="shared" si="30"/>
        <v>0</v>
      </c>
      <c r="O291" s="25"/>
      <c r="P291" s="78"/>
      <c r="Q291" s="81"/>
      <c r="R291" s="26"/>
      <c r="S291" s="21"/>
      <c r="T291" s="32"/>
      <c r="U291" s="21"/>
    </row>
    <row r="292" spans="1:21" ht="20.100000000000001" hidden="1" customHeight="1" x14ac:dyDescent="0.3">
      <c r="A292" s="44">
        <v>284</v>
      </c>
      <c r="B292" s="78"/>
      <c r="C292" s="145"/>
      <c r="D292" s="80"/>
      <c r="E292" s="148"/>
      <c r="F292" s="82"/>
      <c r="G292" s="82"/>
      <c r="H292" s="82">
        <f t="shared" si="28"/>
        <v>0</v>
      </c>
      <c r="I292" s="144"/>
      <c r="J292" s="145"/>
      <c r="K292" s="91"/>
      <c r="L292" s="92"/>
      <c r="M292" s="31">
        <f t="shared" si="29"/>
        <v>0</v>
      </c>
      <c r="N292" s="31">
        <f t="shared" si="30"/>
        <v>0</v>
      </c>
      <c r="O292" s="25"/>
      <c r="P292" s="78"/>
      <c r="Q292" s="81"/>
      <c r="R292" s="26"/>
      <c r="S292" s="21"/>
      <c r="T292" s="32"/>
      <c r="U292" s="21"/>
    </row>
    <row r="293" spans="1:21" ht="20.100000000000001" hidden="1" customHeight="1" x14ac:dyDescent="0.3">
      <c r="A293" s="44">
        <v>285</v>
      </c>
      <c r="B293" s="78"/>
      <c r="C293" s="145"/>
      <c r="D293" s="80"/>
      <c r="E293" s="148"/>
      <c r="F293" s="82"/>
      <c r="G293" s="82"/>
      <c r="H293" s="82">
        <f t="shared" si="28"/>
        <v>0</v>
      </c>
      <c r="I293" s="144"/>
      <c r="J293" s="145"/>
      <c r="K293" s="91"/>
      <c r="L293" s="92"/>
      <c r="M293" s="31">
        <f t="shared" si="29"/>
        <v>0</v>
      </c>
      <c r="N293" s="31">
        <f t="shared" si="30"/>
        <v>0</v>
      </c>
      <c r="O293" s="25"/>
      <c r="P293" s="78"/>
      <c r="Q293" s="81"/>
      <c r="R293" s="26"/>
      <c r="S293" s="21"/>
      <c r="T293" s="32"/>
      <c r="U293" s="21"/>
    </row>
    <row r="294" spans="1:21" ht="20.100000000000001" hidden="1" customHeight="1" x14ac:dyDescent="0.3">
      <c r="A294" s="44">
        <v>286</v>
      </c>
      <c r="B294" s="78"/>
      <c r="C294" s="145"/>
      <c r="D294" s="80"/>
      <c r="E294" s="148"/>
      <c r="F294" s="82"/>
      <c r="G294" s="82"/>
      <c r="H294" s="82">
        <f t="shared" si="28"/>
        <v>0</v>
      </c>
      <c r="I294" s="144"/>
      <c r="J294" s="145"/>
      <c r="K294" s="91"/>
      <c r="L294" s="92"/>
      <c r="M294" s="31">
        <f t="shared" si="29"/>
        <v>0</v>
      </c>
      <c r="N294" s="31">
        <f t="shared" si="30"/>
        <v>0</v>
      </c>
      <c r="O294" s="25"/>
      <c r="P294" s="78"/>
      <c r="Q294" s="81"/>
      <c r="R294" s="26"/>
      <c r="S294" s="21"/>
      <c r="T294" s="32"/>
      <c r="U294" s="21"/>
    </row>
    <row r="295" spans="1:21" ht="20.100000000000001" hidden="1" customHeight="1" x14ac:dyDescent="0.3">
      <c r="A295" s="44">
        <v>287</v>
      </c>
      <c r="B295" s="78"/>
      <c r="C295" s="145"/>
      <c r="D295" s="80"/>
      <c r="E295" s="148"/>
      <c r="F295" s="82"/>
      <c r="G295" s="82"/>
      <c r="H295" s="82">
        <f t="shared" si="28"/>
        <v>0</v>
      </c>
      <c r="I295" s="144"/>
      <c r="J295" s="145"/>
      <c r="K295" s="91"/>
      <c r="L295" s="92"/>
      <c r="M295" s="31">
        <f t="shared" si="29"/>
        <v>0</v>
      </c>
      <c r="N295" s="31">
        <f t="shared" si="30"/>
        <v>0</v>
      </c>
      <c r="O295" s="25"/>
      <c r="P295" s="78"/>
      <c r="Q295" s="81"/>
      <c r="R295" s="26"/>
      <c r="S295" s="21"/>
      <c r="T295" s="32"/>
      <c r="U295" s="21"/>
    </row>
    <row r="296" spans="1:21" ht="20.100000000000001" hidden="1" customHeight="1" x14ac:dyDescent="0.3">
      <c r="A296" s="44">
        <v>288</v>
      </c>
      <c r="B296" s="78"/>
      <c r="C296" s="145"/>
      <c r="D296" s="80"/>
      <c r="E296" s="148"/>
      <c r="F296" s="82"/>
      <c r="G296" s="82"/>
      <c r="H296" s="82">
        <f t="shared" si="28"/>
        <v>0</v>
      </c>
      <c r="I296" s="144"/>
      <c r="J296" s="145"/>
      <c r="K296" s="91"/>
      <c r="L296" s="92"/>
      <c r="M296" s="31">
        <f t="shared" si="29"/>
        <v>0</v>
      </c>
      <c r="N296" s="31">
        <f t="shared" si="30"/>
        <v>0</v>
      </c>
      <c r="O296" s="25"/>
      <c r="P296" s="78"/>
      <c r="Q296" s="81"/>
      <c r="R296" s="26"/>
      <c r="S296" s="21"/>
      <c r="T296" s="32"/>
      <c r="U296" s="21"/>
    </row>
    <row r="297" spans="1:21" ht="20.100000000000001" hidden="1" customHeight="1" x14ac:dyDescent="0.3">
      <c r="A297" s="44">
        <v>289</v>
      </c>
      <c r="B297" s="78"/>
      <c r="C297" s="145"/>
      <c r="D297" s="80"/>
      <c r="E297" s="148"/>
      <c r="F297" s="82"/>
      <c r="G297" s="82"/>
      <c r="H297" s="82">
        <f t="shared" si="28"/>
        <v>0</v>
      </c>
      <c r="I297" s="144"/>
      <c r="J297" s="145"/>
      <c r="K297" s="91"/>
      <c r="L297" s="92"/>
      <c r="M297" s="31">
        <f t="shared" si="29"/>
        <v>0</v>
      </c>
      <c r="N297" s="31">
        <f t="shared" si="30"/>
        <v>0</v>
      </c>
      <c r="O297" s="25"/>
      <c r="P297" s="78"/>
      <c r="Q297" s="81"/>
      <c r="R297" s="26"/>
      <c r="S297" s="21"/>
      <c r="T297" s="32"/>
      <c r="U297" s="21"/>
    </row>
    <row r="298" spans="1:21" ht="20.100000000000001" hidden="1" customHeight="1" x14ac:dyDescent="0.3">
      <c r="A298" s="44">
        <v>290</v>
      </c>
      <c r="B298" s="78"/>
      <c r="C298" s="145"/>
      <c r="D298" s="80"/>
      <c r="E298" s="148"/>
      <c r="F298" s="82"/>
      <c r="G298" s="82"/>
      <c r="H298" s="82">
        <f t="shared" si="28"/>
        <v>0</v>
      </c>
      <c r="I298" s="144"/>
      <c r="J298" s="145"/>
      <c r="K298" s="91"/>
      <c r="L298" s="92"/>
      <c r="M298" s="31">
        <f t="shared" si="29"/>
        <v>0</v>
      </c>
      <c r="N298" s="31">
        <f t="shared" si="30"/>
        <v>0</v>
      </c>
      <c r="O298" s="25"/>
      <c r="P298" s="78"/>
      <c r="Q298" s="81"/>
      <c r="R298" s="26"/>
      <c r="S298" s="21"/>
      <c r="T298" s="32"/>
      <c r="U298" s="21"/>
    </row>
    <row r="299" spans="1:21" ht="20.100000000000001" hidden="1" customHeight="1" x14ac:dyDescent="0.3">
      <c r="A299" s="44">
        <v>291</v>
      </c>
      <c r="B299" s="78"/>
      <c r="C299" s="145"/>
      <c r="D299" s="80"/>
      <c r="E299" s="148"/>
      <c r="F299" s="82"/>
      <c r="G299" s="82"/>
      <c r="H299" s="82">
        <f t="shared" si="28"/>
        <v>0</v>
      </c>
      <c r="I299" s="144"/>
      <c r="J299" s="145"/>
      <c r="K299" s="91"/>
      <c r="L299" s="92"/>
      <c r="M299" s="31">
        <f t="shared" si="29"/>
        <v>0</v>
      </c>
      <c r="N299" s="31">
        <f t="shared" si="30"/>
        <v>0</v>
      </c>
      <c r="O299" s="25"/>
      <c r="P299" s="78"/>
      <c r="Q299" s="81"/>
      <c r="R299" s="26"/>
      <c r="S299" s="21"/>
      <c r="T299" s="32"/>
      <c r="U299" s="21"/>
    </row>
    <row r="300" spans="1:21" ht="20.100000000000001" hidden="1" customHeight="1" x14ac:dyDescent="0.3">
      <c r="A300" s="44">
        <v>292</v>
      </c>
      <c r="B300" s="78"/>
      <c r="C300" s="145"/>
      <c r="D300" s="80"/>
      <c r="E300" s="148"/>
      <c r="F300" s="82"/>
      <c r="G300" s="82"/>
      <c r="H300" s="82">
        <f t="shared" si="28"/>
        <v>0</v>
      </c>
      <c r="I300" s="144"/>
      <c r="J300" s="145"/>
      <c r="K300" s="91"/>
      <c r="L300" s="92"/>
      <c r="M300" s="31">
        <f t="shared" si="29"/>
        <v>0</v>
      </c>
      <c r="N300" s="31">
        <f t="shared" si="30"/>
        <v>0</v>
      </c>
      <c r="O300" s="25"/>
      <c r="P300" s="78"/>
      <c r="Q300" s="81"/>
      <c r="R300" s="26"/>
      <c r="S300" s="21"/>
      <c r="T300" s="32"/>
      <c r="U300" s="21"/>
    </row>
  </sheetData>
  <autoFilter ref="D2:D300">
    <filterColumn colId="0">
      <filters>
        <filter val="AMINO GABA-20% (CP Bio)"/>
        <filter val="CITIFAC (Chlortetracyclin-15%)"/>
        <filter val="OREGOSTIM-1X (Saife Vet)"/>
        <filter val="SAF MANANS (Phileo)"/>
      </filters>
    </filterColumn>
  </autoFilter>
  <mergeCells count="4">
    <mergeCell ref="F5:I5"/>
    <mergeCell ref="K5:N5"/>
    <mergeCell ref="P5:T5"/>
    <mergeCell ref="G3:P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300"/>
  <sheetViews>
    <sheetView workbookViewId="0">
      <pane ySplit="7" topLeftCell="A8" activePane="bottomLeft" state="frozen"/>
      <selection pane="bottomLeft" sqref="A1:XFD1048576"/>
    </sheetView>
  </sheetViews>
  <sheetFormatPr defaultRowHeight="16.5" x14ac:dyDescent="0.3"/>
  <cols>
    <col min="1" max="1" width="4.140625" style="45" customWidth="1"/>
    <col min="2" max="2" width="11.7109375" style="35" customWidth="1"/>
    <col min="3" max="3" width="2.85546875" style="35" customWidth="1"/>
    <col min="4" max="4" width="25.85546875" style="35" customWidth="1"/>
    <col min="5" max="5" width="3.140625" style="35" customWidth="1"/>
    <col min="6" max="6" width="9.140625" style="35" customWidth="1"/>
    <col min="7" max="7" width="17.85546875" style="35" customWidth="1"/>
    <col min="8" max="8" width="7.5703125" style="55" customWidth="1"/>
    <col min="9" max="9" width="7.42578125" style="38" customWidth="1"/>
    <col min="10" max="10" width="3.42578125" style="35" customWidth="1"/>
    <col min="11" max="11" width="8.5703125" style="35" customWidth="1"/>
    <col min="12" max="12" width="7.7109375" style="35" customWidth="1"/>
    <col min="13" max="13" width="5.28515625" style="35" customWidth="1"/>
    <col min="14" max="14" width="10.85546875" style="108" customWidth="1"/>
    <col min="15" max="15" width="3.5703125" style="35" customWidth="1"/>
    <col min="16" max="16" width="10.7109375" style="55" customWidth="1"/>
    <col min="17" max="17" width="5.85546875" style="55" customWidth="1"/>
    <col min="18" max="18" width="6.28515625" style="55" customWidth="1"/>
    <col min="19" max="19" width="9.7109375" style="55" customWidth="1"/>
    <col min="20" max="20" width="9.7109375" style="143" customWidth="1"/>
    <col min="21" max="21" width="8.85546875" style="139" customWidth="1"/>
    <col min="22" max="22" width="3.140625" style="35" customWidth="1"/>
    <col min="23" max="16384" width="9.140625" style="35"/>
  </cols>
  <sheetData>
    <row r="1" spans="1:22" ht="17.25" thickBot="1" x14ac:dyDescent="0.35">
      <c r="A1" s="57"/>
      <c r="B1" s="58"/>
      <c r="C1" s="58"/>
      <c r="D1" s="58"/>
      <c r="E1" s="58"/>
      <c r="F1" s="58"/>
      <c r="G1" s="58"/>
      <c r="H1" s="59"/>
      <c r="I1" s="117"/>
      <c r="J1" s="58"/>
      <c r="K1" s="58"/>
      <c r="L1" s="58"/>
      <c r="M1" s="58"/>
      <c r="N1" s="104"/>
      <c r="O1" s="58"/>
      <c r="P1" s="59"/>
      <c r="Q1" s="59"/>
      <c r="R1" s="59"/>
      <c r="S1" s="59"/>
      <c r="T1" s="140"/>
      <c r="U1" s="136"/>
      <c r="V1" s="58"/>
    </row>
    <row r="2" spans="1:22" ht="17.25" thickBot="1" x14ac:dyDescent="0.35">
      <c r="A2" s="43"/>
      <c r="B2" s="2"/>
      <c r="C2" s="1"/>
      <c r="D2" s="1"/>
      <c r="E2" s="1"/>
      <c r="F2" s="1"/>
      <c r="G2" s="1"/>
      <c r="H2" s="49"/>
      <c r="I2" s="86"/>
      <c r="J2" s="1"/>
      <c r="K2" s="3"/>
      <c r="L2" s="4"/>
      <c r="M2" s="5"/>
      <c r="N2" s="105"/>
      <c r="O2" s="1"/>
      <c r="P2" s="48"/>
      <c r="Q2" s="49"/>
      <c r="R2" s="49"/>
      <c r="S2" s="49"/>
      <c r="T2" s="141"/>
      <c r="U2" s="2"/>
      <c r="V2" s="51"/>
    </row>
    <row r="3" spans="1:22" ht="20.100000000000001" customHeight="1" thickBot="1" x14ac:dyDescent="0.35">
      <c r="A3" s="43"/>
      <c r="B3" s="135" t="s">
        <v>15</v>
      </c>
      <c r="C3" s="1"/>
      <c r="D3" s="1"/>
      <c r="E3" s="51"/>
      <c r="F3" s="203" t="s">
        <v>939</v>
      </c>
      <c r="G3" s="203"/>
      <c r="H3" s="203"/>
      <c r="I3" s="203"/>
      <c r="J3" s="203"/>
      <c r="K3" s="203"/>
      <c r="L3" s="203"/>
      <c r="M3" s="203"/>
      <c r="N3" s="203"/>
      <c r="O3" s="203"/>
      <c r="P3" s="37"/>
      <c r="Q3" s="56"/>
      <c r="R3" s="56"/>
      <c r="S3" s="207" t="str">
        <f>+'Order Details Apr25 - Mar26'!T3:T3</f>
        <v>Last update as on 31.03.2026</v>
      </c>
      <c r="T3" s="208"/>
      <c r="U3" s="209"/>
      <c r="V3" s="51"/>
    </row>
    <row r="4" spans="1:22" ht="17.25" thickBot="1" x14ac:dyDescent="0.35">
      <c r="A4" s="43"/>
      <c r="B4" s="2"/>
      <c r="C4" s="1"/>
      <c r="D4" s="1"/>
      <c r="E4" s="1"/>
      <c r="F4" s="1"/>
      <c r="G4" s="1"/>
      <c r="H4" s="6"/>
      <c r="I4" s="6"/>
      <c r="J4" s="1"/>
      <c r="K4" s="3"/>
      <c r="L4" s="4"/>
      <c r="M4" s="5"/>
      <c r="N4" s="105"/>
      <c r="O4" s="1"/>
      <c r="P4" s="48"/>
      <c r="Q4" s="49"/>
      <c r="R4" s="49"/>
      <c r="S4" s="49"/>
      <c r="T4" s="141"/>
      <c r="U4" s="2"/>
      <c r="V4" s="51"/>
    </row>
    <row r="5" spans="1:22" ht="30" customHeight="1" thickBot="1" x14ac:dyDescent="0.35">
      <c r="A5" s="43"/>
      <c r="B5" s="127" t="s">
        <v>0</v>
      </c>
      <c r="C5" s="7"/>
      <c r="D5" s="128" t="s">
        <v>936</v>
      </c>
      <c r="E5" s="7"/>
      <c r="F5" s="210" t="s">
        <v>80</v>
      </c>
      <c r="G5" s="211"/>
      <c r="H5" s="211"/>
      <c r="I5" s="212"/>
      <c r="J5" s="9"/>
      <c r="K5" s="213" t="s">
        <v>81</v>
      </c>
      <c r="L5" s="214"/>
      <c r="M5" s="214"/>
      <c r="N5" s="215"/>
      <c r="O5" s="7"/>
      <c r="P5" s="200" t="s">
        <v>82</v>
      </c>
      <c r="Q5" s="201"/>
      <c r="R5" s="201"/>
      <c r="S5" s="201"/>
      <c r="T5" s="201"/>
      <c r="U5" s="202"/>
      <c r="V5" s="7"/>
    </row>
    <row r="6" spans="1:22" ht="17.25" thickBot="1" x14ac:dyDescent="0.35">
      <c r="A6" s="43"/>
      <c r="B6" s="2"/>
      <c r="C6" s="1"/>
      <c r="D6" s="1"/>
      <c r="E6" s="1"/>
      <c r="F6" s="10"/>
      <c r="G6" s="10"/>
      <c r="H6" s="49"/>
      <c r="I6" s="86"/>
      <c r="J6" s="1"/>
      <c r="K6" s="3"/>
      <c r="L6" s="4"/>
      <c r="M6" s="5"/>
      <c r="N6" s="105"/>
      <c r="O6" s="1"/>
      <c r="P6" s="48"/>
      <c r="Q6" s="49"/>
      <c r="R6" s="49"/>
      <c r="S6" s="49"/>
      <c r="T6" s="141"/>
      <c r="U6" s="2"/>
      <c r="V6" s="1"/>
    </row>
    <row r="7" spans="1:22" ht="30" customHeight="1" thickBot="1" x14ac:dyDescent="0.35">
      <c r="A7" s="44"/>
      <c r="B7" s="121" t="s">
        <v>83</v>
      </c>
      <c r="C7" s="13"/>
      <c r="D7" s="122" t="s">
        <v>12</v>
      </c>
      <c r="E7" s="11"/>
      <c r="F7" s="216" t="s">
        <v>84</v>
      </c>
      <c r="G7" s="217"/>
      <c r="H7" s="123" t="s">
        <v>6</v>
      </c>
      <c r="I7" s="124" t="s">
        <v>4</v>
      </c>
      <c r="J7" s="16"/>
      <c r="K7" s="218" t="s">
        <v>937</v>
      </c>
      <c r="L7" s="219"/>
      <c r="M7" s="220"/>
      <c r="N7" s="125" t="s">
        <v>86</v>
      </c>
      <c r="O7" s="11"/>
      <c r="P7" s="126" t="s">
        <v>87</v>
      </c>
      <c r="Q7" s="123" t="s">
        <v>88</v>
      </c>
      <c r="R7" s="123" t="s">
        <v>89</v>
      </c>
      <c r="S7" s="123" t="s">
        <v>90</v>
      </c>
      <c r="T7" s="132" t="s">
        <v>92</v>
      </c>
      <c r="U7" s="137" t="s">
        <v>940</v>
      </c>
      <c r="V7" s="11"/>
    </row>
    <row r="8" spans="1:22" x14ac:dyDescent="0.3">
      <c r="A8" s="43"/>
      <c r="B8" s="2"/>
      <c r="C8" s="1"/>
      <c r="D8" s="1"/>
      <c r="E8" s="1"/>
      <c r="F8" s="1"/>
      <c r="G8" s="1"/>
      <c r="H8" s="49"/>
      <c r="I8" s="86"/>
      <c r="J8" s="20"/>
      <c r="K8" s="3"/>
      <c r="L8" s="4"/>
      <c r="M8" s="5"/>
      <c r="N8" s="105"/>
      <c r="O8" s="1"/>
      <c r="P8" s="48" t="s">
        <v>93</v>
      </c>
      <c r="Q8" s="49"/>
      <c r="R8" s="49"/>
      <c r="S8" s="48"/>
      <c r="T8" s="141"/>
      <c r="U8" s="48" t="s">
        <v>93</v>
      </c>
      <c r="V8" s="51"/>
    </row>
    <row r="9" spans="1:22" ht="20.100000000000001" customHeight="1" x14ac:dyDescent="0.3">
      <c r="A9" s="44">
        <v>1</v>
      </c>
      <c r="B9" s="22">
        <f>+'Order Details Apr25 - Mar26'!P9</f>
        <v>0</v>
      </c>
      <c r="C9" s="23"/>
      <c r="D9" s="118" t="str">
        <f>+'Order Details Apr25 - Mar26'!T9</f>
        <v>Not Issued by mistake</v>
      </c>
      <c r="E9" s="25"/>
      <c r="F9" s="183" t="str">
        <f>+'Order Details Apr25 - Mar26'!D9</f>
        <v>Not Issued by mistake</v>
      </c>
      <c r="G9" s="184"/>
      <c r="H9" s="119">
        <f>+'Order Details Apr25 - Mar26'!H9</f>
        <v>0</v>
      </c>
      <c r="I9" s="120">
        <f>+'Order Details Apr25 - Mar26'!I9</f>
        <v>0</v>
      </c>
      <c r="J9" s="28"/>
      <c r="K9" s="204" t="str">
        <f>+'Order Details Apr25 - Mar26'!R9</f>
        <v>PO / NBF / 080425 / 001</v>
      </c>
      <c r="L9" s="205"/>
      <c r="M9" s="206"/>
      <c r="N9" s="27">
        <f>'Order Details Apr25 - Mar26'!F9*'Order Details Apr25 - Mar26'!N9</f>
        <v>0</v>
      </c>
      <c r="O9" s="25"/>
      <c r="P9" s="22"/>
      <c r="Q9" s="26"/>
      <c r="R9" s="82">
        <v>7</v>
      </c>
      <c r="S9" s="22">
        <f>P9+R9</f>
        <v>7</v>
      </c>
      <c r="T9" s="142"/>
      <c r="U9" s="138"/>
      <c r="V9" s="51"/>
    </row>
    <row r="10" spans="1:22" ht="20.100000000000001" customHeight="1" x14ac:dyDescent="0.3">
      <c r="A10" s="44">
        <v>2</v>
      </c>
      <c r="B10" s="22">
        <f>+'Order Details Apr25 - Mar26'!P10</f>
        <v>45757</v>
      </c>
      <c r="C10" s="23"/>
      <c r="D10" s="118" t="str">
        <f>+'Order Details Apr25 - Mar26'!T10</f>
        <v>Das Drug Centre Pvt Ltd, Habra</v>
      </c>
      <c r="E10" s="25"/>
      <c r="F10" s="183" t="str">
        <f>+'Order Details Apr25 - Mar26'!D10</f>
        <v>MG BAC KILLED VAC (Zoetis)</v>
      </c>
      <c r="G10" s="184"/>
      <c r="H10" s="119">
        <f>+'Order Details Apr25 - Mar26'!H10</f>
        <v>100000</v>
      </c>
      <c r="I10" s="120" t="str">
        <f>+'Order Details Apr25 - Mar26'!I10</f>
        <v>Dose</v>
      </c>
      <c r="J10" s="28"/>
      <c r="K10" s="204" t="str">
        <f>+'Order Details Apr25 - Mar26'!R10</f>
        <v>PO / NBF / 100425 / 002</v>
      </c>
      <c r="L10" s="205"/>
      <c r="M10" s="206"/>
      <c r="N10" s="27">
        <f>'Order Details Apr25 - Mar26'!F10*'Order Details Apr25 - Mar26'!N10</f>
        <v>733110</v>
      </c>
      <c r="O10" s="25"/>
      <c r="P10" s="22"/>
      <c r="Q10" s="26"/>
      <c r="R10" s="82">
        <v>45</v>
      </c>
      <c r="S10" s="22"/>
      <c r="T10" s="142"/>
      <c r="U10" s="138"/>
      <c r="V10" s="51"/>
    </row>
    <row r="11" spans="1:22" ht="20.100000000000001" customHeight="1" x14ac:dyDescent="0.3">
      <c r="A11" s="44">
        <v>3</v>
      </c>
      <c r="B11" s="22">
        <f>+'Order Details Apr25 - Mar26'!P11</f>
        <v>45757</v>
      </c>
      <c r="C11" s="23"/>
      <c r="D11" s="118" t="str">
        <f>+'Order Details Apr25 - Mar26'!T11</f>
        <v>Das Drug Centre Pvt Ltd, Habra</v>
      </c>
      <c r="E11" s="25"/>
      <c r="F11" s="183" t="str">
        <f>+'Order Details Apr25 - Mar26'!D11</f>
        <v>VALOSIN (Timoeva Wellness)</v>
      </c>
      <c r="G11" s="184"/>
      <c r="H11" s="119">
        <f>+'Order Details Apr25 - Mar26'!H11</f>
        <v>14</v>
      </c>
      <c r="I11" s="120" t="str">
        <f>+'Order Details Apr25 - Mar26'!I11</f>
        <v>Kg</v>
      </c>
      <c r="J11" s="28"/>
      <c r="K11" s="204" t="str">
        <f>+'Order Details Apr25 - Mar26'!R11</f>
        <v>PO / NBF / 100425 / 002</v>
      </c>
      <c r="L11" s="205"/>
      <c r="M11" s="206"/>
      <c r="N11" s="27">
        <f>'Order Details Apr25 - Mar26'!F11*'Order Details Apr25 - Mar26'!N11</f>
        <v>357280</v>
      </c>
      <c r="O11" s="25"/>
      <c r="P11" s="22"/>
      <c r="Q11" s="26"/>
      <c r="R11" s="82">
        <v>45</v>
      </c>
      <c r="S11" s="22"/>
      <c r="T11" s="142"/>
      <c r="U11" s="138"/>
      <c r="V11" s="51"/>
    </row>
    <row r="12" spans="1:22" ht="20.100000000000001" customHeight="1" x14ac:dyDescent="0.3">
      <c r="A12" s="44">
        <v>4</v>
      </c>
      <c r="B12" s="22">
        <f>+'Order Details Apr25 - Mar26'!P12</f>
        <v>45757</v>
      </c>
      <c r="C12" s="23"/>
      <c r="D12" s="118" t="str">
        <f>+'Order Details Apr25 - Mar26'!T12</f>
        <v>Hester Biosciences Ltd Hyderabad</v>
      </c>
      <c r="E12" s="25"/>
      <c r="F12" s="183" t="str">
        <f>+'Order Details Apr25 - Mar26'!D12</f>
        <v>ILT (G-10000) Live Vaccine</v>
      </c>
      <c r="G12" s="184"/>
      <c r="H12" s="119">
        <f>+'Order Details Apr25 - Mar26'!H12</f>
        <v>50000</v>
      </c>
      <c r="I12" s="120" t="str">
        <f>+'Order Details Apr25 - Mar26'!I12</f>
        <v>Dose</v>
      </c>
      <c r="J12" s="28"/>
      <c r="K12" s="204" t="str">
        <f>+'Order Details Apr25 - Mar26'!R12</f>
        <v>PO / NBF / 100425 / 003</v>
      </c>
      <c r="L12" s="205"/>
      <c r="M12" s="206"/>
      <c r="N12" s="27">
        <f>'Order Details Apr25 - Mar26'!F12*'Order Details Apr25 - Mar26'!N12</f>
        <v>78750</v>
      </c>
      <c r="O12" s="25"/>
      <c r="P12" s="22"/>
      <c r="Q12" s="26"/>
      <c r="R12" s="82">
        <v>7</v>
      </c>
      <c r="S12" s="22"/>
      <c r="T12" s="142"/>
      <c r="U12" s="138"/>
      <c r="V12" s="51"/>
    </row>
    <row r="13" spans="1:22" ht="20.100000000000001" customHeight="1" x14ac:dyDescent="0.3">
      <c r="A13" s="44">
        <v>5</v>
      </c>
      <c r="B13" s="22">
        <f>+'Order Details Apr25 - Mar26'!P13</f>
        <v>45757</v>
      </c>
      <c r="C13" s="23"/>
      <c r="D13" s="118" t="str">
        <f>+'Order Details Apr25 - Mar26'!T13</f>
        <v>Hester Biosciences Ltd Hyderabad</v>
      </c>
      <c r="E13" s="25"/>
      <c r="F13" s="183" t="str">
        <f>+'Order Details Apr25 - Mar26'!D13</f>
        <v>Inactivated Pullet ND (HPAI) VAC</v>
      </c>
      <c r="G13" s="184"/>
      <c r="H13" s="119">
        <f>+'Order Details Apr25 - Mar26'!H13</f>
        <v>50000</v>
      </c>
      <c r="I13" s="120" t="str">
        <f>+'Order Details Apr25 - Mar26'!I13</f>
        <v>Dose</v>
      </c>
      <c r="J13" s="28"/>
      <c r="K13" s="204" t="str">
        <f>+'Order Details Apr25 - Mar26'!R13</f>
        <v>PO / NBF / 100425 / 003</v>
      </c>
      <c r="L13" s="205"/>
      <c r="M13" s="206"/>
      <c r="N13" s="27">
        <f>'Order Details Apr25 - Mar26'!F13*'Order Details Apr25 - Mar26'!N13</f>
        <v>131192.77499999999</v>
      </c>
      <c r="O13" s="25"/>
      <c r="P13" s="22"/>
      <c r="Q13" s="26"/>
      <c r="R13" s="82">
        <v>7</v>
      </c>
      <c r="S13" s="22"/>
      <c r="T13" s="142"/>
      <c r="U13" s="138"/>
      <c r="V13" s="51"/>
    </row>
    <row r="14" spans="1:22" ht="20.100000000000001" customHeight="1" x14ac:dyDescent="0.3">
      <c r="A14" s="44">
        <v>6</v>
      </c>
      <c r="B14" s="22">
        <f>+'Order Details Apr25 - Mar26'!P14</f>
        <v>45757</v>
      </c>
      <c r="C14" s="23"/>
      <c r="D14" s="118" t="str">
        <f>+'Order Details Apr25 - Mar26'!T14</f>
        <v>Venkateshwara Hatcheries Ltd</v>
      </c>
      <c r="E14" s="25"/>
      <c r="F14" s="183" t="str">
        <f>+'Order Details Apr25 - Mar26'!D14</f>
        <v>IB (MassType) Live Vacine</v>
      </c>
      <c r="G14" s="184"/>
      <c r="H14" s="119">
        <f>+'Order Details Apr25 - Mar26'!H14</f>
        <v>50000</v>
      </c>
      <c r="I14" s="120" t="str">
        <f>+'Order Details Apr25 - Mar26'!I14</f>
        <v>Dose</v>
      </c>
      <c r="J14" s="28"/>
      <c r="K14" s="204" t="str">
        <f>+'Order Details Apr25 - Mar26'!R14</f>
        <v>PO / NBF / 100425 / 004</v>
      </c>
      <c r="L14" s="205"/>
      <c r="M14" s="206"/>
      <c r="N14" s="27">
        <f>'Order Details Apr25 - Mar26'!F14*'Order Details Apr25 - Mar26'!N14</f>
        <v>5565</v>
      </c>
      <c r="O14" s="25"/>
      <c r="P14" s="22"/>
      <c r="Q14" s="26"/>
      <c r="R14" s="82">
        <v>7</v>
      </c>
      <c r="S14" s="22"/>
      <c r="T14" s="142"/>
      <c r="U14" s="138"/>
      <c r="V14" s="51"/>
    </row>
    <row r="15" spans="1:22" ht="20.100000000000001" customHeight="1" x14ac:dyDescent="0.3">
      <c r="A15" s="44">
        <v>7</v>
      </c>
      <c r="B15" s="22">
        <f>+'Order Details Apr25 - Mar26'!P15</f>
        <v>45757</v>
      </c>
      <c r="C15" s="23"/>
      <c r="D15" s="118" t="str">
        <f>+'Order Details Apr25 - Mar26'!T15</f>
        <v>Venkateshwara Hatcheries Ltd</v>
      </c>
      <c r="E15" s="25"/>
      <c r="F15" s="183" t="str">
        <f>+'Order Details Apr25 - Mar26'!D15</f>
        <v>Fowl Pox Live Vaccine</v>
      </c>
      <c r="G15" s="184"/>
      <c r="H15" s="119">
        <f>+'Order Details Apr25 - Mar26'!H15</f>
        <v>50000</v>
      </c>
      <c r="I15" s="120" t="str">
        <f>+'Order Details Apr25 - Mar26'!I15</f>
        <v>Dose</v>
      </c>
      <c r="J15" s="28"/>
      <c r="K15" s="204" t="str">
        <f>+'Order Details Apr25 - Mar26'!R15</f>
        <v>PO / NBF / 100425 / 004</v>
      </c>
      <c r="L15" s="205"/>
      <c r="M15" s="206"/>
      <c r="N15" s="27">
        <f>'Order Details Apr25 - Mar26'!F15*'Order Details Apr25 - Mar26'!N15</f>
        <v>6562.5</v>
      </c>
      <c r="O15" s="25"/>
      <c r="P15" s="22"/>
      <c r="Q15" s="26"/>
      <c r="R15" s="82">
        <v>7</v>
      </c>
      <c r="S15" s="22"/>
      <c r="T15" s="142"/>
      <c r="U15" s="138"/>
      <c r="V15" s="51"/>
    </row>
    <row r="16" spans="1:22" ht="20.100000000000001" customHeight="1" x14ac:dyDescent="0.3">
      <c r="A16" s="44">
        <v>8</v>
      </c>
      <c r="B16" s="22">
        <f>+'Order Details Apr25 - Mar26'!P16</f>
        <v>45757</v>
      </c>
      <c r="C16" s="23"/>
      <c r="D16" s="118" t="str">
        <f>+'Order Details Apr25 - Mar26'!T16</f>
        <v>Venkateshwara Hatcheries Ltd</v>
      </c>
      <c r="E16" s="25"/>
      <c r="F16" s="183" t="str">
        <f>+'Order Details Apr25 - Mar26'!D16</f>
        <v>AE KILLED VAC</v>
      </c>
      <c r="G16" s="184"/>
      <c r="H16" s="119">
        <f>+'Order Details Apr25 - Mar26'!H16</f>
        <v>50000</v>
      </c>
      <c r="I16" s="120" t="str">
        <f>+'Order Details Apr25 - Mar26'!I16</f>
        <v>Dose</v>
      </c>
      <c r="J16" s="28"/>
      <c r="K16" s="204" t="str">
        <f>+'Order Details Apr25 - Mar26'!R16</f>
        <v>PO / NBF / 100425 / 004</v>
      </c>
      <c r="L16" s="205"/>
      <c r="M16" s="206"/>
      <c r="N16" s="27">
        <f>'Order Details Apr25 - Mar26'!F16*'Order Details Apr25 - Mar26'!N16</f>
        <v>104737.5</v>
      </c>
      <c r="O16" s="25"/>
      <c r="P16" s="22"/>
      <c r="Q16" s="26"/>
      <c r="R16" s="82">
        <v>7</v>
      </c>
      <c r="S16" s="22"/>
      <c r="T16" s="142"/>
      <c r="U16" s="138"/>
      <c r="V16" s="51"/>
    </row>
    <row r="17" spans="1:22" ht="20.100000000000001" customHeight="1" x14ac:dyDescent="0.3">
      <c r="A17" s="44">
        <v>9</v>
      </c>
      <c r="B17" s="22">
        <f>+'Order Details Apr25 - Mar26'!P17</f>
        <v>45757</v>
      </c>
      <c r="C17" s="23"/>
      <c r="D17" s="118" t="str">
        <f>+'Order Details Apr25 - Mar26'!T17</f>
        <v>Venkateshwara Hatcheries Ltd</v>
      </c>
      <c r="E17" s="25"/>
      <c r="F17" s="183" t="str">
        <f>+'Order Details Apr25 - Mar26'!D17</f>
        <v>IB ASTRO (AEIBH) KILLED VAC</v>
      </c>
      <c r="G17" s="184"/>
      <c r="H17" s="119">
        <f>+'Order Details Apr25 - Mar26'!H17</f>
        <v>50000</v>
      </c>
      <c r="I17" s="120" t="str">
        <f>+'Order Details Apr25 - Mar26'!I17</f>
        <v>Dose</v>
      </c>
      <c r="J17" s="28"/>
      <c r="K17" s="204" t="str">
        <f>+'Order Details Apr25 - Mar26'!R17</f>
        <v>PO / NBF / 100425 / 004</v>
      </c>
      <c r="L17" s="205"/>
      <c r="M17" s="206"/>
      <c r="N17" s="27">
        <f>'Order Details Apr25 - Mar26'!F17*'Order Details Apr25 - Mar26'!N17</f>
        <v>170887.5</v>
      </c>
      <c r="O17" s="25"/>
      <c r="P17" s="22"/>
      <c r="Q17" s="26"/>
      <c r="R17" s="82">
        <v>7</v>
      </c>
      <c r="S17" s="22"/>
      <c r="T17" s="142"/>
      <c r="U17" s="138"/>
      <c r="V17" s="51"/>
    </row>
    <row r="18" spans="1:22" ht="20.100000000000001" customHeight="1" x14ac:dyDescent="0.3">
      <c r="A18" s="44">
        <v>10</v>
      </c>
      <c r="B18" s="22">
        <f>+'Order Details Apr25 - Mar26'!P18</f>
        <v>45757</v>
      </c>
      <c r="C18" s="23"/>
      <c r="D18" s="118" t="str">
        <f>+'Order Details Apr25 - Mar26'!T18</f>
        <v>Venkateshwara Hatcheries Ltd</v>
      </c>
      <c r="E18" s="25"/>
      <c r="F18" s="183" t="str">
        <f>+'Order Details Apr25 - Mar26'!D18</f>
        <v>IBD KILLED VAC (Venkys)</v>
      </c>
      <c r="G18" s="184"/>
      <c r="H18" s="119">
        <f>+'Order Details Apr25 - Mar26'!H18</f>
        <v>50000</v>
      </c>
      <c r="I18" s="120" t="str">
        <f>+'Order Details Apr25 - Mar26'!I18</f>
        <v>Dose</v>
      </c>
      <c r="J18" s="28"/>
      <c r="K18" s="204" t="str">
        <f>+'Order Details Apr25 - Mar26'!R18</f>
        <v>PO / NBF / 100425 / 004</v>
      </c>
      <c r="L18" s="205"/>
      <c r="M18" s="206"/>
      <c r="N18" s="27">
        <f>'Order Details Apr25 - Mar26'!F18*'Order Details Apr25 - Mar26'!N18</f>
        <v>117600</v>
      </c>
      <c r="O18" s="25"/>
      <c r="P18" s="22"/>
      <c r="Q18" s="26"/>
      <c r="R18" s="82">
        <v>7</v>
      </c>
      <c r="S18" s="22"/>
      <c r="T18" s="142"/>
      <c r="U18" s="138"/>
      <c r="V18" s="51"/>
    </row>
    <row r="19" spans="1:22" ht="20.100000000000001" customHeight="1" x14ac:dyDescent="0.3">
      <c r="A19" s="44">
        <v>11</v>
      </c>
      <c r="B19" s="22">
        <f>+'Order Details Apr25 - Mar26'!P19</f>
        <v>45757</v>
      </c>
      <c r="C19" s="23"/>
      <c r="D19" s="118" t="str">
        <f>+'Order Details Apr25 - Mar26'!T19</f>
        <v>Venkateshwara Hatcheries Ltd</v>
      </c>
      <c r="E19" s="25"/>
      <c r="F19" s="183" t="str">
        <f>+'Order Details Apr25 - Mar26'!D19</f>
        <v>IBH KILLED VAC (Venkys)</v>
      </c>
      <c r="G19" s="184"/>
      <c r="H19" s="119">
        <f>+'Order Details Apr25 - Mar26'!H19</f>
        <v>50000</v>
      </c>
      <c r="I19" s="120" t="str">
        <f>+'Order Details Apr25 - Mar26'!I19</f>
        <v>Dose</v>
      </c>
      <c r="J19" s="28"/>
      <c r="K19" s="204" t="str">
        <f>+'Order Details Apr25 - Mar26'!R19</f>
        <v>PO / NBF / 100425 / 004</v>
      </c>
      <c r="L19" s="205"/>
      <c r="M19" s="206"/>
      <c r="N19" s="27">
        <f>'Order Details Apr25 - Mar26'!F19*'Order Details Apr25 - Mar26'!N19</f>
        <v>82687.5</v>
      </c>
      <c r="O19" s="25"/>
      <c r="P19" s="22"/>
      <c r="Q19" s="26"/>
      <c r="R19" s="82">
        <v>7</v>
      </c>
      <c r="S19" s="22"/>
      <c r="T19" s="142"/>
      <c r="U19" s="138"/>
      <c r="V19" s="51"/>
    </row>
    <row r="20" spans="1:22" ht="20.100000000000001" customHeight="1" x14ac:dyDescent="0.3">
      <c r="A20" s="44">
        <v>12</v>
      </c>
      <c r="B20" s="22">
        <f>+'Order Details Apr25 - Mar26'!P20</f>
        <v>45757</v>
      </c>
      <c r="C20" s="23"/>
      <c r="D20" s="118" t="str">
        <f>+'Order Details Apr25 - Mar26'!T20</f>
        <v>Venkateshwara Hatcheries Ltd</v>
      </c>
      <c r="E20" s="25"/>
      <c r="F20" s="183" t="str">
        <f>+'Order Details Apr25 - Mar26'!D20</f>
        <v>SALMONELLA KILLED VAC</v>
      </c>
      <c r="G20" s="184"/>
      <c r="H20" s="119">
        <f>+'Order Details Apr25 - Mar26'!H20</f>
        <v>50000</v>
      </c>
      <c r="I20" s="120" t="str">
        <f>+'Order Details Apr25 - Mar26'!I20</f>
        <v>Dose</v>
      </c>
      <c r="J20" s="28"/>
      <c r="K20" s="204" t="str">
        <f>+'Order Details Apr25 - Mar26'!R20</f>
        <v>PO / NBF / 100425 / 004</v>
      </c>
      <c r="L20" s="205"/>
      <c r="M20" s="206"/>
      <c r="N20" s="27">
        <f>'Order Details Apr25 - Mar26'!F20*'Order Details Apr25 - Mar26'!N20</f>
        <v>148837.5</v>
      </c>
      <c r="O20" s="25"/>
      <c r="P20" s="22"/>
      <c r="Q20" s="26"/>
      <c r="R20" s="82">
        <v>7</v>
      </c>
      <c r="S20" s="22"/>
      <c r="T20" s="142"/>
      <c r="U20" s="138"/>
      <c r="V20" s="51"/>
    </row>
    <row r="21" spans="1:22" ht="20.100000000000001" customHeight="1" x14ac:dyDescent="0.3">
      <c r="A21" s="44">
        <v>13</v>
      </c>
      <c r="B21" s="22">
        <f>+'Order Details Apr25 - Mar26'!P21</f>
        <v>45757</v>
      </c>
      <c r="C21" s="23"/>
      <c r="D21" s="118" t="str">
        <f>+'Order Details Apr25 - Mar26'!T21</f>
        <v>Venkateshwara Hatcheries Ltd</v>
      </c>
      <c r="E21" s="25"/>
      <c r="F21" s="183" t="str">
        <f>+'Order Details Apr25 - Mar26'!D21</f>
        <v>VENNEW BRO (ND+IB Multi) KILLED</v>
      </c>
      <c r="G21" s="184"/>
      <c r="H21" s="119">
        <f>+'Order Details Apr25 - Mar26'!H21</f>
        <v>50000</v>
      </c>
      <c r="I21" s="120" t="str">
        <f>+'Order Details Apr25 - Mar26'!I21</f>
        <v>Dose</v>
      </c>
      <c r="J21" s="28"/>
      <c r="K21" s="204" t="str">
        <f>+'Order Details Apr25 - Mar26'!R21</f>
        <v>PO / NBF / 100425 / 004</v>
      </c>
      <c r="L21" s="205"/>
      <c r="M21" s="206"/>
      <c r="N21" s="27">
        <f>'Order Details Apr25 - Mar26'!F21*'Order Details Apr25 - Mar26'!N21</f>
        <v>165112.5</v>
      </c>
      <c r="O21" s="25"/>
      <c r="P21" s="22"/>
      <c r="Q21" s="26"/>
      <c r="R21" s="82">
        <v>7</v>
      </c>
      <c r="S21" s="22"/>
      <c r="T21" s="142"/>
      <c r="U21" s="138"/>
      <c r="V21" s="51"/>
    </row>
    <row r="22" spans="1:22" ht="20.100000000000001" customHeight="1" x14ac:dyDescent="0.3">
      <c r="A22" s="44">
        <v>14</v>
      </c>
      <c r="B22" s="22">
        <f>+'Order Details Apr25 - Mar26'!P22</f>
        <v>45757</v>
      </c>
      <c r="C22" s="23"/>
      <c r="D22" s="118" t="str">
        <f>+'Order Details Apr25 - Mar26'!T22</f>
        <v>Venkateshwara Hatcheries Ltd</v>
      </c>
      <c r="E22" s="25"/>
      <c r="F22" s="183" t="str">
        <f>+'Order Details Apr25 - Mar26'!D22</f>
        <v xml:space="preserve">VH CORE-4 (Coryza+ORT) KILLED </v>
      </c>
      <c r="G22" s="184"/>
      <c r="H22" s="119">
        <f>+'Order Details Apr25 - Mar26'!H22</f>
        <v>50000</v>
      </c>
      <c r="I22" s="120" t="str">
        <f>+'Order Details Apr25 - Mar26'!I22</f>
        <v>Dose</v>
      </c>
      <c r="J22" s="28"/>
      <c r="K22" s="204" t="str">
        <f>+'Order Details Apr25 - Mar26'!R22</f>
        <v>PO / NBF / 100425 / 004</v>
      </c>
      <c r="L22" s="205"/>
      <c r="M22" s="206"/>
      <c r="N22" s="27">
        <f>'Order Details Apr25 - Mar26'!F22*'Order Details Apr25 - Mar26'!N22</f>
        <v>81322.5</v>
      </c>
      <c r="O22" s="25"/>
      <c r="P22" s="22"/>
      <c r="Q22" s="26"/>
      <c r="R22" s="82">
        <v>7</v>
      </c>
      <c r="S22" s="22"/>
      <c r="T22" s="142"/>
      <c r="U22" s="138"/>
      <c r="V22" s="51"/>
    </row>
    <row r="23" spans="1:22" ht="20.100000000000001" customHeight="1" x14ac:dyDescent="0.3">
      <c r="A23" s="44">
        <v>15</v>
      </c>
      <c r="B23" s="22">
        <f>+'Order Details Apr25 - Mar26'!P23</f>
        <v>45757</v>
      </c>
      <c r="C23" s="23"/>
      <c r="D23" s="118" t="str">
        <f>+'Order Details Apr25 - Mar26'!T23</f>
        <v>Venkateshwara Hatcheries Ltd</v>
      </c>
      <c r="E23" s="25"/>
      <c r="F23" s="183" t="str">
        <f>+'Order Details Apr25 - Mar26'!D23</f>
        <v>VH FC-3 (Fowl Cholera) KILLED VAC</v>
      </c>
      <c r="G23" s="184"/>
      <c r="H23" s="119">
        <f>+'Order Details Apr25 - Mar26'!H23</f>
        <v>50000</v>
      </c>
      <c r="I23" s="120" t="str">
        <f>+'Order Details Apr25 - Mar26'!I23</f>
        <v>Dose</v>
      </c>
      <c r="J23" s="28"/>
      <c r="K23" s="204" t="str">
        <f>+'Order Details Apr25 - Mar26'!R23</f>
        <v>PO / NBF / 100425 / 004</v>
      </c>
      <c r="L23" s="205"/>
      <c r="M23" s="206"/>
      <c r="N23" s="27">
        <f>'Order Details Apr25 - Mar26'!F23*'Order Details Apr25 - Mar26'!N23</f>
        <v>49612.5</v>
      </c>
      <c r="O23" s="25"/>
      <c r="P23" s="22"/>
      <c r="Q23" s="26"/>
      <c r="R23" s="82">
        <v>7</v>
      </c>
      <c r="S23" s="22"/>
      <c r="T23" s="142"/>
      <c r="U23" s="138"/>
      <c r="V23" s="51"/>
    </row>
    <row r="24" spans="1:22" ht="20.100000000000001" customHeight="1" x14ac:dyDescent="0.3">
      <c r="A24" s="44">
        <v>16</v>
      </c>
      <c r="B24" s="22">
        <f>+'Order Details Apr25 - Mar26'!P24</f>
        <v>45757</v>
      </c>
      <c r="C24" s="23"/>
      <c r="D24" s="118" t="str">
        <f>+'Order Details Apr25 - Mar26'!T24</f>
        <v>Venkateshwara Hatcheries Ltd</v>
      </c>
      <c r="E24" s="25"/>
      <c r="F24" s="183" t="str">
        <f>+'Order Details Apr25 - Mar26'!D24</f>
        <v>VVND (VENGEM-9) KILLED VAC</v>
      </c>
      <c r="G24" s="184"/>
      <c r="H24" s="119">
        <f>+'Order Details Apr25 - Mar26'!H24</f>
        <v>50000</v>
      </c>
      <c r="I24" s="120" t="str">
        <f>+'Order Details Apr25 - Mar26'!I24</f>
        <v>Dose</v>
      </c>
      <c r="J24" s="28"/>
      <c r="K24" s="204" t="str">
        <f>+'Order Details Apr25 - Mar26'!R24</f>
        <v>PO / NBF / 100425 / 004</v>
      </c>
      <c r="L24" s="205"/>
      <c r="M24" s="206"/>
      <c r="N24" s="27">
        <f>'Order Details Apr25 - Mar26'!F24*'Order Details Apr25 - Mar26'!N24</f>
        <v>54862.5</v>
      </c>
      <c r="O24" s="25"/>
      <c r="P24" s="22"/>
      <c r="Q24" s="26"/>
      <c r="R24" s="82">
        <v>7</v>
      </c>
      <c r="S24" s="22"/>
      <c r="T24" s="142"/>
      <c r="U24" s="138"/>
      <c r="V24" s="51"/>
    </row>
    <row r="25" spans="1:22" ht="20.100000000000001" customHeight="1" x14ac:dyDescent="0.3">
      <c r="A25" s="44">
        <v>17</v>
      </c>
      <c r="B25" s="22">
        <f>+'Order Details Apr25 - Mar26'!P25</f>
        <v>45757</v>
      </c>
      <c r="C25" s="23"/>
      <c r="D25" s="118" t="str">
        <f>+'Order Details Apr25 - Mar26'!T25</f>
        <v>Venkateshwara Hatcheries Ltd</v>
      </c>
      <c r="E25" s="25"/>
      <c r="F25" s="183" t="str">
        <f>+'Order Details Apr25 - Mar26'!D25</f>
        <v>Sterile Diluent for Fowl Pox Live</v>
      </c>
      <c r="G25" s="184"/>
      <c r="H25" s="119">
        <f>+'Order Details Apr25 - Mar26'!H25</f>
        <v>50000</v>
      </c>
      <c r="I25" s="120" t="str">
        <f>+'Order Details Apr25 - Mar26'!I25</f>
        <v>Dose</v>
      </c>
      <c r="J25" s="28"/>
      <c r="K25" s="204" t="str">
        <f>+'Order Details Apr25 - Mar26'!R25</f>
        <v>PO / NBF / 100425 / 004</v>
      </c>
      <c r="L25" s="205"/>
      <c r="M25" s="206"/>
      <c r="N25" s="27">
        <f>'Order Details Apr25 - Mar26'!F25*'Order Details Apr25 - Mar26'!N25</f>
        <v>91.875</v>
      </c>
      <c r="O25" s="25"/>
      <c r="P25" s="22"/>
      <c r="Q25" s="26"/>
      <c r="R25" s="82">
        <v>7</v>
      </c>
      <c r="S25" s="22"/>
      <c r="T25" s="142"/>
      <c r="U25" s="138"/>
      <c r="V25" s="51"/>
    </row>
    <row r="26" spans="1:22" ht="20.100000000000001" customHeight="1" x14ac:dyDescent="0.3">
      <c r="A26" s="44">
        <v>18</v>
      </c>
      <c r="B26" s="22">
        <f>+'Order Details Apr25 - Mar26'!P26</f>
        <v>45757</v>
      </c>
      <c r="C26" s="23"/>
      <c r="D26" s="118" t="str">
        <f>+'Order Details Apr25 - Mar26'!T26</f>
        <v>Venkateshwara Hatcheries Ltd</v>
      </c>
      <c r="E26" s="25"/>
      <c r="F26" s="183" t="str">
        <f>+'Order Details Apr25 - Mar26'!D26</f>
        <v>Sterile Diluent for Live Vaccine</v>
      </c>
      <c r="G26" s="184"/>
      <c r="H26" s="119">
        <f>+'Order Details Apr25 - Mar26'!H26</f>
        <v>50000</v>
      </c>
      <c r="I26" s="120" t="str">
        <f>+'Order Details Apr25 - Mar26'!I26</f>
        <v>Dose</v>
      </c>
      <c r="J26" s="28"/>
      <c r="K26" s="204" t="str">
        <f>+'Order Details Apr25 - Mar26'!R26</f>
        <v>PO / NBF / 100425 / 004</v>
      </c>
      <c r="L26" s="205"/>
      <c r="M26" s="206"/>
      <c r="N26" s="27">
        <f>'Order Details Apr25 - Mar26'!F26*'Order Details Apr25 - Mar26'!N26</f>
        <v>91.875</v>
      </c>
      <c r="O26" s="25"/>
      <c r="P26" s="22"/>
      <c r="Q26" s="26"/>
      <c r="R26" s="82">
        <v>7</v>
      </c>
      <c r="S26" s="22"/>
      <c r="T26" s="142"/>
      <c r="U26" s="138"/>
      <c r="V26" s="51"/>
    </row>
    <row r="27" spans="1:22" ht="20.100000000000001" customHeight="1" x14ac:dyDescent="0.3">
      <c r="A27" s="44">
        <v>19</v>
      </c>
      <c r="B27" s="22">
        <f>+'Order Details Apr25 - Mar26'!P27</f>
        <v>45757</v>
      </c>
      <c r="C27" s="23"/>
      <c r="D27" s="118" t="str">
        <f>+'Order Details Apr25 - Mar26'!T27</f>
        <v>Venkateshwara Marketing Hyd</v>
      </c>
      <c r="E27" s="25"/>
      <c r="F27" s="183" t="str">
        <f>+'Order Details Apr25 - Mar26'!D27</f>
        <v>Nobilis REO INAC KILLED VAC (MSD)</v>
      </c>
      <c r="G27" s="184"/>
      <c r="H27" s="119">
        <f>+'Order Details Apr25 - Mar26'!H27</f>
        <v>50000</v>
      </c>
      <c r="I27" s="120" t="str">
        <f>+'Order Details Apr25 - Mar26'!I27</f>
        <v>Dose</v>
      </c>
      <c r="J27" s="28"/>
      <c r="K27" s="204" t="str">
        <f>+'Order Details Apr25 - Mar26'!R27</f>
        <v>PO / NBF / 100425 / 005</v>
      </c>
      <c r="L27" s="205"/>
      <c r="M27" s="206"/>
      <c r="N27" s="27">
        <f>'Order Details Apr25 - Mar26'!F27*'Order Details Apr25 - Mar26'!N27</f>
        <v>180180</v>
      </c>
      <c r="O27" s="25"/>
      <c r="P27" s="22"/>
      <c r="Q27" s="26"/>
      <c r="R27" s="82">
        <v>45</v>
      </c>
      <c r="S27" s="22"/>
      <c r="T27" s="142"/>
      <c r="U27" s="138"/>
      <c r="V27" s="51"/>
    </row>
    <row r="28" spans="1:22" ht="20.100000000000001" customHeight="1" x14ac:dyDescent="0.3">
      <c r="A28" s="44">
        <v>20</v>
      </c>
      <c r="B28" s="22">
        <f>+'Order Details Apr25 - Mar26'!P28</f>
        <v>45777</v>
      </c>
      <c r="C28" s="23"/>
      <c r="D28" s="118" t="str">
        <f>+'Order Details Apr25 - Mar26'!T28</f>
        <v>Alivira Animal Health Ltd</v>
      </c>
      <c r="E28" s="25"/>
      <c r="F28" s="183" t="str">
        <f>+'Order Details Apr25 - Mar26'!D28</f>
        <v>CITRINAL (Alivira)</v>
      </c>
      <c r="G28" s="184"/>
      <c r="H28" s="119">
        <f>+'Order Details Apr25 - Mar26'!H28</f>
        <v>500</v>
      </c>
      <c r="I28" s="120" t="str">
        <f>+'Order Details Apr25 - Mar26'!I28</f>
        <v>Kg</v>
      </c>
      <c r="J28" s="28"/>
      <c r="K28" s="204" t="str">
        <f>+'Order Details Apr25 - Mar26'!R28</f>
        <v>PO / NBF / 300425 / 006</v>
      </c>
      <c r="L28" s="205"/>
      <c r="M28" s="206"/>
      <c r="N28" s="27">
        <f>'Order Details Apr25 - Mar26'!F28*'Order Details Apr25 - Mar26'!N28</f>
        <v>72500</v>
      </c>
      <c r="O28" s="25"/>
      <c r="P28" s="22"/>
      <c r="Q28" s="26"/>
      <c r="R28" s="82">
        <v>45</v>
      </c>
      <c r="S28" s="22"/>
      <c r="T28" s="142"/>
      <c r="U28" s="138"/>
      <c r="V28" s="51"/>
    </row>
    <row r="29" spans="1:22" ht="20.100000000000001" customHeight="1" x14ac:dyDescent="0.3">
      <c r="A29" s="44">
        <v>21</v>
      </c>
      <c r="B29" s="22">
        <f>+'Order Details Apr25 - Mar26'!P29</f>
        <v>45777</v>
      </c>
      <c r="C29" s="23"/>
      <c r="D29" s="118" t="str">
        <f>+'Order Details Apr25 - Mar26'!T29</f>
        <v>Alltech Biotechnology Pvt Ltd</v>
      </c>
      <c r="E29" s="25"/>
      <c r="F29" s="183" t="str">
        <f>+'Order Details Apr25 - Mar26'!D29</f>
        <v>BIOPLEX PRIME (Alltech)</v>
      </c>
      <c r="G29" s="184"/>
      <c r="H29" s="119">
        <f>+'Order Details Apr25 - Mar26'!H29</f>
        <v>500</v>
      </c>
      <c r="I29" s="120" t="str">
        <f>+'Order Details Apr25 - Mar26'!I29</f>
        <v>Kg</v>
      </c>
      <c r="J29" s="28"/>
      <c r="K29" s="204" t="str">
        <f>+'Order Details Apr25 - Mar26'!R29</f>
        <v>PO / NBF / 300425 / 007</v>
      </c>
      <c r="L29" s="205"/>
      <c r="M29" s="206"/>
      <c r="N29" s="27">
        <f>'Order Details Apr25 - Mar26'!F29*'Order Details Apr25 - Mar26'!N29</f>
        <v>120000</v>
      </c>
      <c r="O29" s="25"/>
      <c r="P29" s="22"/>
      <c r="Q29" s="26"/>
      <c r="R29" s="82">
        <v>7</v>
      </c>
      <c r="S29" s="22"/>
      <c r="T29" s="142"/>
      <c r="U29" s="138"/>
      <c r="V29" s="51"/>
    </row>
    <row r="30" spans="1:22" ht="20.100000000000001" customHeight="1" x14ac:dyDescent="0.3">
      <c r="A30" s="44">
        <v>22</v>
      </c>
      <c r="B30" s="22">
        <f>+'Order Details Apr25 - Mar26'!P30</f>
        <v>45777</v>
      </c>
      <c r="C30" s="23"/>
      <c r="D30" s="118" t="str">
        <f>+'Order Details Apr25 - Mar26'!T30</f>
        <v>APC Nutrients Pvt Ltd Hyderabad</v>
      </c>
      <c r="E30" s="25"/>
      <c r="F30" s="183" t="str">
        <f>+'Order Details Apr25 - Mar26'!D30</f>
        <v>VOLAMEL EXTRA (Nukamel)</v>
      </c>
      <c r="G30" s="184"/>
      <c r="H30" s="119">
        <f>+'Order Details Apr25 - Mar26'!H30</f>
        <v>500</v>
      </c>
      <c r="I30" s="120" t="str">
        <f>+'Order Details Apr25 - Mar26'!I30</f>
        <v>Kg</v>
      </c>
      <c r="J30" s="28"/>
      <c r="K30" s="204" t="str">
        <f>+'Order Details Apr25 - Mar26'!R30</f>
        <v>PO / NBF / 300425 / 008</v>
      </c>
      <c r="L30" s="205"/>
      <c r="M30" s="206"/>
      <c r="N30" s="27">
        <f>'Order Details Apr25 - Mar26'!F30*'Order Details Apr25 - Mar26'!N30</f>
        <v>285000</v>
      </c>
      <c r="O30" s="25"/>
      <c r="P30" s="22"/>
      <c r="Q30" s="26"/>
      <c r="R30" s="82">
        <v>7</v>
      </c>
      <c r="S30" s="22"/>
      <c r="T30" s="142"/>
      <c r="U30" s="138"/>
      <c r="V30" s="51"/>
    </row>
    <row r="31" spans="1:22" ht="20.100000000000001" customHeight="1" x14ac:dyDescent="0.3">
      <c r="A31" s="44">
        <v>23</v>
      </c>
      <c r="B31" s="22">
        <f>+'Order Details Apr25 - Mar26'!P31</f>
        <v>45777</v>
      </c>
      <c r="C31" s="23"/>
      <c r="D31" s="118" t="str">
        <f>+'Order Details Apr25 - Mar26'!T31</f>
        <v>Das Drug Centre Pvt Ltd, Habra</v>
      </c>
      <c r="E31" s="25"/>
      <c r="F31" s="183" t="str">
        <f>+'Order Details Apr25 - Mar26'!D31</f>
        <v>LIV-52 PROTEC Powder (Himalaya)</v>
      </c>
      <c r="G31" s="184"/>
      <c r="H31" s="119">
        <f>+'Order Details Apr25 - Mar26'!H31</f>
        <v>500</v>
      </c>
      <c r="I31" s="120" t="str">
        <f>+'Order Details Apr25 - Mar26'!I31</f>
        <v>Kg</v>
      </c>
      <c r="J31" s="28"/>
      <c r="K31" s="204" t="str">
        <f>+'Order Details Apr25 - Mar26'!R31</f>
        <v>PO / NBF / 300425 / 009</v>
      </c>
      <c r="L31" s="205"/>
      <c r="M31" s="206"/>
      <c r="N31" s="27">
        <f>'Order Details Apr25 - Mar26'!F31*'Order Details Apr25 - Mar26'!N31</f>
        <v>22500</v>
      </c>
      <c r="O31" s="25"/>
      <c r="P31" s="22"/>
      <c r="Q31" s="26"/>
      <c r="R31" s="82">
        <v>45</v>
      </c>
      <c r="S31" s="22"/>
      <c r="T31" s="142"/>
      <c r="U31" s="138"/>
      <c r="V31" s="51"/>
    </row>
    <row r="32" spans="1:22" ht="20.100000000000001" customHeight="1" x14ac:dyDescent="0.3">
      <c r="A32" s="44">
        <v>24</v>
      </c>
      <c r="B32" s="22">
        <f>+'Order Details Apr25 - Mar26'!P32</f>
        <v>45777</v>
      </c>
      <c r="C32" s="23"/>
      <c r="D32" s="118" t="str">
        <f>+'Order Details Apr25 - Mar26'!T32</f>
        <v>Jeco Agrovet Pvt Ltd Kolkata</v>
      </c>
      <c r="E32" s="25"/>
      <c r="F32" s="183" t="str">
        <f>+'Order Details Apr25 - Mar26'!D32</f>
        <v>ROVIMIX-E 50 (DSM)</v>
      </c>
      <c r="G32" s="184"/>
      <c r="H32" s="119">
        <f>+'Order Details Apr25 - Mar26'!H32</f>
        <v>200</v>
      </c>
      <c r="I32" s="120" t="str">
        <f>+'Order Details Apr25 - Mar26'!I32</f>
        <v>Kg</v>
      </c>
      <c r="J32" s="28"/>
      <c r="K32" s="204" t="str">
        <f>+'Order Details Apr25 - Mar26'!R32</f>
        <v>PO / NBF / 300425 / 010</v>
      </c>
      <c r="L32" s="205"/>
      <c r="M32" s="206"/>
      <c r="N32" s="27">
        <f>'Order Details Apr25 - Mar26'!F32*'Order Details Apr25 - Mar26'!N32</f>
        <v>354000</v>
      </c>
      <c r="O32" s="25"/>
      <c r="P32" s="22"/>
      <c r="Q32" s="26"/>
      <c r="R32" s="82">
        <v>30</v>
      </c>
      <c r="S32" s="22"/>
      <c r="T32" s="142"/>
      <c r="U32" s="138"/>
      <c r="V32" s="51"/>
    </row>
    <row r="33" spans="1:22" ht="20.100000000000001" customHeight="1" x14ac:dyDescent="0.3">
      <c r="A33" s="44">
        <v>25</v>
      </c>
      <c r="B33" s="22">
        <f>+'Order Details Apr25 - Mar26'!P33</f>
        <v>45777</v>
      </c>
      <c r="C33" s="23"/>
      <c r="D33" s="118" t="str">
        <f>+'Order Details Apr25 - Mar26'!T33</f>
        <v>Kemin Industries South Asia</v>
      </c>
      <c r="E33" s="25"/>
      <c r="F33" s="183" t="str">
        <f>+'Order Details Apr25 - Mar26'!D33</f>
        <v>KEMZYME - XPF (Kemin)</v>
      </c>
      <c r="G33" s="184"/>
      <c r="H33" s="119">
        <f>+'Order Details Apr25 - Mar26'!H33</f>
        <v>250</v>
      </c>
      <c r="I33" s="120" t="str">
        <f>+'Order Details Apr25 - Mar26'!I33</f>
        <v>Kg</v>
      </c>
      <c r="J33" s="28"/>
      <c r="K33" s="204" t="str">
        <f>+'Order Details Apr25 - Mar26'!R33</f>
        <v>PO / NBF / 300425 / 011</v>
      </c>
      <c r="L33" s="205"/>
      <c r="M33" s="206"/>
      <c r="N33" s="27">
        <f>'Order Details Apr25 - Mar26'!F33*'Order Details Apr25 - Mar26'!N33</f>
        <v>60500</v>
      </c>
      <c r="O33" s="25"/>
      <c r="P33" s="22"/>
      <c r="Q33" s="26"/>
      <c r="R33" s="82">
        <v>45</v>
      </c>
      <c r="S33" s="22"/>
      <c r="T33" s="142"/>
      <c r="U33" s="138"/>
      <c r="V33" s="51"/>
    </row>
    <row r="34" spans="1:22" ht="20.100000000000001" customHeight="1" x14ac:dyDescent="0.3">
      <c r="A34" s="44">
        <v>26</v>
      </c>
      <c r="B34" s="22">
        <f>+'Order Details Apr25 - Mar26'!P34</f>
        <v>45780</v>
      </c>
      <c r="C34" s="23"/>
      <c r="D34" s="118" t="str">
        <f>+'Order Details Apr25 - Mar26'!T34</f>
        <v>B V Biocrop - Hitech Division</v>
      </c>
      <c r="E34" s="25"/>
      <c r="F34" s="183" t="str">
        <f>+'Order Details Apr25 - Mar26'!D34</f>
        <v>BVCLO2 (10 Gram) TAB</v>
      </c>
      <c r="G34" s="184"/>
      <c r="H34" s="119">
        <f>+'Order Details Apr25 - Mar26'!H34</f>
        <v>1000</v>
      </c>
      <c r="I34" s="120" t="str">
        <f>+'Order Details Apr25 - Mar26'!I34</f>
        <v>Pcs</v>
      </c>
      <c r="J34" s="28"/>
      <c r="K34" s="204" t="str">
        <f>+'Order Details Apr25 - Mar26'!R34</f>
        <v>PO / NBF / 030525 / 012</v>
      </c>
      <c r="L34" s="205"/>
      <c r="M34" s="206"/>
      <c r="N34" s="27">
        <f>'Order Details Apr25 - Mar26'!F34*'Order Details Apr25 - Mar26'!N34</f>
        <v>23600</v>
      </c>
      <c r="O34" s="25"/>
      <c r="P34" s="22"/>
      <c r="Q34" s="26"/>
      <c r="R34" s="82">
        <v>7</v>
      </c>
      <c r="S34" s="22"/>
      <c r="T34" s="142"/>
      <c r="U34" s="138"/>
      <c r="V34" s="51"/>
    </row>
    <row r="35" spans="1:22" ht="20.100000000000001" customHeight="1" x14ac:dyDescent="0.3">
      <c r="A35" s="44">
        <v>27</v>
      </c>
      <c r="B35" s="22">
        <f>+'Order Details Apr25 - Mar26'!P35</f>
        <v>45780</v>
      </c>
      <c r="C35" s="23"/>
      <c r="D35" s="118" t="str">
        <f>+'Order Details Apr25 - Mar26'!T35</f>
        <v>B V Biocrop - Hitech Division</v>
      </c>
      <c r="E35" s="25"/>
      <c r="F35" s="183" t="str">
        <f>+'Order Details Apr25 - Mar26'!D35</f>
        <v>B-904 (BV Biocrop)</v>
      </c>
      <c r="G35" s="184"/>
      <c r="H35" s="119">
        <f>+'Order Details Apr25 - Mar26'!H35</f>
        <v>60</v>
      </c>
      <c r="I35" s="120" t="str">
        <f>+'Order Details Apr25 - Mar26'!I35</f>
        <v>Ltr</v>
      </c>
      <c r="J35" s="28"/>
      <c r="K35" s="204" t="str">
        <f>+'Order Details Apr25 - Mar26'!R35</f>
        <v>PO / NBF / 030525 / 012</v>
      </c>
      <c r="L35" s="205"/>
      <c r="M35" s="206"/>
      <c r="N35" s="27">
        <f>'Order Details Apr25 - Mar26'!F35*'Order Details Apr25 - Mar26'!N35</f>
        <v>46345.68</v>
      </c>
      <c r="O35" s="25"/>
      <c r="P35" s="22"/>
      <c r="Q35" s="26"/>
      <c r="R35" s="82">
        <v>7</v>
      </c>
      <c r="S35" s="22"/>
      <c r="T35" s="142"/>
      <c r="U35" s="138"/>
      <c r="V35" s="51"/>
    </row>
    <row r="36" spans="1:22" ht="20.100000000000001" customHeight="1" x14ac:dyDescent="0.3">
      <c r="A36" s="44">
        <v>28</v>
      </c>
      <c r="B36" s="22">
        <f>+'Order Details Apr25 - Mar26'!P36</f>
        <v>45780</v>
      </c>
      <c r="C36" s="23"/>
      <c r="D36" s="118" t="str">
        <f>+'Order Details Apr25 - Mar26'!T36</f>
        <v>B V Biocrop - Hitech Division</v>
      </c>
      <c r="E36" s="25"/>
      <c r="F36" s="183" t="str">
        <f>+'Order Details Apr25 - Mar26'!D36</f>
        <v>SAFEGARD (BV Biocrop)</v>
      </c>
      <c r="G36" s="184"/>
      <c r="H36" s="119">
        <f>+'Order Details Apr25 - Mar26'!H36</f>
        <v>100</v>
      </c>
      <c r="I36" s="120" t="str">
        <f>+'Order Details Apr25 - Mar26'!I36</f>
        <v>Ltr</v>
      </c>
      <c r="J36" s="28"/>
      <c r="K36" s="204" t="str">
        <f>+'Order Details Apr25 - Mar26'!R36</f>
        <v>PO / NBF / 030525 / 012</v>
      </c>
      <c r="L36" s="205"/>
      <c r="M36" s="206"/>
      <c r="N36" s="27">
        <f>'Order Details Apr25 - Mar26'!F36*'Order Details Apr25 - Mar26'!N36</f>
        <v>27659.200000000001</v>
      </c>
      <c r="O36" s="25"/>
      <c r="P36" s="22"/>
      <c r="Q36" s="26"/>
      <c r="R36" s="82">
        <v>7</v>
      </c>
      <c r="S36" s="22"/>
      <c r="T36" s="142"/>
      <c r="U36" s="138"/>
      <c r="V36" s="51"/>
    </row>
    <row r="37" spans="1:22" ht="20.100000000000001" customHeight="1" x14ac:dyDescent="0.3">
      <c r="A37" s="44">
        <v>29</v>
      </c>
      <c r="B37" s="22">
        <f>+'Order Details Apr25 - Mar26'!P37</f>
        <v>45780</v>
      </c>
      <c r="C37" s="23"/>
      <c r="D37" s="118" t="str">
        <f>+'Order Details Apr25 - Mar26'!T37</f>
        <v>Bhabani Bio Security Orisha</v>
      </c>
      <c r="E37" s="25"/>
      <c r="F37" s="183" t="str">
        <f>+'Order Details Apr25 - Mar26'!D37</f>
        <v>BB - SCALONIL- 888 (B B Security)</v>
      </c>
      <c r="G37" s="184"/>
      <c r="H37" s="119">
        <f>+'Order Details Apr25 - Mar26'!H37</f>
        <v>500</v>
      </c>
      <c r="I37" s="120" t="str">
        <f>+'Order Details Apr25 - Mar26'!I37</f>
        <v>Ltr</v>
      </c>
      <c r="J37" s="28"/>
      <c r="K37" s="204" t="str">
        <f>+'Order Details Apr25 - Mar26'!R37</f>
        <v>PO / NBF / 030525 / 013</v>
      </c>
      <c r="L37" s="205"/>
      <c r="M37" s="206"/>
      <c r="N37" s="27">
        <f>'Order Details Apr25 - Mar26'!F37*'Order Details Apr25 - Mar26'!N37</f>
        <v>63720.000000000007</v>
      </c>
      <c r="O37" s="25"/>
      <c r="P37" s="22"/>
      <c r="Q37" s="26"/>
      <c r="R37" s="82">
        <v>45</v>
      </c>
      <c r="S37" s="22"/>
      <c r="T37" s="142"/>
      <c r="U37" s="138"/>
      <c r="V37" s="51"/>
    </row>
    <row r="38" spans="1:22" ht="20.100000000000001" customHeight="1" x14ac:dyDescent="0.3">
      <c r="A38" s="44">
        <v>30</v>
      </c>
      <c r="B38" s="22">
        <f>+'Order Details Apr25 - Mar26'!P38</f>
        <v>45780</v>
      </c>
      <c r="C38" s="23"/>
      <c r="D38" s="118" t="str">
        <f>+'Order Details Apr25 - Mar26'!T38</f>
        <v>Das Drug Centre Pvt Ltd, Habra</v>
      </c>
      <c r="E38" s="25"/>
      <c r="F38" s="183" t="str">
        <f>+'Order Details Apr25 - Mar26'!D38</f>
        <v>Hivit Injection (Zenex-AH)</v>
      </c>
      <c r="G38" s="184"/>
      <c r="H38" s="119">
        <f>+'Order Details Apr25 - Mar26'!H38</f>
        <v>20000</v>
      </c>
      <c r="I38" s="120" t="str">
        <f>+'Order Details Apr25 - Mar26'!I38</f>
        <v>Ml</v>
      </c>
      <c r="J38" s="28"/>
      <c r="K38" s="204" t="str">
        <f>+'Order Details Apr25 - Mar26'!R38</f>
        <v>PO / NBF / 030525 / 014</v>
      </c>
      <c r="L38" s="205"/>
      <c r="M38" s="206"/>
      <c r="N38" s="27">
        <f>'Order Details Apr25 - Mar26'!F38*'Order Details Apr25 - Mar26'!N38</f>
        <v>22848</v>
      </c>
      <c r="O38" s="25"/>
      <c r="P38" s="22"/>
      <c r="Q38" s="26"/>
      <c r="R38" s="82">
        <v>45</v>
      </c>
      <c r="S38" s="22"/>
      <c r="T38" s="142"/>
      <c r="U38" s="138"/>
      <c r="V38" s="51"/>
    </row>
    <row r="39" spans="1:22" ht="20.100000000000001" customHeight="1" x14ac:dyDescent="0.3">
      <c r="A39" s="44">
        <v>31</v>
      </c>
      <c r="B39" s="22">
        <f>+'Order Details Apr25 - Mar26'!P39</f>
        <v>45780</v>
      </c>
      <c r="C39" s="23"/>
      <c r="D39" s="118" t="str">
        <f>+'Order Details Apr25 - Mar26'!T39</f>
        <v>Das Drug Centre Pvt Ltd, Habra</v>
      </c>
      <c r="E39" s="25"/>
      <c r="F39" s="183" t="str">
        <f>+'Order Details Apr25 - Mar26'!D39</f>
        <v>Tylomax Injection (Intas)</v>
      </c>
      <c r="G39" s="184"/>
      <c r="H39" s="119">
        <f>+'Order Details Apr25 - Mar26'!H39</f>
        <v>10000</v>
      </c>
      <c r="I39" s="120" t="str">
        <f>+'Order Details Apr25 - Mar26'!I39</f>
        <v>Ml</v>
      </c>
      <c r="J39" s="28"/>
      <c r="K39" s="204" t="str">
        <f>+'Order Details Apr25 - Mar26'!R39</f>
        <v>PO / NBF / 030525 / 014</v>
      </c>
      <c r="L39" s="205"/>
      <c r="M39" s="206"/>
      <c r="N39" s="27">
        <f>'Order Details Apr25 - Mar26'!F39*'Order Details Apr25 - Mar26'!N39</f>
        <v>25200</v>
      </c>
      <c r="O39" s="25"/>
      <c r="P39" s="22"/>
      <c r="Q39" s="26"/>
      <c r="R39" s="82">
        <v>45</v>
      </c>
      <c r="S39" s="22"/>
      <c r="T39" s="142"/>
      <c r="U39" s="138"/>
      <c r="V39" s="51"/>
    </row>
    <row r="40" spans="1:22" ht="20.100000000000001" customHeight="1" x14ac:dyDescent="0.3">
      <c r="A40" s="44">
        <v>32</v>
      </c>
      <c r="B40" s="22">
        <f>+'Order Details Apr25 - Mar26'!P40</f>
        <v>45780</v>
      </c>
      <c r="C40" s="23"/>
      <c r="D40" s="118" t="str">
        <f>+'Order Details Apr25 - Mar26'!T40</f>
        <v>Izda Healthcare Ambala Cantonment</v>
      </c>
      <c r="E40" s="25"/>
      <c r="F40" s="183" t="str">
        <f>+'Order Details Apr25 - Mar26'!D40</f>
        <v>Deforce Injection (Izda Healthcare)</v>
      </c>
      <c r="G40" s="184"/>
      <c r="H40" s="119">
        <f>+'Order Details Apr25 - Mar26'!H40</f>
        <v>500</v>
      </c>
      <c r="I40" s="120" t="str">
        <f>+'Order Details Apr25 - Mar26'!I40</f>
        <v>Ml</v>
      </c>
      <c r="J40" s="28"/>
      <c r="K40" s="204" t="str">
        <f>+'Order Details Apr25 - Mar26'!R40</f>
        <v>PO / NBF / 030525 / 015</v>
      </c>
      <c r="L40" s="205"/>
      <c r="M40" s="206"/>
      <c r="N40" s="27">
        <f>'Order Details Apr25 - Mar26'!F40*'Order Details Apr25 - Mar26'!N40</f>
        <v>42000</v>
      </c>
      <c r="O40" s="25"/>
      <c r="P40" s="22"/>
      <c r="Q40" s="26"/>
      <c r="R40" s="82">
        <v>45</v>
      </c>
      <c r="S40" s="22"/>
      <c r="T40" s="142"/>
      <c r="U40" s="138"/>
      <c r="V40" s="51"/>
    </row>
    <row r="41" spans="1:22" ht="20.100000000000001" customHeight="1" x14ac:dyDescent="0.3">
      <c r="A41" s="44">
        <v>33</v>
      </c>
      <c r="B41" s="22">
        <f>+'Order Details Apr25 - Mar26'!P41</f>
        <v>45780</v>
      </c>
      <c r="C41" s="23"/>
      <c r="D41" s="118" t="str">
        <f>+'Order Details Apr25 - Mar26'!T41</f>
        <v>Venkateshwara Hatcheries Ltd</v>
      </c>
      <c r="E41" s="25"/>
      <c r="F41" s="183" t="str">
        <f>+'Order Details Apr25 - Mar26'!D41</f>
        <v>ND (Visa-15) KILLED VAC</v>
      </c>
      <c r="G41" s="184"/>
      <c r="H41" s="119">
        <f>+'Order Details Apr25 - Mar26'!H41</f>
        <v>50000</v>
      </c>
      <c r="I41" s="120" t="str">
        <f>+'Order Details Apr25 - Mar26'!I41</f>
        <v>Dose</v>
      </c>
      <c r="J41" s="28"/>
      <c r="K41" s="204" t="str">
        <f>+'Order Details Apr25 - Mar26'!R41</f>
        <v>PO / NBF / 030525 / 016</v>
      </c>
      <c r="L41" s="205"/>
      <c r="M41" s="206"/>
      <c r="N41" s="27">
        <f>'Order Details Apr25 - Mar26'!F41*'Order Details Apr25 - Mar26'!N41</f>
        <v>53812.5</v>
      </c>
      <c r="O41" s="25"/>
      <c r="P41" s="22"/>
      <c r="Q41" s="26"/>
      <c r="R41" s="82">
        <v>7</v>
      </c>
      <c r="S41" s="22"/>
      <c r="T41" s="142"/>
      <c r="U41" s="138"/>
      <c r="V41" s="51"/>
    </row>
    <row r="42" spans="1:22" ht="20.100000000000001" customHeight="1" x14ac:dyDescent="0.3">
      <c r="A42" s="44">
        <v>34</v>
      </c>
      <c r="B42" s="22">
        <f>+'Order Details Apr25 - Mar26'!P42</f>
        <v>45780</v>
      </c>
      <c r="C42" s="23"/>
      <c r="D42" s="118" t="str">
        <f>+'Order Details Apr25 - Mar26'!T42</f>
        <v>We Care Animal Health Bengal</v>
      </c>
      <c r="E42" s="25"/>
      <c r="F42" s="183" t="str">
        <f>+'Order Details Apr25 - Mar26'!D42</f>
        <v>FLYVIN (We Care Animal Health)</v>
      </c>
      <c r="G42" s="184"/>
      <c r="H42" s="119">
        <f>+'Order Details Apr25 - Mar26'!H42</f>
        <v>100</v>
      </c>
      <c r="I42" s="120" t="str">
        <f>+'Order Details Apr25 - Mar26'!I42</f>
        <v>Kg</v>
      </c>
      <c r="J42" s="28"/>
      <c r="K42" s="204" t="str">
        <f>+'Order Details Apr25 - Mar26'!R42</f>
        <v>PO / NBF / 030525 / 017</v>
      </c>
      <c r="L42" s="205"/>
      <c r="M42" s="206"/>
      <c r="N42" s="27">
        <f>'Order Details Apr25 - Mar26'!F42*'Order Details Apr25 - Mar26'!N42</f>
        <v>73000</v>
      </c>
      <c r="O42" s="25"/>
      <c r="P42" s="22"/>
      <c r="Q42" s="26"/>
      <c r="R42" s="82">
        <v>7</v>
      </c>
      <c r="S42" s="22"/>
      <c r="T42" s="142"/>
      <c r="U42" s="138"/>
      <c r="V42" s="51"/>
    </row>
    <row r="43" spans="1:22" ht="20.100000000000001" customHeight="1" x14ac:dyDescent="0.3">
      <c r="A43" s="44">
        <v>35</v>
      </c>
      <c r="B43" s="22">
        <f>+'Order Details Apr25 - Mar26'!P43</f>
        <v>45784</v>
      </c>
      <c r="C43" s="23"/>
      <c r="D43" s="118" t="str">
        <f>+'Order Details Apr25 - Mar26'!T43</f>
        <v>Healers Associates Vijayawada AP</v>
      </c>
      <c r="E43" s="25"/>
      <c r="F43" s="183" t="str">
        <f>+'Order Details Apr25 - Mar26'!D43</f>
        <v>MEDVIT PLUS (Medichem Product)</v>
      </c>
      <c r="G43" s="184"/>
      <c r="H43" s="119">
        <f>+'Order Details Apr25 - Mar26'!H43</f>
        <v>100</v>
      </c>
      <c r="I43" s="120" t="str">
        <f>+'Order Details Apr25 - Mar26'!I43</f>
        <v>Ltr</v>
      </c>
      <c r="J43" s="28"/>
      <c r="K43" s="204" t="str">
        <f>+'Order Details Apr25 - Mar26'!R43</f>
        <v>PO / NBF / 070525 / 018</v>
      </c>
      <c r="L43" s="205"/>
      <c r="M43" s="206"/>
      <c r="N43" s="27">
        <f>'Order Details Apr25 - Mar26'!F43*'Order Details Apr25 - Mar26'!N43</f>
        <v>55000</v>
      </c>
      <c r="O43" s="25"/>
      <c r="P43" s="22"/>
      <c r="Q43" s="26"/>
      <c r="R43" s="82">
        <v>45</v>
      </c>
      <c r="S43" s="22"/>
      <c r="T43" s="142"/>
      <c r="U43" s="138"/>
      <c r="V43" s="51"/>
    </row>
    <row r="44" spans="1:22" ht="20.100000000000001" customHeight="1" x14ac:dyDescent="0.3">
      <c r="A44" s="44">
        <v>36</v>
      </c>
      <c r="B44" s="22">
        <f>+'Order Details Apr25 - Mar26'!P44</f>
        <v>45797</v>
      </c>
      <c r="C44" s="23"/>
      <c r="D44" s="118" t="str">
        <f>+'Order Details Apr25 - Mar26'!T44</f>
        <v>Blue Print Brahmapur, Odisha</v>
      </c>
      <c r="E44" s="25"/>
      <c r="F44" s="183" t="str">
        <f>+'Order Details Apr25 - Mar26'!D44</f>
        <v>HIM-C (Himalaya)</v>
      </c>
      <c r="G44" s="184"/>
      <c r="H44" s="119">
        <f>+'Order Details Apr25 - Mar26'!H44</f>
        <v>144</v>
      </c>
      <c r="I44" s="120" t="str">
        <f>+'Order Details Apr25 - Mar26'!I44</f>
        <v>Kg</v>
      </c>
      <c r="J44" s="28"/>
      <c r="K44" s="204" t="str">
        <f>+'Order Details Apr25 - Mar26'!R44</f>
        <v>PO / NBF / 200525 / 019</v>
      </c>
      <c r="L44" s="205"/>
      <c r="M44" s="206"/>
      <c r="N44" s="27">
        <f>'Order Details Apr25 - Mar26'!F44*'Order Details Apr25 - Mar26'!N44</f>
        <v>19440</v>
      </c>
      <c r="O44" s="25"/>
      <c r="P44" s="22"/>
      <c r="Q44" s="26"/>
      <c r="R44" s="82">
        <v>3</v>
      </c>
      <c r="S44" s="22"/>
      <c r="T44" s="142"/>
      <c r="U44" s="138"/>
      <c r="V44" s="51"/>
    </row>
    <row r="45" spans="1:22" ht="20.100000000000001" customHeight="1" x14ac:dyDescent="0.3">
      <c r="A45" s="44">
        <v>37</v>
      </c>
      <c r="B45" s="22">
        <f>+'Order Details Apr25 - Mar26'!P45</f>
        <v>45797</v>
      </c>
      <c r="C45" s="23"/>
      <c r="D45" s="118" t="str">
        <f>+'Order Details Apr25 - Mar26'!T45</f>
        <v>Das Drug Centre Pvt Ltd, Habra</v>
      </c>
      <c r="E45" s="25"/>
      <c r="F45" s="183" t="str">
        <f>+'Order Details Apr25 - Mar26'!D45</f>
        <v>HIM-C (Himalaya)</v>
      </c>
      <c r="G45" s="184"/>
      <c r="H45" s="119">
        <f>+'Order Details Apr25 - Mar26'!H45</f>
        <v>504</v>
      </c>
      <c r="I45" s="120" t="str">
        <f>+'Order Details Apr25 - Mar26'!I45</f>
        <v>Kg</v>
      </c>
      <c r="J45" s="28"/>
      <c r="K45" s="204" t="str">
        <f>+'Order Details Apr25 - Mar26'!R45</f>
        <v>PO / NBF / 200525 / 020</v>
      </c>
      <c r="L45" s="205"/>
      <c r="M45" s="206"/>
      <c r="N45" s="27">
        <f>'Order Details Apr25 - Mar26'!F45*'Order Details Apr25 - Mar26'!N45</f>
        <v>68040</v>
      </c>
      <c r="O45" s="25"/>
      <c r="P45" s="22"/>
      <c r="Q45" s="26"/>
      <c r="R45" s="82">
        <v>45</v>
      </c>
      <c r="S45" s="22"/>
      <c r="T45" s="142"/>
      <c r="U45" s="138"/>
      <c r="V45" s="51"/>
    </row>
    <row r="46" spans="1:22" ht="20.100000000000001" customHeight="1" x14ac:dyDescent="0.3">
      <c r="A46" s="44">
        <v>38</v>
      </c>
      <c r="B46" s="22">
        <f>+'Order Details Apr25 - Mar26'!P46</f>
        <v>45798</v>
      </c>
      <c r="C46" s="23"/>
      <c r="D46" s="118" t="str">
        <f>+'Order Details Apr25 - Mar26'!T46</f>
        <v>Das Drug Centre Pvt Ltd, Habra</v>
      </c>
      <c r="E46" s="25"/>
      <c r="F46" s="183" t="str">
        <f>+'Order Details Apr25 - Mar26'!D46</f>
        <v>HIPRAVIAR BPL-2 KILLED (Hipra)</v>
      </c>
      <c r="G46" s="184"/>
      <c r="H46" s="119">
        <f>+'Order Details Apr25 - Mar26'!H46</f>
        <v>46000</v>
      </c>
      <c r="I46" s="120" t="str">
        <f>+'Order Details Apr25 - Mar26'!I46</f>
        <v>Dose</v>
      </c>
      <c r="J46" s="28"/>
      <c r="K46" s="204" t="str">
        <f>+'Order Details Apr25 - Mar26'!R46</f>
        <v>PO / NBF / 210525 / 021</v>
      </c>
      <c r="L46" s="205"/>
      <c r="M46" s="206"/>
      <c r="N46" s="27">
        <f>'Order Details Apr25 - Mar26'!F46*'Order Details Apr25 - Mar26'!N46</f>
        <v>90562.5</v>
      </c>
      <c r="O46" s="25"/>
      <c r="P46" s="22"/>
      <c r="Q46" s="26"/>
      <c r="R46" s="82">
        <v>45</v>
      </c>
      <c r="S46" s="22"/>
      <c r="T46" s="142"/>
      <c r="U46" s="138"/>
      <c r="V46" s="51"/>
    </row>
    <row r="47" spans="1:22" ht="20.100000000000001" customHeight="1" x14ac:dyDescent="0.3">
      <c r="A47" s="44">
        <v>39</v>
      </c>
      <c r="B47" s="22">
        <f>+'Order Details Apr25 - Mar26'!P47</f>
        <v>45798</v>
      </c>
      <c r="C47" s="23"/>
      <c r="D47" s="118" t="str">
        <f>+'Order Details Apr25 - Mar26'!T47</f>
        <v>Das Drug Centre Pvt Ltd, Habra</v>
      </c>
      <c r="E47" s="25"/>
      <c r="F47" s="183" t="str">
        <f>+'Order Details Apr25 - Mar26'!D47</f>
        <v>TRI REO KILLED VAC (Zoetis)</v>
      </c>
      <c r="G47" s="184"/>
      <c r="H47" s="119">
        <f>+'Order Details Apr25 - Mar26'!H47</f>
        <v>49000</v>
      </c>
      <c r="I47" s="120" t="str">
        <f>+'Order Details Apr25 - Mar26'!I47</f>
        <v>Dose</v>
      </c>
      <c r="J47" s="28"/>
      <c r="K47" s="204" t="str">
        <f>+'Order Details Apr25 - Mar26'!R47</f>
        <v>PO / NBF / 210525 / 021</v>
      </c>
      <c r="L47" s="205"/>
      <c r="M47" s="206"/>
      <c r="N47" s="27">
        <f>'Order Details Apr25 - Mar26'!F47*'Order Details Apr25 - Mar26'!N47</f>
        <v>288891.75</v>
      </c>
      <c r="O47" s="25"/>
      <c r="P47" s="22"/>
      <c r="Q47" s="26"/>
      <c r="R47" s="82">
        <v>7</v>
      </c>
      <c r="S47" s="22"/>
      <c r="T47" s="142"/>
      <c r="U47" s="138"/>
      <c r="V47" s="51"/>
    </row>
    <row r="48" spans="1:22" ht="20.100000000000001" customHeight="1" x14ac:dyDescent="0.3">
      <c r="A48" s="44">
        <v>40</v>
      </c>
      <c r="B48" s="22">
        <f>+'Order Details Apr25 - Mar26'!P48</f>
        <v>45798</v>
      </c>
      <c r="C48" s="23"/>
      <c r="D48" s="118" t="str">
        <f>+'Order Details Apr25 - Mar26'!T48</f>
        <v>Hester Biosciences Ltd Hyderabad</v>
      </c>
      <c r="E48" s="25"/>
      <c r="F48" s="183" t="str">
        <f>+'Order Details Apr25 - Mar26'!D48</f>
        <v>IB-4/91 (FG/LIV/0027) Live Vaccine</v>
      </c>
      <c r="G48" s="184"/>
      <c r="H48" s="119">
        <f>+'Order Details Apr25 - Mar26'!H48</f>
        <v>41000</v>
      </c>
      <c r="I48" s="120" t="str">
        <f>+'Order Details Apr25 - Mar26'!I48</f>
        <v>Dose</v>
      </c>
      <c r="J48" s="28"/>
      <c r="K48" s="204" t="str">
        <f>+'Order Details Apr25 - Mar26'!R48</f>
        <v>PO / NBF / 210525 / 022</v>
      </c>
      <c r="L48" s="205"/>
      <c r="M48" s="206"/>
      <c r="N48" s="27">
        <f>'Order Details Apr25 - Mar26'!F48*'Order Details Apr25 - Mar26'!N48</f>
        <v>19372.5</v>
      </c>
      <c r="O48" s="25"/>
      <c r="P48" s="22"/>
      <c r="Q48" s="26"/>
      <c r="R48" s="82">
        <v>7</v>
      </c>
      <c r="S48" s="22"/>
      <c r="T48" s="142"/>
      <c r="U48" s="138"/>
      <c r="V48" s="51"/>
    </row>
    <row r="49" spans="1:22" ht="20.100000000000001" customHeight="1" x14ac:dyDescent="0.3">
      <c r="A49" s="44">
        <v>41</v>
      </c>
      <c r="B49" s="22">
        <f>+'Order Details Apr25 - Mar26'!P49</f>
        <v>45798</v>
      </c>
      <c r="C49" s="23"/>
      <c r="D49" s="118" t="str">
        <f>+'Order Details Apr25 - Mar26'!T49</f>
        <v>Hester Biosciences Limited Hyd</v>
      </c>
      <c r="E49" s="25"/>
      <c r="F49" s="183" t="str">
        <f>+'Order Details Apr25 - Mar26'!D49</f>
        <v>EDS KILLED VAC</v>
      </c>
      <c r="G49" s="184"/>
      <c r="H49" s="119">
        <f>+'Order Details Apr25 - Mar26'!H49</f>
        <v>49000</v>
      </c>
      <c r="I49" s="120" t="str">
        <f>+'Order Details Apr25 - Mar26'!I49</f>
        <v>Dose</v>
      </c>
      <c r="J49" s="28"/>
      <c r="K49" s="204" t="str">
        <f>+'Order Details Apr25 - Mar26'!R49</f>
        <v>PO / NBF / 210525 / 022</v>
      </c>
      <c r="L49" s="205"/>
      <c r="M49" s="206"/>
      <c r="N49" s="27">
        <f>'Order Details Apr25 - Mar26'!F49*'Order Details Apr25 - Mar26'!N49</f>
        <v>59167.5</v>
      </c>
      <c r="O49" s="25"/>
      <c r="P49" s="22"/>
      <c r="Q49" s="26"/>
      <c r="R49" s="82">
        <v>7</v>
      </c>
      <c r="S49" s="22"/>
      <c r="T49" s="142"/>
      <c r="U49" s="138"/>
      <c r="V49" s="51"/>
    </row>
    <row r="50" spans="1:22" ht="20.100000000000001" customHeight="1" x14ac:dyDescent="0.3">
      <c r="A50" s="44">
        <v>42</v>
      </c>
      <c r="B50" s="22">
        <f>+'Order Details Apr25 - Mar26'!P50</f>
        <v>45798</v>
      </c>
      <c r="C50" s="23"/>
      <c r="D50" s="118" t="str">
        <f>+'Order Details Apr25 - Mar26'!T50</f>
        <v>Hester Biosciences Ltd Hyderabad</v>
      </c>
      <c r="E50" s="25"/>
      <c r="F50" s="183" t="str">
        <f>+'Order Details Apr25 - Mar26'!D50</f>
        <v>ILT (G-10000) Live Vaccine</v>
      </c>
      <c r="G50" s="184"/>
      <c r="H50" s="119">
        <f>+'Order Details Apr25 - Mar26'!H50</f>
        <v>41000</v>
      </c>
      <c r="I50" s="120" t="str">
        <f>+'Order Details Apr25 - Mar26'!I50</f>
        <v>Dose</v>
      </c>
      <c r="J50" s="28"/>
      <c r="K50" s="204" t="str">
        <f>+'Order Details Apr25 - Mar26'!R50</f>
        <v>PO / NBF / 210525 / 022</v>
      </c>
      <c r="L50" s="205"/>
      <c r="M50" s="206"/>
      <c r="N50" s="27">
        <f>'Order Details Apr25 - Mar26'!F50*'Order Details Apr25 - Mar26'!N50</f>
        <v>64576.721999999994</v>
      </c>
      <c r="O50" s="25"/>
      <c r="P50" s="22"/>
      <c r="Q50" s="26"/>
      <c r="R50" s="82">
        <v>7</v>
      </c>
      <c r="S50" s="22"/>
      <c r="T50" s="142"/>
      <c r="U50" s="138"/>
      <c r="V50" s="51"/>
    </row>
    <row r="51" spans="1:22" ht="20.100000000000001" customHeight="1" x14ac:dyDescent="0.3">
      <c r="A51" s="44">
        <v>43</v>
      </c>
      <c r="B51" s="22">
        <f>+'Order Details Apr25 - Mar26'!P51</f>
        <v>45798</v>
      </c>
      <c r="C51" s="23"/>
      <c r="D51" s="118" t="str">
        <f>+'Order Details Apr25 - Mar26'!T51</f>
        <v>Hester Biosciences Ltd Hyderabad</v>
      </c>
      <c r="E51" s="25"/>
      <c r="F51" s="183" t="str">
        <f>+'Order Details Apr25 - Mar26'!D51</f>
        <v>Inactivated Pullet ND (HPAI) VAC</v>
      </c>
      <c r="G51" s="184"/>
      <c r="H51" s="119">
        <f>+'Order Details Apr25 - Mar26'!H51</f>
        <v>70000</v>
      </c>
      <c r="I51" s="120" t="str">
        <f>+'Order Details Apr25 - Mar26'!I51</f>
        <v>Dose</v>
      </c>
      <c r="J51" s="28"/>
      <c r="K51" s="204" t="str">
        <f>+'Order Details Apr25 - Mar26'!R51</f>
        <v>PO / NBF / 210525 / 022</v>
      </c>
      <c r="L51" s="205"/>
      <c r="M51" s="206"/>
      <c r="N51" s="27">
        <f>'Order Details Apr25 - Mar26'!F51*'Order Details Apr25 - Mar26'!N51</f>
        <v>183699.28499999997</v>
      </c>
      <c r="O51" s="25"/>
      <c r="P51" s="22"/>
      <c r="Q51" s="26"/>
      <c r="R51" s="82">
        <v>7</v>
      </c>
      <c r="S51" s="22"/>
      <c r="T51" s="142"/>
      <c r="U51" s="138"/>
      <c r="V51" s="51"/>
    </row>
    <row r="52" spans="1:22" ht="20.100000000000001" customHeight="1" x14ac:dyDescent="0.3">
      <c r="A52" s="44">
        <v>44</v>
      </c>
      <c r="B52" s="22">
        <f>+'Order Details Apr25 - Mar26'!P52</f>
        <v>45798</v>
      </c>
      <c r="C52" s="23"/>
      <c r="D52" s="118" t="str">
        <f>+'Order Details Apr25 - Mar26'!T52</f>
        <v>Tara Enterprises Hyderabad</v>
      </c>
      <c r="E52" s="25"/>
      <c r="F52" s="183" t="str">
        <f>+'Order Details Apr25 - Mar26'!D52</f>
        <v>Hipraviar Clon 79 (Hipra)</v>
      </c>
      <c r="G52" s="184"/>
      <c r="H52" s="119">
        <f>+'Order Details Apr25 - Mar26'!H52</f>
        <v>50000</v>
      </c>
      <c r="I52" s="120" t="str">
        <f>+'Order Details Apr25 - Mar26'!I52</f>
        <v>Dose</v>
      </c>
      <c r="J52" s="28"/>
      <c r="K52" s="204" t="str">
        <f>+'Order Details Apr25 - Mar26'!R52</f>
        <v>PO / NBF / 210525 / 023</v>
      </c>
      <c r="L52" s="205"/>
      <c r="M52" s="206"/>
      <c r="N52" s="27">
        <f>'Order Details Apr25 - Mar26'!F52*'Order Details Apr25 - Mar26'!N52</f>
        <v>6216</v>
      </c>
      <c r="O52" s="25"/>
      <c r="P52" s="22"/>
      <c r="Q52" s="26"/>
      <c r="R52" s="82">
        <v>45</v>
      </c>
      <c r="S52" s="22"/>
      <c r="T52" s="142"/>
      <c r="U52" s="138"/>
      <c r="V52" s="51"/>
    </row>
    <row r="53" spans="1:22" ht="20.100000000000001" customHeight="1" x14ac:dyDescent="0.3">
      <c r="A53" s="44">
        <v>45</v>
      </c>
      <c r="B53" s="22">
        <f>+'Order Details Apr25 - Mar26'!P53</f>
        <v>45798</v>
      </c>
      <c r="C53" s="23"/>
      <c r="D53" s="118" t="str">
        <f>+'Order Details Apr25 - Mar26'!T53</f>
        <v>Tara Enterprises Hyderabad</v>
      </c>
      <c r="E53" s="25"/>
      <c r="F53" s="183" t="str">
        <f>+'Order Details Apr25 - Mar26'!D53</f>
        <v>Hipraviar Clon+H-120 (Hipra)</v>
      </c>
      <c r="G53" s="184"/>
      <c r="H53" s="119">
        <f>+'Order Details Apr25 - Mar26'!H53</f>
        <v>250000</v>
      </c>
      <c r="I53" s="120" t="str">
        <f>+'Order Details Apr25 - Mar26'!I53</f>
        <v>Dose</v>
      </c>
      <c r="J53" s="28"/>
      <c r="K53" s="204" t="str">
        <f>+'Order Details Apr25 - Mar26'!R53</f>
        <v>PO / NBF / 210525 / 023</v>
      </c>
      <c r="L53" s="205"/>
      <c r="M53" s="206"/>
      <c r="N53" s="27">
        <f>'Order Details Apr25 - Mar26'!F53*'Order Details Apr25 - Mar26'!N53</f>
        <v>57750</v>
      </c>
      <c r="O53" s="25"/>
      <c r="P53" s="22"/>
      <c r="Q53" s="26"/>
      <c r="R53" s="82">
        <v>45</v>
      </c>
      <c r="S53" s="22"/>
      <c r="T53" s="142"/>
      <c r="U53" s="138"/>
      <c r="V53" s="51"/>
    </row>
    <row r="54" spans="1:22" ht="20.100000000000001" customHeight="1" x14ac:dyDescent="0.3">
      <c r="A54" s="44">
        <v>46</v>
      </c>
      <c r="B54" s="22">
        <f>+'Order Details Apr25 - Mar26'!P54</f>
        <v>45798</v>
      </c>
      <c r="C54" s="23"/>
      <c r="D54" s="118" t="str">
        <f>+'Order Details Apr25 - Mar26'!T54</f>
        <v>Venkateshwara Hatcheries Ltd</v>
      </c>
      <c r="E54" s="25"/>
      <c r="F54" s="183" t="str">
        <f>+'Order Details Apr25 - Mar26'!D54</f>
        <v>IBD Intermediate (Standard) Live</v>
      </c>
      <c r="G54" s="184"/>
      <c r="H54" s="119">
        <f>+'Order Details Apr25 - Mar26'!H54</f>
        <v>41000</v>
      </c>
      <c r="I54" s="120" t="str">
        <f>+'Order Details Apr25 - Mar26'!I54</f>
        <v>Dose</v>
      </c>
      <c r="J54" s="28"/>
      <c r="K54" s="204" t="str">
        <f>+'Order Details Apr25 - Mar26'!R54</f>
        <v>PO / NBF / 210525 / 024</v>
      </c>
      <c r="L54" s="205"/>
      <c r="M54" s="206"/>
      <c r="N54" s="27">
        <f>'Order Details Apr25 - Mar26'!F54*'Order Details Apr25 - Mar26'!N54</f>
        <v>7318.5</v>
      </c>
      <c r="O54" s="25"/>
      <c r="P54" s="22"/>
      <c r="Q54" s="26"/>
      <c r="R54" s="82">
        <v>7</v>
      </c>
      <c r="S54" s="22"/>
      <c r="T54" s="142"/>
      <c r="U54" s="138"/>
      <c r="V54" s="51"/>
    </row>
    <row r="55" spans="1:22" ht="20.100000000000001" customHeight="1" x14ac:dyDescent="0.3">
      <c r="A55" s="44">
        <v>47</v>
      </c>
      <c r="B55" s="22">
        <f>+'Order Details Apr25 - Mar26'!P55</f>
        <v>45798</v>
      </c>
      <c r="C55" s="23"/>
      <c r="D55" s="118" t="str">
        <f>+'Order Details Apr25 - Mar26'!T55</f>
        <v>Venkateshwara Hatcheries Ltd</v>
      </c>
      <c r="E55" s="25"/>
      <c r="F55" s="183" t="str">
        <f>+'Order Details Apr25 - Mar26'!D55</f>
        <v>IBD Intermediate (Plus Type) Live</v>
      </c>
      <c r="G55" s="184"/>
      <c r="H55" s="119">
        <f>+'Order Details Apr25 - Mar26'!H55</f>
        <v>82000</v>
      </c>
      <c r="I55" s="120" t="str">
        <f>+'Order Details Apr25 - Mar26'!I55</f>
        <v>Dose</v>
      </c>
      <c r="J55" s="28"/>
      <c r="K55" s="204" t="str">
        <f>+'Order Details Apr25 - Mar26'!R55</f>
        <v>PO / NBF / 210525 / 024</v>
      </c>
      <c r="L55" s="205"/>
      <c r="M55" s="206"/>
      <c r="N55" s="27">
        <f>'Order Details Apr25 - Mar26'!F55*'Order Details Apr25 - Mar26'!N55</f>
        <v>19803</v>
      </c>
      <c r="O55" s="25"/>
      <c r="P55" s="22"/>
      <c r="Q55" s="26"/>
      <c r="R55" s="82">
        <v>7</v>
      </c>
      <c r="S55" s="22"/>
      <c r="T55" s="142"/>
      <c r="U55" s="138"/>
      <c r="V55" s="51"/>
    </row>
    <row r="56" spans="1:22" ht="20.100000000000001" customHeight="1" x14ac:dyDescent="0.3">
      <c r="A56" s="44">
        <v>48</v>
      </c>
      <c r="B56" s="22">
        <f>+'Order Details Apr25 - Mar26'!P56</f>
        <v>45798</v>
      </c>
      <c r="C56" s="23"/>
      <c r="D56" s="118" t="str">
        <f>+'Order Details Apr25 - Mar26'!T56</f>
        <v>Venkateshwara Hatcheries Ltd</v>
      </c>
      <c r="E56" s="25"/>
      <c r="F56" s="183" t="str">
        <f>+'Order Details Apr25 - Mar26'!D56</f>
        <v>IB (Mass Type) Live Vacine</v>
      </c>
      <c r="G56" s="184"/>
      <c r="H56" s="119">
        <f>+'Order Details Apr25 - Mar26'!H56</f>
        <v>41000</v>
      </c>
      <c r="I56" s="120" t="str">
        <f>+'Order Details Apr25 - Mar26'!I56</f>
        <v>Dose</v>
      </c>
      <c r="J56" s="28"/>
      <c r="K56" s="204" t="str">
        <f>+'Order Details Apr25 - Mar26'!R56</f>
        <v>PO / NBF / 210525 / 024</v>
      </c>
      <c r="L56" s="205"/>
      <c r="M56" s="206"/>
      <c r="N56" s="27">
        <f>'Order Details Apr25 - Mar26'!F56*'Order Details Apr25 - Mar26'!N56</f>
        <v>4563.3</v>
      </c>
      <c r="O56" s="25"/>
      <c r="P56" s="22"/>
      <c r="Q56" s="26"/>
      <c r="R56" s="82">
        <v>7</v>
      </c>
      <c r="S56" s="22"/>
      <c r="T56" s="142"/>
      <c r="U56" s="138"/>
      <c r="V56" s="51"/>
    </row>
    <row r="57" spans="1:22" ht="20.100000000000001" customHeight="1" x14ac:dyDescent="0.3">
      <c r="A57" s="44">
        <v>49</v>
      </c>
      <c r="B57" s="22">
        <f>+'Order Details Apr25 - Mar26'!P57</f>
        <v>45798</v>
      </c>
      <c r="C57" s="23"/>
      <c r="D57" s="118" t="str">
        <f>+'Order Details Apr25 - Mar26'!T57</f>
        <v>Venkateshwara Hatcheries Ltd</v>
      </c>
      <c r="E57" s="25"/>
      <c r="F57" s="183" t="str">
        <f>+'Order Details Apr25 - Mar26'!D57</f>
        <v>ND (Lasota) Live Vaccine</v>
      </c>
      <c r="G57" s="184"/>
      <c r="H57" s="119">
        <f>+'Order Details Apr25 - Mar26'!H57</f>
        <v>41000</v>
      </c>
      <c r="I57" s="120" t="str">
        <f>+'Order Details Apr25 - Mar26'!I57</f>
        <v>Dose</v>
      </c>
      <c r="J57" s="28"/>
      <c r="K57" s="204" t="str">
        <f>+'Order Details Apr25 - Mar26'!R57</f>
        <v>PO / NBF / 210525 / 024</v>
      </c>
      <c r="L57" s="205"/>
      <c r="M57" s="206"/>
      <c r="N57" s="27">
        <f>'Order Details Apr25 - Mar26'!F57*'Order Details Apr25 - Mar26'!N57</f>
        <v>2410.7999999999997</v>
      </c>
      <c r="O57" s="25"/>
      <c r="P57" s="22"/>
      <c r="Q57" s="26"/>
      <c r="R57" s="82">
        <v>7</v>
      </c>
      <c r="S57" s="22"/>
      <c r="T57" s="142"/>
      <c r="U57" s="138"/>
      <c r="V57" s="51"/>
    </row>
    <row r="58" spans="1:22" ht="20.100000000000001" customHeight="1" x14ac:dyDescent="0.3">
      <c r="A58" s="44">
        <v>50</v>
      </c>
      <c r="B58" s="22">
        <f>+'Order Details Apr25 - Mar26'!P58</f>
        <v>45798</v>
      </c>
      <c r="C58" s="23"/>
      <c r="D58" s="118" t="str">
        <f>+'Order Details Apr25 - Mar26'!T58</f>
        <v>Venkateshwara Hatcheries Ltd</v>
      </c>
      <c r="E58" s="25"/>
      <c r="F58" s="183" t="str">
        <f>+'Order Details Apr25 - Mar26'!D58</f>
        <v>Fowl Pox (Pigeon IP) Live Vaccine</v>
      </c>
      <c r="G58" s="184"/>
      <c r="H58" s="119">
        <f>+'Order Details Apr25 - Mar26'!H58</f>
        <v>41000</v>
      </c>
      <c r="I58" s="120" t="str">
        <f>+'Order Details Apr25 - Mar26'!I58</f>
        <v>Dose</v>
      </c>
      <c r="J58" s="28"/>
      <c r="K58" s="204" t="str">
        <f>+'Order Details Apr25 - Mar26'!R58</f>
        <v>PO / NBF / 210525 / 024</v>
      </c>
      <c r="L58" s="205"/>
      <c r="M58" s="206"/>
      <c r="N58" s="27">
        <f>'Order Details Apr25 - Mar26'!F58*'Order Details Apr25 - Mar26'!N58</f>
        <v>6113.0999999999995</v>
      </c>
      <c r="O58" s="25"/>
      <c r="P58" s="22"/>
      <c r="Q58" s="26"/>
      <c r="R58" s="82">
        <v>7</v>
      </c>
      <c r="S58" s="22"/>
      <c r="T58" s="142"/>
      <c r="U58" s="138"/>
      <c r="V58" s="51"/>
    </row>
    <row r="59" spans="1:22" ht="20.100000000000001" customHeight="1" x14ac:dyDescent="0.3">
      <c r="A59" s="44">
        <v>51</v>
      </c>
      <c r="B59" s="22">
        <f>+'Order Details Apr25 - Mar26'!P59</f>
        <v>45798</v>
      </c>
      <c r="C59" s="23"/>
      <c r="D59" s="118" t="str">
        <f>+'Order Details Apr25 - Mar26'!T59</f>
        <v>Venkateshwara Hatcheries Ltd</v>
      </c>
      <c r="E59" s="25"/>
      <c r="F59" s="183" t="str">
        <f>+'Order Details Apr25 - Mar26'!D59</f>
        <v>R2B Live Vaccine</v>
      </c>
      <c r="G59" s="184"/>
      <c r="H59" s="119">
        <f>+'Order Details Apr25 - Mar26'!H59</f>
        <v>41000</v>
      </c>
      <c r="I59" s="120" t="str">
        <f>+'Order Details Apr25 - Mar26'!I59</f>
        <v>Dose</v>
      </c>
      <c r="J59" s="28"/>
      <c r="K59" s="204" t="str">
        <f>+'Order Details Apr25 - Mar26'!R59</f>
        <v>PO / NBF / 210525 / 024</v>
      </c>
      <c r="L59" s="205"/>
      <c r="M59" s="206"/>
      <c r="N59" s="27">
        <f>'Order Details Apr25 - Mar26'!F59*'Order Details Apr25 - Mar26'!N59</f>
        <v>5424.3</v>
      </c>
      <c r="O59" s="25"/>
      <c r="P59" s="22"/>
      <c r="Q59" s="26"/>
      <c r="R59" s="82">
        <v>7</v>
      </c>
      <c r="S59" s="22"/>
      <c r="T59" s="142"/>
      <c r="U59" s="138"/>
      <c r="V59" s="51"/>
    </row>
    <row r="60" spans="1:22" ht="20.100000000000001" customHeight="1" x14ac:dyDescent="0.3">
      <c r="A60" s="44">
        <v>52</v>
      </c>
      <c r="B60" s="22">
        <f>+'Order Details Apr25 - Mar26'!P60</f>
        <v>45798</v>
      </c>
      <c r="C60" s="23"/>
      <c r="D60" s="118" t="str">
        <f>+'Order Details Apr25 - Mar26'!T60</f>
        <v>Venkateshwara Hatcheries Ltd</v>
      </c>
      <c r="E60" s="25"/>
      <c r="F60" s="183" t="str">
        <f>+'Order Details Apr25 - Mar26'!D60</f>
        <v>VVMD (HVT+SB-1) Live Vaccine</v>
      </c>
      <c r="G60" s="184"/>
      <c r="H60" s="119">
        <f>+'Order Details Apr25 - Mar26'!H60</f>
        <v>82000</v>
      </c>
      <c r="I60" s="120" t="str">
        <f>+'Order Details Apr25 - Mar26'!I60</f>
        <v>Dose</v>
      </c>
      <c r="J60" s="28"/>
      <c r="K60" s="204" t="str">
        <f>+'Order Details Apr25 - Mar26'!R60</f>
        <v>PO / NBF / 210525 / 024</v>
      </c>
      <c r="L60" s="205"/>
      <c r="M60" s="206"/>
      <c r="N60" s="27">
        <f>'Order Details Apr25 - Mar26'!F60*'Order Details Apr25 - Mar26'!N60</f>
        <v>168842.1</v>
      </c>
      <c r="O60" s="25"/>
      <c r="P60" s="22"/>
      <c r="Q60" s="26"/>
      <c r="R60" s="82">
        <v>7</v>
      </c>
      <c r="S60" s="22"/>
      <c r="T60" s="142"/>
      <c r="U60" s="138"/>
      <c r="V60" s="51"/>
    </row>
    <row r="61" spans="1:22" ht="20.100000000000001" customHeight="1" x14ac:dyDescent="0.3">
      <c r="A61" s="44">
        <v>53</v>
      </c>
      <c r="B61" s="22">
        <f>+'Order Details Apr25 - Mar26'!P61</f>
        <v>45798</v>
      </c>
      <c r="C61" s="23"/>
      <c r="D61" s="118" t="str">
        <f>+'Order Details Apr25 - Mar26'!T61</f>
        <v>Venkateshwara Hatcheries Ltd</v>
      </c>
      <c r="E61" s="25"/>
      <c r="F61" s="183" t="str">
        <f>+'Order Details Apr25 - Mar26'!D61</f>
        <v>AE KILLED VAC</v>
      </c>
      <c r="G61" s="184"/>
      <c r="H61" s="119">
        <f>+'Order Details Apr25 - Mar26'!H61</f>
        <v>49000</v>
      </c>
      <c r="I61" s="120" t="str">
        <f>+'Order Details Apr25 - Mar26'!I61</f>
        <v>Dose</v>
      </c>
      <c r="J61" s="28"/>
      <c r="K61" s="204" t="str">
        <f>+'Order Details Apr25 - Mar26'!R61</f>
        <v>PO / NBF / 210525 / 024</v>
      </c>
      <c r="L61" s="205"/>
      <c r="M61" s="206"/>
      <c r="N61" s="27">
        <f>'Order Details Apr25 - Mar26'!F61*'Order Details Apr25 - Mar26'!N61</f>
        <v>102642.75</v>
      </c>
      <c r="O61" s="25"/>
      <c r="P61" s="22"/>
      <c r="Q61" s="26"/>
      <c r="R61" s="82">
        <v>7</v>
      </c>
      <c r="S61" s="22"/>
      <c r="T61" s="142"/>
      <c r="U61" s="138"/>
      <c r="V61" s="51"/>
    </row>
    <row r="62" spans="1:22" ht="20.100000000000001" customHeight="1" x14ac:dyDescent="0.3">
      <c r="A62" s="44">
        <v>54</v>
      </c>
      <c r="B62" s="22">
        <f>+'Order Details Apr25 - Mar26'!P62</f>
        <v>45798</v>
      </c>
      <c r="C62" s="23"/>
      <c r="D62" s="118" t="str">
        <f>+'Order Details Apr25 - Mar26'!T62</f>
        <v>Venkateshwara Hatcheries Ltd</v>
      </c>
      <c r="E62" s="25"/>
      <c r="F62" s="183" t="str">
        <f>+'Order Details Apr25 - Mar26'!D62</f>
        <v>IB ASTRO (AEIBH) KILLED VAC</v>
      </c>
      <c r="G62" s="184"/>
      <c r="H62" s="119">
        <f>+'Order Details Apr25 - Mar26'!H62</f>
        <v>40000</v>
      </c>
      <c r="I62" s="120" t="str">
        <f>+'Order Details Apr25 - Mar26'!I62</f>
        <v>Dose</v>
      </c>
      <c r="J62" s="28"/>
      <c r="K62" s="204" t="str">
        <f>+'Order Details Apr25 - Mar26'!R62</f>
        <v>PO / NBF / 210525 / 024</v>
      </c>
      <c r="L62" s="205"/>
      <c r="M62" s="206"/>
      <c r="N62" s="27">
        <f>'Order Details Apr25 - Mar26'!F62*'Order Details Apr25 - Mar26'!N62</f>
        <v>136710</v>
      </c>
      <c r="O62" s="25"/>
      <c r="P62" s="22"/>
      <c r="Q62" s="26"/>
      <c r="R62" s="82">
        <v>7</v>
      </c>
      <c r="S62" s="22"/>
      <c r="T62" s="142"/>
      <c r="U62" s="138"/>
      <c r="V62" s="51"/>
    </row>
    <row r="63" spans="1:22" ht="20.100000000000001" customHeight="1" x14ac:dyDescent="0.3">
      <c r="A63" s="44">
        <v>55</v>
      </c>
      <c r="B63" s="22">
        <f>+'Order Details Apr25 - Mar26'!P63</f>
        <v>45798</v>
      </c>
      <c r="C63" s="23"/>
      <c r="D63" s="118" t="str">
        <f>+'Order Details Apr25 - Mar26'!T63</f>
        <v>Venkateshwara Hatcheries Ltd</v>
      </c>
      <c r="E63" s="25"/>
      <c r="F63" s="183" t="str">
        <f>+'Order Details Apr25 - Mar26'!D63</f>
        <v>IBH KILLED VAC</v>
      </c>
      <c r="G63" s="184"/>
      <c r="H63" s="119">
        <f>+'Order Details Apr25 - Mar26'!H63</f>
        <v>70000</v>
      </c>
      <c r="I63" s="120" t="str">
        <f>+'Order Details Apr25 - Mar26'!I63</f>
        <v>Dose</v>
      </c>
      <c r="J63" s="28"/>
      <c r="K63" s="204" t="str">
        <f>+'Order Details Apr25 - Mar26'!R63</f>
        <v>PO / NBF / 210525 / 024</v>
      </c>
      <c r="L63" s="205"/>
      <c r="M63" s="206"/>
      <c r="N63" s="27">
        <f>'Order Details Apr25 - Mar26'!F63*'Order Details Apr25 - Mar26'!N63</f>
        <v>115762.5</v>
      </c>
      <c r="O63" s="25"/>
      <c r="P63" s="22"/>
      <c r="Q63" s="26"/>
      <c r="R63" s="82">
        <v>7</v>
      </c>
      <c r="S63" s="22"/>
      <c r="T63" s="142"/>
      <c r="U63" s="138"/>
      <c r="V63" s="51"/>
    </row>
    <row r="64" spans="1:22" ht="20.100000000000001" customHeight="1" x14ac:dyDescent="0.3">
      <c r="A64" s="44">
        <v>56</v>
      </c>
      <c r="B64" s="22">
        <f>+'Order Details Apr25 - Mar26'!P64</f>
        <v>45798</v>
      </c>
      <c r="C64" s="23"/>
      <c r="D64" s="118" t="str">
        <f>+'Order Details Apr25 - Mar26'!T64</f>
        <v>Venkateshwara Hatcheries Ltd</v>
      </c>
      <c r="E64" s="25"/>
      <c r="F64" s="183" t="str">
        <f>+'Order Details Apr25 - Mar26'!D64</f>
        <v>ND (Visa-15) KILLED VAC</v>
      </c>
      <c r="G64" s="184"/>
      <c r="H64" s="119">
        <f>+'Order Details Apr25 - Mar26'!H64</f>
        <v>25000</v>
      </c>
      <c r="I64" s="120" t="str">
        <f>+'Order Details Apr25 - Mar26'!I64</f>
        <v>Dose</v>
      </c>
      <c r="J64" s="28"/>
      <c r="K64" s="204" t="str">
        <f>+'Order Details Apr25 - Mar26'!R64</f>
        <v>PO / NBF / 210525 / 024</v>
      </c>
      <c r="L64" s="205"/>
      <c r="M64" s="206"/>
      <c r="N64" s="27">
        <f>'Order Details Apr25 - Mar26'!F64*'Order Details Apr25 - Mar26'!N64</f>
        <v>26906.25</v>
      </c>
      <c r="O64" s="25"/>
      <c r="P64" s="22"/>
      <c r="Q64" s="26"/>
      <c r="R64" s="82">
        <v>7</v>
      </c>
      <c r="S64" s="22"/>
      <c r="T64" s="142"/>
      <c r="U64" s="138"/>
      <c r="V64" s="51"/>
    </row>
    <row r="65" spans="1:22" ht="20.100000000000001" customHeight="1" x14ac:dyDescent="0.3">
      <c r="A65" s="44">
        <v>57</v>
      </c>
      <c r="B65" s="22">
        <f>+'Order Details Apr25 - Mar26'!P65</f>
        <v>45798</v>
      </c>
      <c r="C65" s="23"/>
      <c r="D65" s="118" t="str">
        <f>+'Order Details Apr25 - Mar26'!T65</f>
        <v>Venkateshwara Hatcheries Ltd</v>
      </c>
      <c r="E65" s="25"/>
      <c r="F65" s="183" t="str">
        <f>+'Order Details Apr25 - Mar26'!D65</f>
        <v>VENNEW BRO (ND+IB Multi) KILLED</v>
      </c>
      <c r="G65" s="184"/>
      <c r="H65" s="119">
        <f>+'Order Details Apr25 - Mar26'!H65</f>
        <v>25000</v>
      </c>
      <c r="I65" s="120" t="str">
        <f>+'Order Details Apr25 - Mar26'!I65</f>
        <v>Dose</v>
      </c>
      <c r="J65" s="28"/>
      <c r="K65" s="204" t="str">
        <f>+'Order Details Apr25 - Mar26'!R65</f>
        <v>PO / NBF / 210525 / 024</v>
      </c>
      <c r="L65" s="205"/>
      <c r="M65" s="206"/>
      <c r="N65" s="27">
        <f>'Order Details Apr25 - Mar26'!F65*'Order Details Apr25 - Mar26'!N65</f>
        <v>82556.25</v>
      </c>
      <c r="O65" s="25"/>
      <c r="P65" s="22"/>
      <c r="Q65" s="26"/>
      <c r="R65" s="82">
        <v>7</v>
      </c>
      <c r="S65" s="22"/>
      <c r="T65" s="142"/>
      <c r="U65" s="138"/>
      <c r="V65" s="51"/>
    </row>
    <row r="66" spans="1:22" ht="20.100000000000001" customHeight="1" x14ac:dyDescent="0.3">
      <c r="A66" s="44">
        <v>58</v>
      </c>
      <c r="B66" s="22">
        <f>+'Order Details Apr25 - Mar26'!P66</f>
        <v>45798</v>
      </c>
      <c r="C66" s="23"/>
      <c r="D66" s="118" t="str">
        <f>+'Order Details Apr25 - Mar26'!T66</f>
        <v>Venkateshwara Hatcheries Ltd</v>
      </c>
      <c r="E66" s="25"/>
      <c r="F66" s="183" t="str">
        <f>+'Order Details Apr25 - Mar26'!D66</f>
        <v xml:space="preserve">VH CORE-4 (Coryza+ORT) KILLED </v>
      </c>
      <c r="G66" s="184"/>
      <c r="H66" s="119">
        <f>+'Order Details Apr25 - Mar26'!H66</f>
        <v>41000</v>
      </c>
      <c r="I66" s="120" t="str">
        <f>+'Order Details Apr25 - Mar26'!I66</f>
        <v>Dose</v>
      </c>
      <c r="J66" s="28"/>
      <c r="K66" s="204" t="str">
        <f>+'Order Details Apr25 - Mar26'!R66</f>
        <v>PO / NBF / 210525 / 024</v>
      </c>
      <c r="L66" s="205"/>
      <c r="M66" s="206"/>
      <c r="N66" s="27">
        <f>'Order Details Apr25 - Mar26'!F66*'Order Details Apr25 - Mar26'!N66</f>
        <v>66684.45</v>
      </c>
      <c r="O66" s="25"/>
      <c r="P66" s="22"/>
      <c r="Q66" s="26"/>
      <c r="R66" s="82">
        <v>7</v>
      </c>
      <c r="S66" s="22"/>
      <c r="T66" s="142"/>
      <c r="U66" s="138"/>
      <c r="V66" s="51"/>
    </row>
    <row r="67" spans="1:22" ht="20.100000000000001" customHeight="1" x14ac:dyDescent="0.3">
      <c r="A67" s="44">
        <v>59</v>
      </c>
      <c r="B67" s="22">
        <f>+'Order Details Apr25 - Mar26'!P67</f>
        <v>45798</v>
      </c>
      <c r="C67" s="23"/>
      <c r="D67" s="118" t="str">
        <f>+'Order Details Apr25 - Mar26'!T67</f>
        <v>Venkateshwara Hatcheries Ltd</v>
      </c>
      <c r="E67" s="25"/>
      <c r="F67" s="183" t="str">
        <f>+'Order Details Apr25 - Mar26'!D67</f>
        <v>VH F1-C7 (FC+IC) KILLED VAC</v>
      </c>
      <c r="G67" s="184"/>
      <c r="H67" s="119">
        <f>+'Order Details Apr25 - Mar26'!H67</f>
        <v>41000</v>
      </c>
      <c r="I67" s="120" t="str">
        <f>+'Order Details Apr25 - Mar26'!I67</f>
        <v>Dose</v>
      </c>
      <c r="J67" s="28"/>
      <c r="K67" s="204" t="str">
        <f>+'Order Details Apr25 - Mar26'!R67</f>
        <v>PO / NBF / 210525 / 024</v>
      </c>
      <c r="L67" s="205"/>
      <c r="M67" s="206"/>
      <c r="N67" s="27">
        <f>'Order Details Apr25 - Mar26'!F67*'Order Details Apr25 - Mar26'!N67</f>
        <v>101727.15000000001</v>
      </c>
      <c r="O67" s="25"/>
      <c r="P67" s="22"/>
      <c r="Q67" s="26"/>
      <c r="R67" s="82">
        <v>7</v>
      </c>
      <c r="S67" s="22"/>
      <c r="T67" s="142"/>
      <c r="U67" s="138"/>
      <c r="V67" s="51"/>
    </row>
    <row r="68" spans="1:22" ht="20.100000000000001" customHeight="1" x14ac:dyDescent="0.3">
      <c r="A68" s="44">
        <v>60</v>
      </c>
      <c r="B68" s="22">
        <f>+'Order Details Apr25 - Mar26'!P68</f>
        <v>45798</v>
      </c>
      <c r="C68" s="23"/>
      <c r="D68" s="118" t="str">
        <f>+'Order Details Apr25 - Mar26'!T68</f>
        <v>Venkateshwara Hatcheries Ltd</v>
      </c>
      <c r="E68" s="25"/>
      <c r="F68" s="183" t="str">
        <f>+'Order Details Apr25 - Mar26'!D68</f>
        <v>VVND (VENGEM-9) KILLED VAC</v>
      </c>
      <c r="G68" s="184"/>
      <c r="H68" s="119">
        <f>+'Order Details Apr25 - Mar26'!H68</f>
        <v>74000</v>
      </c>
      <c r="I68" s="120" t="str">
        <f>+'Order Details Apr25 - Mar26'!I68</f>
        <v>Dose</v>
      </c>
      <c r="J68" s="28"/>
      <c r="K68" s="204" t="str">
        <f>+'Order Details Apr25 - Mar26'!R68</f>
        <v>PO / NBF / 210525 / 024</v>
      </c>
      <c r="L68" s="205"/>
      <c r="M68" s="206"/>
      <c r="N68" s="27">
        <f>'Order Details Apr25 - Mar26'!F68*'Order Details Apr25 - Mar26'!N68</f>
        <v>81196.5</v>
      </c>
      <c r="O68" s="25"/>
      <c r="P68" s="22"/>
      <c r="Q68" s="26"/>
      <c r="R68" s="82">
        <v>7</v>
      </c>
      <c r="S68" s="22"/>
      <c r="T68" s="142"/>
      <c r="U68" s="138"/>
      <c r="V68" s="51"/>
    </row>
    <row r="69" spans="1:22" ht="20.100000000000001" customHeight="1" x14ac:dyDescent="0.3">
      <c r="A69" s="44">
        <v>61</v>
      </c>
      <c r="B69" s="22">
        <f>+'Order Details Apr25 - Mar26'!P69</f>
        <v>45798</v>
      </c>
      <c r="C69" s="23"/>
      <c r="D69" s="118" t="str">
        <f>+'Order Details Apr25 - Mar26'!T69</f>
        <v>Venkateshwara Hatcheries Ltd</v>
      </c>
      <c r="E69" s="25"/>
      <c r="F69" s="183" t="str">
        <f>+'Order Details Apr25 - Mar26'!D69</f>
        <v>VH V-4K (4way) KILLED VAC</v>
      </c>
      <c r="G69" s="184"/>
      <c r="H69" s="119">
        <f>+'Order Details Apr25 - Mar26'!H69</f>
        <v>49000</v>
      </c>
      <c r="I69" s="120" t="str">
        <f>+'Order Details Apr25 - Mar26'!I69</f>
        <v>Dose</v>
      </c>
      <c r="J69" s="28"/>
      <c r="K69" s="204" t="str">
        <f>+'Order Details Apr25 - Mar26'!R69</f>
        <v>PO / NBF / 210525 / 024</v>
      </c>
      <c r="L69" s="205"/>
      <c r="M69" s="206"/>
      <c r="N69" s="27">
        <f>'Order Details Apr25 - Mar26'!F69*'Order Details Apr25 - Mar26'!N69</f>
        <v>270112.5</v>
      </c>
      <c r="O69" s="25"/>
      <c r="P69" s="22"/>
      <c r="Q69" s="26"/>
      <c r="R69" s="82">
        <v>7</v>
      </c>
      <c r="S69" s="22"/>
      <c r="T69" s="142"/>
      <c r="U69" s="138"/>
      <c r="V69" s="51"/>
    </row>
    <row r="70" spans="1:22" ht="20.100000000000001" customHeight="1" x14ac:dyDescent="0.3">
      <c r="A70" s="44">
        <v>62</v>
      </c>
      <c r="B70" s="22">
        <f>+'Order Details Apr25 - Mar26'!P70</f>
        <v>45798</v>
      </c>
      <c r="C70" s="23"/>
      <c r="D70" s="118" t="str">
        <f>+'Order Details Apr25 - Mar26'!T70</f>
        <v>Venkateshwara Hatcheries Ltd</v>
      </c>
      <c r="E70" s="25"/>
      <c r="F70" s="183" t="str">
        <f>+'Order Details Apr25 - Mar26'!D70</f>
        <v>Sterile Diluent for Pigeon Pox Live</v>
      </c>
      <c r="G70" s="184"/>
      <c r="H70" s="119">
        <f>+'Order Details Apr25 - Mar26'!H70</f>
        <v>9000</v>
      </c>
      <c r="I70" s="120" t="str">
        <f>+'Order Details Apr25 - Mar26'!I70</f>
        <v>Ml</v>
      </c>
      <c r="J70" s="28"/>
      <c r="K70" s="204" t="str">
        <f>+'Order Details Apr25 - Mar26'!R70</f>
        <v>PO / NBF / 210525 / 024</v>
      </c>
      <c r="L70" s="205"/>
      <c r="M70" s="206"/>
      <c r="N70" s="27">
        <f>'Order Details Apr25 - Mar26'!F70*'Order Details Apr25 - Mar26'!N70</f>
        <v>82.6875</v>
      </c>
      <c r="O70" s="25"/>
      <c r="P70" s="22"/>
      <c r="Q70" s="26"/>
      <c r="R70" s="82">
        <v>7</v>
      </c>
      <c r="S70" s="22"/>
      <c r="T70" s="142"/>
      <c r="U70" s="138"/>
      <c r="V70" s="51"/>
    </row>
    <row r="71" spans="1:22" ht="20.100000000000001" customHeight="1" x14ac:dyDescent="0.3">
      <c r="A71" s="44">
        <v>63</v>
      </c>
      <c r="B71" s="22">
        <f>+'Order Details Apr25 - Mar26'!P71</f>
        <v>45798</v>
      </c>
      <c r="C71" s="23"/>
      <c r="D71" s="118" t="str">
        <f>+'Order Details Apr25 - Mar26'!T71</f>
        <v>Venkateshwara Hatcheries Ltd</v>
      </c>
      <c r="E71" s="25"/>
      <c r="F71" s="183" t="str">
        <f>+'Order Details Apr25 - Mar26'!D71</f>
        <v>Sterile Diluent for R2B Live</v>
      </c>
      <c r="G71" s="184"/>
      <c r="H71" s="119">
        <f>+'Order Details Apr25 - Mar26'!H71</f>
        <v>22500</v>
      </c>
      <c r="I71" s="120" t="str">
        <f>+'Order Details Apr25 - Mar26'!I71</f>
        <v>Ml</v>
      </c>
      <c r="J71" s="28"/>
      <c r="K71" s="204" t="str">
        <f>+'Order Details Apr25 - Mar26'!R71</f>
        <v>PO / NBF / 210525 / 024</v>
      </c>
      <c r="L71" s="205"/>
      <c r="M71" s="206"/>
      <c r="N71" s="27">
        <f>'Order Details Apr25 - Mar26'!F71*'Order Details Apr25 - Mar26'!N71</f>
        <v>82.6875</v>
      </c>
      <c r="O71" s="25"/>
      <c r="P71" s="22"/>
      <c r="Q71" s="26"/>
      <c r="R71" s="82">
        <v>7</v>
      </c>
      <c r="S71" s="22"/>
      <c r="T71" s="142"/>
      <c r="U71" s="138"/>
      <c r="V71" s="51"/>
    </row>
    <row r="72" spans="1:22" ht="20.100000000000001" customHeight="1" x14ac:dyDescent="0.3">
      <c r="A72" s="44">
        <v>64</v>
      </c>
      <c r="B72" s="22">
        <f>+'Order Details Apr25 - Mar26'!P72</f>
        <v>45798</v>
      </c>
      <c r="C72" s="23"/>
      <c r="D72" s="118" t="str">
        <f>+'Order Details Apr25 - Mar26'!T72</f>
        <v>Venkateshwara Hatcheries Ltd</v>
      </c>
      <c r="E72" s="25"/>
      <c r="F72" s="183" t="str">
        <f>+'Order Details Apr25 - Mar26'!D72</f>
        <v>Sterile Diluent for VVMD Live</v>
      </c>
      <c r="G72" s="184"/>
      <c r="H72" s="119">
        <f>+'Order Details Apr25 - Mar26'!H72</f>
        <v>17000</v>
      </c>
      <c r="I72" s="120" t="str">
        <f>+'Order Details Apr25 - Mar26'!I72</f>
        <v>Ml</v>
      </c>
      <c r="J72" s="28"/>
      <c r="K72" s="204" t="str">
        <f>+'Order Details Apr25 - Mar26'!R72</f>
        <v>PO / NBF / 210525 / 024</v>
      </c>
      <c r="L72" s="205"/>
      <c r="M72" s="206"/>
      <c r="N72" s="27">
        <f>'Order Details Apr25 - Mar26'!F72*'Order Details Apr25 - Mar26'!N72</f>
        <v>111.5625</v>
      </c>
      <c r="O72" s="25"/>
      <c r="P72" s="22"/>
      <c r="Q72" s="26"/>
      <c r="R72" s="82">
        <v>7</v>
      </c>
      <c r="S72" s="22"/>
      <c r="T72" s="142"/>
      <c r="U72" s="138"/>
      <c r="V72" s="51"/>
    </row>
    <row r="73" spans="1:22" ht="20.100000000000001" customHeight="1" x14ac:dyDescent="0.3">
      <c r="A73" s="44">
        <v>65</v>
      </c>
      <c r="B73" s="22">
        <f>+'Order Details Apr25 - Mar26'!P73</f>
        <v>45798</v>
      </c>
      <c r="C73" s="23"/>
      <c r="D73" s="118" t="str">
        <f>+'Order Details Apr25 - Mar26'!T73</f>
        <v>Venkateshwara Hatcheries Ltd</v>
      </c>
      <c r="E73" s="25"/>
      <c r="F73" s="183" t="str">
        <f>+'Order Details Apr25 - Mar26'!D73</f>
        <v>Sterile Diluent for Others Live</v>
      </c>
      <c r="G73" s="184"/>
      <c r="H73" s="119">
        <f>+'Order Details Apr25 - Mar26'!H73</f>
        <v>6300</v>
      </c>
      <c r="I73" s="120" t="str">
        <f>+'Order Details Apr25 - Mar26'!I73</f>
        <v>Ml</v>
      </c>
      <c r="J73" s="28"/>
      <c r="K73" s="204" t="str">
        <f>+'Order Details Apr25 - Mar26'!R73</f>
        <v>PO / NBF / 210525 / 024</v>
      </c>
      <c r="L73" s="205"/>
      <c r="M73" s="206"/>
      <c r="N73" s="27">
        <f>'Order Details Apr25 - Mar26'!F73*'Order Details Apr25 - Mar26'!N73</f>
        <v>385.875</v>
      </c>
      <c r="O73" s="25"/>
      <c r="P73" s="22"/>
      <c r="Q73" s="26"/>
      <c r="R73" s="82">
        <v>7</v>
      </c>
      <c r="S73" s="22"/>
      <c r="T73" s="142"/>
      <c r="U73" s="138"/>
      <c r="V73" s="51"/>
    </row>
    <row r="74" spans="1:22" ht="20.100000000000001" customHeight="1" x14ac:dyDescent="0.3">
      <c r="A74" s="44">
        <v>66</v>
      </c>
      <c r="B74" s="22">
        <f>+'Order Details Apr25 - Mar26'!P74</f>
        <v>45798</v>
      </c>
      <c r="C74" s="23"/>
      <c r="D74" s="118" t="str">
        <f>+'Order Details Apr25 - Mar26'!T74</f>
        <v>Venkateshwara Marketing Hyd</v>
      </c>
      <c r="E74" s="25"/>
      <c r="F74" s="183" t="str">
        <f>+'Order Details Apr25 - Mar26'!D74</f>
        <v>Nobilis IB MA-5 Live Vaccine (MSD)</v>
      </c>
      <c r="G74" s="184"/>
      <c r="H74" s="119">
        <f>+'Order Details Apr25 - Mar26'!H74</f>
        <v>41000</v>
      </c>
      <c r="I74" s="120" t="str">
        <f>+'Order Details Apr25 - Mar26'!I74</f>
        <v>Dose</v>
      </c>
      <c r="J74" s="28"/>
      <c r="K74" s="204" t="str">
        <f>+'Order Details Apr25 - Mar26'!R74</f>
        <v>PO / NBF / 210525 / 025</v>
      </c>
      <c r="L74" s="205"/>
      <c r="M74" s="206"/>
      <c r="N74" s="27">
        <f>'Order Details Apr25 - Mar26'!F74*'Order Details Apr25 - Mar26'!N74</f>
        <v>20664</v>
      </c>
      <c r="O74" s="25"/>
      <c r="P74" s="22"/>
      <c r="Q74" s="26"/>
      <c r="R74" s="82">
        <v>45</v>
      </c>
      <c r="S74" s="22"/>
      <c r="T74" s="142"/>
      <c r="U74" s="138"/>
      <c r="V74" s="51"/>
    </row>
    <row r="75" spans="1:22" ht="20.100000000000001" customHeight="1" x14ac:dyDescent="0.3">
      <c r="A75" s="44">
        <v>67</v>
      </c>
      <c r="B75" s="22">
        <f>+'Order Details Apr25 - Mar26'!P75</f>
        <v>45798</v>
      </c>
      <c r="C75" s="23"/>
      <c r="D75" s="118" t="str">
        <f>+'Order Details Apr25 - Mar26'!T75</f>
        <v>Venkateshwara Marketing Hyd</v>
      </c>
      <c r="E75" s="25"/>
      <c r="F75" s="183" t="str">
        <f>+'Order Details Apr25 - Mar26'!D75</f>
        <v>Nobilis REO 1133 Live Vaccine (MSD)</v>
      </c>
      <c r="G75" s="184"/>
      <c r="H75" s="119">
        <f>+'Order Details Apr25 - Mar26'!H75</f>
        <v>41000</v>
      </c>
      <c r="I75" s="120" t="str">
        <f>+'Order Details Apr25 - Mar26'!I75</f>
        <v>Dose</v>
      </c>
      <c r="J75" s="28"/>
      <c r="K75" s="204" t="str">
        <f>+'Order Details Apr25 - Mar26'!R75</f>
        <v>PO / NBF / 210525 / 025</v>
      </c>
      <c r="L75" s="205"/>
      <c r="M75" s="206"/>
      <c r="N75" s="27">
        <f>'Order Details Apr25 - Mar26'!F75*'Order Details Apr25 - Mar26'!N75</f>
        <v>111930</v>
      </c>
      <c r="O75" s="25"/>
      <c r="P75" s="22"/>
      <c r="Q75" s="26"/>
      <c r="R75" s="82">
        <v>45</v>
      </c>
      <c r="S75" s="22"/>
      <c r="T75" s="142"/>
      <c r="U75" s="138"/>
      <c r="V75" s="51"/>
    </row>
    <row r="76" spans="1:22" ht="20.100000000000001" customHeight="1" x14ac:dyDescent="0.3">
      <c r="A76" s="44">
        <v>68</v>
      </c>
      <c r="B76" s="22">
        <f>+'Order Details Apr25 - Mar26'!P76</f>
        <v>45798</v>
      </c>
      <c r="C76" s="23"/>
      <c r="D76" s="118" t="str">
        <f>+'Order Details Apr25 - Mar26'!T76</f>
        <v>Venkateshwara Marketing Hyd</v>
      </c>
      <c r="E76" s="25"/>
      <c r="F76" s="183" t="str">
        <f>+'Order Details Apr25 - Mar26'!D76</f>
        <v>Nobilis Sg9R (Salmonella) Live Vac (MSD)</v>
      </c>
      <c r="G76" s="184"/>
      <c r="H76" s="119">
        <f>+'Order Details Apr25 - Mar26'!H76</f>
        <v>41000</v>
      </c>
      <c r="I76" s="120" t="str">
        <f>+'Order Details Apr25 - Mar26'!I76</f>
        <v>Dose</v>
      </c>
      <c r="J76" s="28"/>
      <c r="K76" s="204" t="str">
        <f>+'Order Details Apr25 - Mar26'!R76</f>
        <v>PO / NBF / 210525 / 025</v>
      </c>
      <c r="L76" s="205"/>
      <c r="M76" s="206"/>
      <c r="N76" s="27">
        <f>'Order Details Apr25 - Mar26'!F76*'Order Details Apr25 - Mar26'!N76</f>
        <v>286282.5</v>
      </c>
      <c r="O76" s="25"/>
      <c r="P76" s="22"/>
      <c r="Q76" s="26"/>
      <c r="R76" s="82">
        <v>45</v>
      </c>
      <c r="S76" s="22"/>
      <c r="T76" s="142"/>
      <c r="U76" s="138"/>
      <c r="V76" s="51"/>
    </row>
    <row r="77" spans="1:22" ht="20.100000000000001" customHeight="1" x14ac:dyDescent="0.3">
      <c r="A77" s="44">
        <v>69</v>
      </c>
      <c r="B77" s="22">
        <f>+'Order Details Apr25 - Mar26'!P77</f>
        <v>45798</v>
      </c>
      <c r="C77" s="23"/>
      <c r="D77" s="118" t="str">
        <f>+'Order Details Apr25 - Mar26'!T77</f>
        <v>Venkateshwara Marketing Hyd</v>
      </c>
      <c r="E77" s="25"/>
      <c r="F77" s="183" t="str">
        <f>+'Order Details Apr25 - Mar26'!D77</f>
        <v>Nobilis REO INAC KILLED VAC (MSD)</v>
      </c>
      <c r="G77" s="184"/>
      <c r="H77" s="119">
        <f>+'Order Details Apr25 - Mar26'!H77</f>
        <v>41000</v>
      </c>
      <c r="I77" s="120" t="str">
        <f>+'Order Details Apr25 - Mar26'!I77</f>
        <v>Dose</v>
      </c>
      <c r="J77" s="28"/>
      <c r="K77" s="204" t="str">
        <f>+'Order Details Apr25 - Mar26'!R77</f>
        <v>PO / NBF / 210525 / 025</v>
      </c>
      <c r="L77" s="205"/>
      <c r="M77" s="206"/>
      <c r="N77" s="27">
        <f>'Order Details Apr25 - Mar26'!F77*'Order Details Apr25 - Mar26'!N77</f>
        <v>147747.6</v>
      </c>
      <c r="O77" s="25"/>
      <c r="P77" s="22"/>
      <c r="Q77" s="26"/>
      <c r="R77" s="82">
        <v>45</v>
      </c>
      <c r="S77" s="22"/>
      <c r="T77" s="142"/>
      <c r="U77" s="138"/>
      <c r="V77" s="51"/>
    </row>
    <row r="78" spans="1:22" ht="20.100000000000001" customHeight="1" x14ac:dyDescent="0.3">
      <c r="A78" s="44">
        <v>70</v>
      </c>
      <c r="B78" s="22">
        <f>+'Order Details Apr25 - Mar26'!P78</f>
        <v>45799</v>
      </c>
      <c r="C78" s="23"/>
      <c r="D78" s="118" t="str">
        <f>+'Order Details Apr25 - Mar26'!T78</f>
        <v>Alltech Biotechnology Pvt Ltd</v>
      </c>
      <c r="E78" s="25"/>
      <c r="F78" s="183" t="str">
        <f>+'Order Details Apr25 - Mar26'!D78</f>
        <v>MYCOSORB A+ (Alltech)</v>
      </c>
      <c r="G78" s="184"/>
      <c r="H78" s="119">
        <f>+'Order Details Apr25 - Mar26'!H78</f>
        <v>1000</v>
      </c>
      <c r="I78" s="120" t="str">
        <f>+'Order Details Apr25 - Mar26'!I78</f>
        <v>Kg</v>
      </c>
      <c r="J78" s="28"/>
      <c r="K78" s="204" t="str">
        <f>+'Order Details Apr25 - Mar26'!R78</f>
        <v>PO / NBF / 220525 / 026</v>
      </c>
      <c r="L78" s="205"/>
      <c r="M78" s="206"/>
      <c r="N78" s="27">
        <f>'Order Details Apr25 - Mar26'!F78*'Order Details Apr25 - Mar26'!N78</f>
        <v>250000</v>
      </c>
      <c r="O78" s="25"/>
      <c r="P78" s="22"/>
      <c r="Q78" s="26"/>
      <c r="R78" s="82">
        <v>7</v>
      </c>
      <c r="S78" s="22"/>
      <c r="T78" s="142"/>
      <c r="U78" s="138"/>
      <c r="V78" s="51"/>
    </row>
    <row r="79" spans="1:22" ht="20.100000000000001" customHeight="1" x14ac:dyDescent="0.3">
      <c r="A79" s="44">
        <v>71</v>
      </c>
      <c r="B79" s="22">
        <f>+'Order Details Apr25 - Mar26'!P79</f>
        <v>45799</v>
      </c>
      <c r="C79" s="23"/>
      <c r="D79" s="118" t="str">
        <f>+'Order Details Apr25 - Mar26'!T79</f>
        <v>Das Drug Centre Pvt Ltd, Habra</v>
      </c>
      <c r="E79" s="25"/>
      <c r="F79" s="183" t="str">
        <f>+'Order Details Apr25 - Mar26'!D79</f>
        <v>HIMFLORA (Himalaya)</v>
      </c>
      <c r="G79" s="184"/>
      <c r="H79" s="119">
        <f>+'Order Details Apr25 - Mar26'!H79</f>
        <v>200</v>
      </c>
      <c r="I79" s="120" t="str">
        <f>+'Order Details Apr25 - Mar26'!I79</f>
        <v>Kg</v>
      </c>
      <c r="J79" s="28"/>
      <c r="K79" s="204" t="str">
        <f>+'Order Details Apr25 - Mar26'!R79</f>
        <v>PO / NBF / 220525 / 027</v>
      </c>
      <c r="L79" s="205"/>
      <c r="M79" s="206"/>
      <c r="N79" s="27">
        <f>'Order Details Apr25 - Mar26'!F79*'Order Details Apr25 - Mar26'!N79</f>
        <v>115000</v>
      </c>
      <c r="O79" s="25"/>
      <c r="P79" s="22"/>
      <c r="Q79" s="26"/>
      <c r="R79" s="82">
        <v>45</v>
      </c>
      <c r="S79" s="22"/>
      <c r="T79" s="142"/>
      <c r="U79" s="138"/>
      <c r="V79" s="51"/>
    </row>
    <row r="80" spans="1:22" ht="20.100000000000001" customHeight="1" x14ac:dyDescent="0.3">
      <c r="A80" s="44">
        <v>72</v>
      </c>
      <c r="B80" s="22">
        <f>+'Order Details Apr25 - Mar26'!P80</f>
        <v>45799</v>
      </c>
      <c r="C80" s="23"/>
      <c r="D80" s="118" t="str">
        <f>+'Order Details Apr25 - Mar26'!T80</f>
        <v>Kemin Industries South Asia</v>
      </c>
      <c r="E80" s="25"/>
      <c r="F80" s="183" t="str">
        <f>+'Order Details Apr25 - Mar26'!D80</f>
        <v>CLOSTAT - 365 / 12 DRY (Kemin)</v>
      </c>
      <c r="G80" s="184"/>
      <c r="H80" s="119">
        <f>+'Order Details Apr25 - Mar26'!H80</f>
        <v>200</v>
      </c>
      <c r="I80" s="120" t="str">
        <f>+'Order Details Apr25 - Mar26'!I80</f>
        <v>Kg</v>
      </c>
      <c r="J80" s="28"/>
      <c r="K80" s="204" t="str">
        <f>+'Order Details Apr25 - Mar26'!R80</f>
        <v>PO / NBF / 220525 / 028</v>
      </c>
      <c r="L80" s="205"/>
      <c r="M80" s="206"/>
      <c r="N80" s="27">
        <f>'Order Details Apr25 - Mar26'!F80*'Order Details Apr25 - Mar26'!N80</f>
        <v>100000</v>
      </c>
      <c r="O80" s="25"/>
      <c r="P80" s="22"/>
      <c r="Q80" s="26"/>
      <c r="R80" s="82">
        <v>45</v>
      </c>
      <c r="S80" s="22"/>
      <c r="T80" s="142"/>
      <c r="U80" s="138"/>
      <c r="V80" s="51"/>
    </row>
    <row r="81" spans="1:22" ht="20.100000000000001" customHeight="1" x14ac:dyDescent="0.3">
      <c r="A81" s="44">
        <v>73</v>
      </c>
      <c r="B81" s="22">
        <f>+'Order Details Apr25 - Mar26'!P81</f>
        <v>45804</v>
      </c>
      <c r="C81" s="23"/>
      <c r="D81" s="118" t="str">
        <f>+'Order Details Apr25 - Mar26'!T81</f>
        <v>Das Drug Centre Pvt Ltd, Habra</v>
      </c>
      <c r="E81" s="25"/>
      <c r="F81" s="183" t="str">
        <f>+'Order Details Apr25 - Mar26'!D81</f>
        <v>CHLORAN-15% (Zenex-AH)</v>
      </c>
      <c r="G81" s="184"/>
      <c r="H81" s="119">
        <f>+'Order Details Apr25 - Mar26'!H81</f>
        <v>200</v>
      </c>
      <c r="I81" s="120" t="str">
        <f>+'Order Details Apr25 - Mar26'!I81</f>
        <v>Kg</v>
      </c>
      <c r="J81" s="28"/>
      <c r="K81" s="204" t="str">
        <f>+'Order Details Apr25 - Mar26'!R81</f>
        <v>PO / NBF / 270525 / 029</v>
      </c>
      <c r="L81" s="205"/>
      <c r="M81" s="206"/>
      <c r="N81" s="27">
        <f>'Order Details Apr25 - Mar26'!F81*'Order Details Apr25 - Mar26'!N81</f>
        <v>48000</v>
      </c>
      <c r="O81" s="25"/>
      <c r="P81" s="22"/>
      <c r="Q81" s="26"/>
      <c r="R81" s="82">
        <v>45</v>
      </c>
      <c r="S81" s="22"/>
      <c r="T81" s="142"/>
      <c r="U81" s="138"/>
      <c r="V81" s="51"/>
    </row>
    <row r="82" spans="1:22" ht="20.100000000000001" customHeight="1" x14ac:dyDescent="0.3">
      <c r="A82" s="44">
        <v>74</v>
      </c>
      <c r="B82" s="22">
        <f>+'Order Details Apr25 - Mar26'!P82</f>
        <v>45804</v>
      </c>
      <c r="C82" s="23"/>
      <c r="D82" s="118" t="str">
        <f>+'Order Details Apr25 - Mar26'!T82</f>
        <v>Das Drug Centre Pvt Ltd, Habra</v>
      </c>
      <c r="E82" s="25"/>
      <c r="F82" s="183" t="str">
        <f>+'Order Details Apr25 - Mar26'!D82</f>
        <v>KOLIN PLUS (Natural Remedies)</v>
      </c>
      <c r="G82" s="184"/>
      <c r="H82" s="119">
        <f>+'Order Details Apr25 - Mar26'!H82</f>
        <v>500</v>
      </c>
      <c r="I82" s="120" t="str">
        <f>+'Order Details Apr25 - Mar26'!I82</f>
        <v>Kg</v>
      </c>
      <c r="J82" s="28"/>
      <c r="K82" s="204" t="str">
        <f>+'Order Details Apr25 - Mar26'!R82</f>
        <v>PO / NBF / 270525 / 029</v>
      </c>
      <c r="L82" s="205"/>
      <c r="M82" s="206"/>
      <c r="N82" s="27">
        <f>'Order Details Apr25 - Mar26'!F82*'Order Details Apr25 - Mar26'!N82</f>
        <v>35000</v>
      </c>
      <c r="O82" s="25"/>
      <c r="P82" s="22"/>
      <c r="Q82" s="26"/>
      <c r="R82" s="82">
        <v>45</v>
      </c>
      <c r="S82" s="22"/>
      <c r="T82" s="142"/>
      <c r="U82" s="138"/>
      <c r="V82" s="51"/>
    </row>
    <row r="83" spans="1:22" ht="20.100000000000001" customHeight="1" x14ac:dyDescent="0.3">
      <c r="A83" s="44">
        <v>75</v>
      </c>
      <c r="B83" s="22">
        <f>+'Order Details Apr25 - Mar26'!P83</f>
        <v>45804</v>
      </c>
      <c r="C83" s="23"/>
      <c r="D83" s="118" t="str">
        <f>+'Order Details Apr25 - Mar26'!T83</f>
        <v>Trouw Nutrition India Pvt Ltd</v>
      </c>
      <c r="E83" s="25"/>
      <c r="F83" s="183" t="str">
        <f>+'Order Details Apr25 - Mar26'!D83</f>
        <v>INORGANIC TRACE MINERALS (Custom)</v>
      </c>
      <c r="G83" s="184"/>
      <c r="H83" s="119">
        <f>+'Order Details Apr25 - Mar26'!H83</f>
        <v>1000</v>
      </c>
      <c r="I83" s="120" t="str">
        <f>+'Order Details Apr25 - Mar26'!I83</f>
        <v>Kg</v>
      </c>
      <c r="J83" s="28"/>
      <c r="K83" s="204" t="str">
        <f>+'Order Details Apr25 - Mar26'!R83</f>
        <v>PO / NBF / 270525 / 030</v>
      </c>
      <c r="L83" s="205"/>
      <c r="M83" s="206"/>
      <c r="N83" s="27">
        <f>'Order Details Apr25 - Mar26'!F83*'Order Details Apr25 - Mar26'!N83</f>
        <v>110000</v>
      </c>
      <c r="O83" s="25"/>
      <c r="P83" s="22"/>
      <c r="Q83" s="26"/>
      <c r="R83" s="82">
        <v>45</v>
      </c>
      <c r="S83" s="22"/>
      <c r="T83" s="142"/>
      <c r="U83" s="138"/>
      <c r="V83" s="51"/>
    </row>
    <row r="84" spans="1:22" ht="20.100000000000001" customHeight="1" x14ac:dyDescent="0.3">
      <c r="A84" s="44">
        <v>76</v>
      </c>
      <c r="B84" s="22">
        <f>+'Order Details Apr25 - Mar26'!P84</f>
        <v>45812</v>
      </c>
      <c r="C84" s="23"/>
      <c r="D84" s="118" t="str">
        <f>+'Order Details Apr25 - Mar26'!T84</f>
        <v>Bhavani Veterianary Medical Hyd</v>
      </c>
      <c r="E84" s="25"/>
      <c r="F84" s="183" t="str">
        <f>+'Order Details Apr25 - Mar26'!D84</f>
        <v>RECEPTAL VET (MSD)</v>
      </c>
      <c r="G84" s="184"/>
      <c r="H84" s="119">
        <f>+'Order Details Apr25 - Mar26'!H84</f>
        <v>200</v>
      </c>
      <c r="I84" s="120" t="str">
        <f>+'Order Details Apr25 - Mar26'!I84</f>
        <v>Ml</v>
      </c>
      <c r="J84" s="28"/>
      <c r="K84" s="204" t="str">
        <f>+'Order Details Apr25 - Mar26'!R84</f>
        <v>PO / NBF / 040625 / 031</v>
      </c>
      <c r="L84" s="205"/>
      <c r="M84" s="206"/>
      <c r="N84" s="27">
        <f>'Order Details Apr25 - Mar26'!F84*'Order Details Apr25 - Mar26'!N84</f>
        <v>14000</v>
      </c>
      <c r="O84" s="25"/>
      <c r="P84" s="22"/>
      <c r="Q84" s="26"/>
      <c r="R84" s="82">
        <v>30</v>
      </c>
      <c r="S84" s="22"/>
      <c r="T84" s="142"/>
      <c r="U84" s="138"/>
      <c r="V84" s="51"/>
    </row>
    <row r="85" spans="1:22" ht="20.100000000000001" customHeight="1" x14ac:dyDescent="0.3">
      <c r="A85" s="44">
        <v>77</v>
      </c>
      <c r="B85" s="22">
        <f>+'Order Details Apr25 - Mar26'!P85</f>
        <v>45812</v>
      </c>
      <c r="C85" s="23"/>
      <c r="D85" s="118" t="str">
        <f>+'Order Details Apr25 - Mar26'!T85</f>
        <v>Huvepharma Sea Pune Pvt Ltd</v>
      </c>
      <c r="E85" s="25"/>
      <c r="F85" s="183" t="str">
        <f>+'Order Details Apr25 - Mar26'!D85</f>
        <v>TILMOVET (Huvepharma)</v>
      </c>
      <c r="G85" s="184"/>
      <c r="H85" s="119">
        <f>+'Order Details Apr25 - Mar26'!H85</f>
        <v>34560</v>
      </c>
      <c r="I85" s="120" t="str">
        <f>+'Order Details Apr25 - Mar26'!I85</f>
        <v>Ml</v>
      </c>
      <c r="J85" s="28"/>
      <c r="K85" s="204" t="str">
        <f>+'Order Details Apr25 - Mar26'!R85</f>
        <v>PO / NBF / 040625 / 032</v>
      </c>
      <c r="L85" s="205"/>
      <c r="M85" s="206"/>
      <c r="N85" s="27">
        <f>'Order Details Apr25 - Mar26'!F85*'Order Details Apr25 - Mar26'!N85</f>
        <v>374976</v>
      </c>
      <c r="O85" s="25"/>
      <c r="P85" s="22"/>
      <c r="Q85" s="26"/>
      <c r="R85" s="82">
        <v>7</v>
      </c>
      <c r="S85" s="22"/>
      <c r="T85" s="142"/>
      <c r="U85" s="138"/>
      <c r="V85" s="51"/>
    </row>
    <row r="86" spans="1:22" ht="20.100000000000001" customHeight="1" x14ac:dyDescent="0.3">
      <c r="A86" s="44">
        <v>78</v>
      </c>
      <c r="B86" s="22">
        <f>+'Order Details Apr25 - Mar26'!P86</f>
        <v>45812</v>
      </c>
      <c r="C86" s="23"/>
      <c r="D86" s="118" t="str">
        <f>+'Order Details Apr25 - Mar26'!T86</f>
        <v>Venkys India Limited - AHP Division</v>
      </c>
      <c r="E86" s="25"/>
      <c r="F86" s="183" t="str">
        <f>+'Order Details Apr25 - Mar26'!D86</f>
        <v>SOLUCAL (AHP Division)</v>
      </c>
      <c r="G86" s="184"/>
      <c r="H86" s="119">
        <f>+'Order Details Apr25 - Mar26'!H86</f>
        <v>100</v>
      </c>
      <c r="I86" s="120" t="str">
        <f>+'Order Details Apr25 - Mar26'!I86</f>
        <v>Ltr</v>
      </c>
      <c r="J86" s="28"/>
      <c r="K86" s="204" t="str">
        <f>+'Order Details Apr25 - Mar26'!R86</f>
        <v>PO / NBF / 040625 / 033</v>
      </c>
      <c r="L86" s="205"/>
      <c r="M86" s="206"/>
      <c r="N86" s="27">
        <f>'Order Details Apr25 - Mar26'!F86*'Order Details Apr25 - Mar26'!N86</f>
        <v>13840</v>
      </c>
      <c r="O86" s="25"/>
      <c r="P86" s="22"/>
      <c r="Q86" s="26"/>
      <c r="R86" s="82">
        <v>7</v>
      </c>
      <c r="S86" s="22"/>
      <c r="T86" s="142"/>
      <c r="U86" s="138"/>
      <c r="V86" s="51"/>
    </row>
    <row r="87" spans="1:22" ht="20.100000000000001" customHeight="1" x14ac:dyDescent="0.3">
      <c r="A87" s="44">
        <v>79</v>
      </c>
      <c r="B87" s="22">
        <f>+'Order Details Apr25 - Mar26'!P87</f>
        <v>45812</v>
      </c>
      <c r="C87" s="23"/>
      <c r="D87" s="118" t="str">
        <f>+'Order Details Apr25 - Mar26'!T87</f>
        <v>Venkys India Limited - AHP Division</v>
      </c>
      <c r="E87" s="25"/>
      <c r="F87" s="183" t="str">
        <f>+'Order Details Apr25 - Mar26'!D87</f>
        <v>VENDOX-N (AHP Division)</v>
      </c>
      <c r="G87" s="184"/>
      <c r="H87" s="119">
        <f>+'Order Details Apr25 - Mar26'!H87</f>
        <v>20000</v>
      </c>
      <c r="I87" s="120" t="str">
        <f>+'Order Details Apr25 - Mar26'!I87</f>
        <v>Gms</v>
      </c>
      <c r="J87" s="28"/>
      <c r="K87" s="204" t="str">
        <f>+'Order Details Apr25 - Mar26'!R87</f>
        <v>PO / NBF / 040625 / 033</v>
      </c>
      <c r="L87" s="205"/>
      <c r="M87" s="206"/>
      <c r="N87" s="27">
        <f>'Order Details Apr25 - Mar26'!F87*'Order Details Apr25 - Mar26'!N87</f>
        <v>41843.199999999997</v>
      </c>
      <c r="O87" s="25"/>
      <c r="P87" s="22"/>
      <c r="Q87" s="26"/>
      <c r="R87" s="82">
        <v>7</v>
      </c>
      <c r="S87" s="22"/>
      <c r="T87" s="142"/>
      <c r="U87" s="138"/>
      <c r="V87" s="51"/>
    </row>
    <row r="88" spans="1:22" ht="20.100000000000001" customHeight="1" x14ac:dyDescent="0.3">
      <c r="A88" s="44">
        <v>80</v>
      </c>
      <c r="B88" s="22">
        <f>+'Order Details Apr25 - Mar26'!P88</f>
        <v>45814</v>
      </c>
      <c r="C88" s="23"/>
      <c r="D88" s="118" t="str">
        <f>+'Order Details Apr25 - Mar26'!T88</f>
        <v>Sneha Farms Pvt Ltd Hyderabad</v>
      </c>
      <c r="E88" s="25"/>
      <c r="F88" s="183" t="str">
        <f>+'Order Details Apr25 - Mar26'!D88</f>
        <v>MCP (Channen)</v>
      </c>
      <c r="G88" s="184"/>
      <c r="H88" s="119">
        <f>+'Order Details Apr25 - Mar26'!H88</f>
        <v>10000</v>
      </c>
      <c r="I88" s="120" t="str">
        <f>+'Order Details Apr25 - Mar26'!I88</f>
        <v>Kg</v>
      </c>
      <c r="J88" s="28"/>
      <c r="K88" s="204" t="str">
        <f>+'Order Details Apr25 - Mar26'!R88</f>
        <v>PO / NBF / 060625/ 034</v>
      </c>
      <c r="L88" s="205"/>
      <c r="M88" s="206"/>
      <c r="N88" s="27">
        <f>'Order Details Apr25 - Mar26'!F88*'Order Details Apr25 - Mar26'!N88</f>
        <v>859998.15999999992</v>
      </c>
      <c r="O88" s="25"/>
      <c r="P88" s="22"/>
      <c r="Q88" s="26"/>
      <c r="R88" s="82">
        <v>7</v>
      </c>
      <c r="S88" s="22"/>
      <c r="T88" s="142"/>
      <c r="U88" s="138"/>
      <c r="V88" s="51"/>
    </row>
    <row r="89" spans="1:22" ht="20.100000000000001" customHeight="1" x14ac:dyDescent="0.3">
      <c r="A89" s="44">
        <v>81</v>
      </c>
      <c r="B89" s="22">
        <f>+'Order Details Apr25 - Mar26'!P89</f>
        <v>45821</v>
      </c>
      <c r="C89" s="23"/>
      <c r="D89" s="118" t="str">
        <f>+'Order Details Apr25 - Mar26'!T89</f>
        <v>Quest Agrovet Services Pvt Ltd</v>
      </c>
      <c r="E89" s="25"/>
      <c r="F89" s="183" t="str">
        <f>+'Order Details Apr25 - Mar26'!D89</f>
        <v>TRUE ACTIVE D-3 (Sapience)</v>
      </c>
      <c r="G89" s="184"/>
      <c r="H89" s="119">
        <f>+'Order Details Apr25 - Mar26'!H89</f>
        <v>20</v>
      </c>
      <c r="I89" s="120" t="str">
        <f>+'Order Details Apr25 - Mar26'!I89</f>
        <v>Kg</v>
      </c>
      <c r="J89" s="28"/>
      <c r="K89" s="204" t="str">
        <f>+'Order Details Apr25 - Mar26'!R89</f>
        <v>PO / NBF / 130625/ 035</v>
      </c>
      <c r="L89" s="205"/>
      <c r="M89" s="206"/>
      <c r="N89" s="27">
        <f>'Order Details Apr25 - Mar26'!F89*'Order Details Apr25 - Mar26'!N89</f>
        <v>22000</v>
      </c>
      <c r="O89" s="25"/>
      <c r="P89" s="22"/>
      <c r="Q89" s="26"/>
      <c r="R89" s="82">
        <v>3</v>
      </c>
      <c r="S89" s="22"/>
      <c r="T89" s="142"/>
      <c r="U89" s="138"/>
      <c r="V89" s="51"/>
    </row>
    <row r="90" spans="1:22" ht="20.100000000000001" customHeight="1" x14ac:dyDescent="0.3">
      <c r="A90" s="44">
        <v>82</v>
      </c>
      <c r="B90" s="22">
        <f>+'Order Details Apr25 - Mar26'!P90</f>
        <v>45824</v>
      </c>
      <c r="C90" s="23"/>
      <c r="D90" s="118" t="str">
        <f>+'Order Details Apr25 - Mar26'!T90</f>
        <v>Sapience Agribusiness Cons LLP</v>
      </c>
      <c r="E90" s="25"/>
      <c r="F90" s="183" t="str">
        <f>+'Order Details Apr25 - Mar26'!D90</f>
        <v>TRUE ACTIVE D-3 (Sapience)</v>
      </c>
      <c r="G90" s="184"/>
      <c r="H90" s="119">
        <f>+'Order Details Apr25 - Mar26'!H90</f>
        <v>200</v>
      </c>
      <c r="I90" s="120" t="str">
        <f>+'Order Details Apr25 - Mar26'!I90</f>
        <v>Kg</v>
      </c>
      <c r="J90" s="28"/>
      <c r="K90" s="204" t="str">
        <f>+'Order Details Apr25 - Mar26'!R90</f>
        <v>PO / NBF / 160625/ 036</v>
      </c>
      <c r="L90" s="205"/>
      <c r="M90" s="206"/>
      <c r="N90" s="27">
        <f>'Order Details Apr25 - Mar26'!F90*'Order Details Apr25 - Mar26'!N90</f>
        <v>154000</v>
      </c>
      <c r="O90" s="25"/>
      <c r="P90" s="22"/>
      <c r="Q90" s="26"/>
      <c r="R90" s="82">
        <v>30</v>
      </c>
      <c r="S90" s="22"/>
      <c r="T90" s="142"/>
      <c r="U90" s="138"/>
      <c r="V90" s="51"/>
    </row>
    <row r="91" spans="1:22" ht="20.100000000000001" customHeight="1" x14ac:dyDescent="0.3">
      <c r="A91" s="44">
        <v>83</v>
      </c>
      <c r="B91" s="22">
        <f>+'Order Details Apr25 - Mar26'!P91</f>
        <v>45824</v>
      </c>
      <c r="C91" s="23"/>
      <c r="D91" s="118" t="str">
        <f>+'Order Details Apr25 - Mar26'!T91</f>
        <v>Das Drug Centre Pvt Ltd, Habra</v>
      </c>
      <c r="E91" s="25"/>
      <c r="F91" s="183" t="str">
        <f>+'Order Details Apr25 - Mar26'!D91</f>
        <v>VALOSIN (Timoeva Wellness)</v>
      </c>
      <c r="G91" s="184"/>
      <c r="H91" s="119">
        <f>+'Order Details Apr25 - Mar26'!H91</f>
        <v>14</v>
      </c>
      <c r="I91" s="120" t="str">
        <f>+'Order Details Apr25 - Mar26'!I91</f>
        <v>Kg</v>
      </c>
      <c r="J91" s="28"/>
      <c r="K91" s="204" t="str">
        <f>+'Order Details Apr25 - Mar26'!R91</f>
        <v>PO / NBF / 160625/ 037</v>
      </c>
      <c r="L91" s="205"/>
      <c r="M91" s="206"/>
      <c r="N91" s="27">
        <f>'Order Details Apr25 - Mar26'!F91*'Order Details Apr25 - Mar26'!N91</f>
        <v>357280</v>
      </c>
      <c r="O91" s="25"/>
      <c r="P91" s="22"/>
      <c r="Q91" s="26"/>
      <c r="R91" s="82">
        <v>45</v>
      </c>
      <c r="S91" s="22"/>
      <c r="T91" s="142"/>
      <c r="U91" s="138"/>
      <c r="V91" s="51"/>
    </row>
    <row r="92" spans="1:22" ht="20.100000000000001" customHeight="1" x14ac:dyDescent="0.3">
      <c r="A92" s="44">
        <v>84</v>
      </c>
      <c r="B92" s="22">
        <f>+'Order Details Apr25 - Mar26'!P92</f>
        <v>45825</v>
      </c>
      <c r="C92" s="23"/>
      <c r="D92" s="118" t="str">
        <f>+'Order Details Apr25 - Mar26'!T92</f>
        <v>Nutridian Animal Health Thane M</v>
      </c>
      <c r="E92" s="25"/>
      <c r="F92" s="183" t="str">
        <f>+'Order Details Apr25 - Mar26'!D92</f>
        <v>CUOXINE (Nutridian)</v>
      </c>
      <c r="G92" s="184"/>
      <c r="H92" s="119">
        <f>+'Order Details Apr25 - Mar26'!H92</f>
        <v>50</v>
      </c>
      <c r="I92" s="120" t="str">
        <f>+'Order Details Apr25 - Mar26'!I92</f>
        <v>Kg</v>
      </c>
      <c r="J92" s="28"/>
      <c r="K92" s="204" t="str">
        <f>+'Order Details Apr25 - Mar26'!R92</f>
        <v>PO / NBF / 170625/ 038</v>
      </c>
      <c r="L92" s="205"/>
      <c r="M92" s="206"/>
      <c r="N92" s="27">
        <f>'Order Details Apr25 - Mar26'!F92*'Order Details Apr25 - Mar26'!N92</f>
        <v>32500</v>
      </c>
      <c r="O92" s="25"/>
      <c r="P92" s="22"/>
      <c r="Q92" s="26"/>
      <c r="R92" s="82">
        <v>2</v>
      </c>
      <c r="S92" s="22"/>
      <c r="T92" s="142"/>
      <c r="U92" s="138"/>
      <c r="V92" s="51"/>
    </row>
    <row r="93" spans="1:22" ht="20.100000000000001" customHeight="1" x14ac:dyDescent="0.3">
      <c r="A93" s="44">
        <v>85</v>
      </c>
      <c r="B93" s="22">
        <f>+'Order Details Apr25 - Mar26'!P93</f>
        <v>45826</v>
      </c>
      <c r="C93" s="23"/>
      <c r="D93" s="118" t="str">
        <f>+'Order Details Apr25 - Mar26'!T93</f>
        <v>Das Drug Centre Pvt Ltd, Habra</v>
      </c>
      <c r="E93" s="25"/>
      <c r="F93" s="183" t="str">
        <f>+'Order Details Apr25 - Mar26'!D93</f>
        <v>OVULANTA-P (Mankind)</v>
      </c>
      <c r="G93" s="184"/>
      <c r="H93" s="119">
        <f>+'Order Details Apr25 - Mar26'!H93</f>
        <v>200</v>
      </c>
      <c r="I93" s="120" t="str">
        <f>+'Order Details Apr25 - Mar26'!I93</f>
        <v>Kg</v>
      </c>
      <c r="J93" s="28"/>
      <c r="K93" s="204" t="str">
        <f>+'Order Details Apr25 - Mar26'!R93</f>
        <v>PO / NBF / 180625/ 039</v>
      </c>
      <c r="L93" s="205"/>
      <c r="M93" s="206"/>
      <c r="N93" s="27">
        <f>'Order Details Apr25 - Mar26'!F93*'Order Details Apr25 - Mar26'!N93</f>
        <v>64000</v>
      </c>
      <c r="O93" s="25"/>
      <c r="P93" s="22"/>
      <c r="Q93" s="26"/>
      <c r="R93" s="82">
        <v>45</v>
      </c>
      <c r="S93" s="22"/>
      <c r="T93" s="142"/>
      <c r="U93" s="138"/>
      <c r="V93" s="51"/>
    </row>
    <row r="94" spans="1:22" ht="20.100000000000001" customHeight="1" x14ac:dyDescent="0.3">
      <c r="A94" s="44">
        <v>86</v>
      </c>
      <c r="B94" s="22">
        <f>+'Order Details Apr25 - Mar26'!P94</f>
        <v>45828</v>
      </c>
      <c r="C94" s="23"/>
      <c r="D94" s="118" t="str">
        <f>+'Order Details Apr25 - Mar26'!T94</f>
        <v>Das Drug Centre Pvt Ltd, Habra</v>
      </c>
      <c r="E94" s="25"/>
      <c r="F94" s="183" t="str">
        <f>+'Order Details Apr25 - Mar26'!D94</f>
        <v>HIMFLORA (Himalaya)</v>
      </c>
      <c r="G94" s="184"/>
      <c r="H94" s="119">
        <f>+'Order Details Apr25 - Mar26'!H94</f>
        <v>500</v>
      </c>
      <c r="I94" s="120" t="str">
        <f>+'Order Details Apr25 - Mar26'!I94</f>
        <v>Kg</v>
      </c>
      <c r="J94" s="28"/>
      <c r="K94" s="204" t="str">
        <f>+'Order Details Apr25 - Mar26'!R94</f>
        <v>PO / NBF / 200625/ 040</v>
      </c>
      <c r="L94" s="205"/>
      <c r="M94" s="206"/>
      <c r="N94" s="27">
        <f>'Order Details Apr25 - Mar26'!F94*'Order Details Apr25 - Mar26'!N94</f>
        <v>287500</v>
      </c>
      <c r="O94" s="25"/>
      <c r="P94" s="22"/>
      <c r="Q94" s="26"/>
      <c r="R94" s="82">
        <v>45</v>
      </c>
      <c r="S94" s="22"/>
      <c r="T94" s="142"/>
      <c r="U94" s="138"/>
      <c r="V94" s="51"/>
    </row>
    <row r="95" spans="1:22" ht="20.100000000000001" customHeight="1" x14ac:dyDescent="0.3">
      <c r="A95" s="44">
        <v>87</v>
      </c>
      <c r="B95" s="22">
        <f>+'Order Details Apr25 - Mar26'!P95</f>
        <v>45832</v>
      </c>
      <c r="C95" s="23"/>
      <c r="D95" s="118" t="str">
        <f>+'Order Details Apr25 - Mar26'!T95</f>
        <v>Global Chemicals Ltd Kolkata</v>
      </c>
      <c r="E95" s="25"/>
      <c r="F95" s="183" t="str">
        <f>+'Order Details Apr25 - Mar26'!D95</f>
        <v>ROVIMIX BREEDER (DSM)</v>
      </c>
      <c r="G95" s="184"/>
      <c r="H95" s="119">
        <f>+'Order Details Apr25 - Mar26'!H95</f>
        <v>1000</v>
      </c>
      <c r="I95" s="120" t="str">
        <f>+'Order Details Apr25 - Mar26'!I95</f>
        <v>Kg</v>
      </c>
      <c r="J95" s="28"/>
      <c r="K95" s="204" t="str">
        <f>+'Order Details Apr25 - Mar26'!R95</f>
        <v>PO / NBF / 240625/ 041</v>
      </c>
      <c r="L95" s="205"/>
      <c r="M95" s="206"/>
      <c r="N95" s="27">
        <f>'Order Details Apr25 - Mar26'!F95*'Order Details Apr25 - Mar26'!N95</f>
        <v>800000</v>
      </c>
      <c r="O95" s="25"/>
      <c r="P95" s="22"/>
      <c r="Q95" s="26"/>
      <c r="R95" s="82">
        <v>30</v>
      </c>
      <c r="S95" s="22"/>
      <c r="T95" s="142"/>
      <c r="U95" s="138"/>
      <c r="V95" s="51"/>
    </row>
    <row r="96" spans="1:22" ht="20.100000000000001" customHeight="1" x14ac:dyDescent="0.3">
      <c r="A96" s="44">
        <v>88</v>
      </c>
      <c r="B96" s="22">
        <f>+'Order Details Apr25 - Mar26'!P96</f>
        <v>45833</v>
      </c>
      <c r="C96" s="23"/>
      <c r="D96" s="118" t="str">
        <f>+'Order Details Apr25 - Mar26'!T96</f>
        <v>Tara Enterprises Hyderabad</v>
      </c>
      <c r="E96" s="25"/>
      <c r="F96" s="183" t="str">
        <f>+'Order Details Apr25 - Mar26'!D96</f>
        <v>TYLOMAX Injection (Intas)</v>
      </c>
      <c r="G96" s="184"/>
      <c r="H96" s="119">
        <f>+'Order Details Apr25 - Mar26'!H96</f>
        <v>10000</v>
      </c>
      <c r="I96" s="120" t="str">
        <f>+'Order Details Apr25 - Mar26'!I96</f>
        <v>Ml</v>
      </c>
      <c r="J96" s="28"/>
      <c r="K96" s="204" t="str">
        <f>+'Order Details Apr25 - Mar26'!R96</f>
        <v>PO / NBF / 250625/ 042</v>
      </c>
      <c r="L96" s="205"/>
      <c r="M96" s="206"/>
      <c r="N96" s="27">
        <f>'Order Details Apr25 - Mar26'!F96*'Order Details Apr25 - Mar26'!N96</f>
        <v>28895.999999999996</v>
      </c>
      <c r="O96" s="25"/>
      <c r="P96" s="22"/>
      <c r="Q96" s="26"/>
      <c r="R96" s="82">
        <v>45</v>
      </c>
      <c r="S96" s="22"/>
      <c r="T96" s="142"/>
      <c r="U96" s="138"/>
      <c r="V96" s="51"/>
    </row>
    <row r="97" spans="1:22" ht="20.100000000000001" customHeight="1" x14ac:dyDescent="0.3">
      <c r="A97" s="44">
        <v>89</v>
      </c>
      <c r="B97" s="22">
        <f>+'Order Details Apr25 - Mar26'!P97</f>
        <v>45836</v>
      </c>
      <c r="C97" s="23"/>
      <c r="D97" s="118" t="str">
        <f>+'Order Details Apr25 - Mar26'!T97</f>
        <v>Healers Associates Vijayawada AP</v>
      </c>
      <c r="E97" s="25"/>
      <c r="F97" s="183" t="str">
        <f>+'Order Details Apr25 - Mar26'!D97</f>
        <v>SPERMED (Medichem Product)</v>
      </c>
      <c r="G97" s="184"/>
      <c r="H97" s="119">
        <f>+'Order Details Apr25 - Mar26'!H97</f>
        <v>40</v>
      </c>
      <c r="I97" s="120" t="str">
        <f>+'Order Details Apr25 - Mar26'!I97</f>
        <v>Kg</v>
      </c>
      <c r="J97" s="28"/>
      <c r="K97" s="204" t="str">
        <f>+'Order Details Apr25 - Mar26'!R97</f>
        <v>PO / NBF / 280625/ 043</v>
      </c>
      <c r="L97" s="205"/>
      <c r="M97" s="206"/>
      <c r="N97" s="27">
        <f>'Order Details Apr25 - Mar26'!F97*'Order Details Apr25 - Mar26'!N97</f>
        <v>140000</v>
      </c>
      <c r="O97" s="25"/>
      <c r="P97" s="22"/>
      <c r="Q97" s="26"/>
      <c r="R97" s="82">
        <v>45</v>
      </c>
      <c r="S97" s="22"/>
      <c r="T97" s="142"/>
      <c r="U97" s="138"/>
      <c r="V97" s="51"/>
    </row>
    <row r="98" spans="1:22" ht="20.100000000000001" customHeight="1" x14ac:dyDescent="0.3">
      <c r="A98" s="44">
        <v>90</v>
      </c>
      <c r="B98" s="22">
        <f>+'Order Details Apr25 - Mar26'!P98</f>
        <v>45840</v>
      </c>
      <c r="C98" s="23"/>
      <c r="D98" s="118" t="str">
        <f>+'Order Details Apr25 - Mar26'!T98</f>
        <v>Tara Enterprises Hyderabad</v>
      </c>
      <c r="E98" s="25"/>
      <c r="F98" s="183" t="str">
        <f>+'Order Details Apr25 - Mar26'!D98</f>
        <v>ROVIMIX OVN BREEDER (DSM)</v>
      </c>
      <c r="G98" s="184"/>
      <c r="H98" s="119">
        <f>+'Order Details Apr25 - Mar26'!H98</f>
        <v>100</v>
      </c>
      <c r="I98" s="120" t="str">
        <f>+'Order Details Apr25 - Mar26'!I98</f>
        <v>Kg</v>
      </c>
      <c r="J98" s="28"/>
      <c r="K98" s="204" t="str">
        <f>+'Order Details Apr25 - Mar26'!R98</f>
        <v>PO / NBF / 020725/ 044</v>
      </c>
      <c r="L98" s="205"/>
      <c r="M98" s="206"/>
      <c r="N98" s="27">
        <f>'Order Details Apr25 - Mar26'!F98*'Order Details Apr25 - Mar26'!N98</f>
        <v>63000</v>
      </c>
      <c r="O98" s="25"/>
      <c r="P98" s="22"/>
      <c r="Q98" s="26"/>
      <c r="R98" s="82">
        <v>45</v>
      </c>
      <c r="S98" s="22"/>
      <c r="T98" s="142"/>
      <c r="U98" s="138"/>
      <c r="V98" s="51"/>
    </row>
    <row r="99" spans="1:22" ht="20.100000000000001" customHeight="1" x14ac:dyDescent="0.3">
      <c r="A99" s="44">
        <v>91</v>
      </c>
      <c r="B99" s="22">
        <f>+'Order Details Apr25 - Mar26'!P99</f>
        <v>45843</v>
      </c>
      <c r="C99" s="23"/>
      <c r="D99" s="118" t="str">
        <f>+'Order Details Apr25 - Mar26'!T99</f>
        <v>Alivira Animal Health Ltd</v>
      </c>
      <c r="E99" s="25"/>
      <c r="F99" s="183" t="str">
        <f>+'Order Details Apr25 - Mar26'!D99</f>
        <v>ALVIBAC - MD (Alivira)</v>
      </c>
      <c r="G99" s="184"/>
      <c r="H99" s="119">
        <f>+'Order Details Apr25 - Mar26'!H99</f>
        <v>500</v>
      </c>
      <c r="I99" s="120" t="str">
        <f>+'Order Details Apr25 - Mar26'!I99</f>
        <v>Kg</v>
      </c>
      <c r="J99" s="28"/>
      <c r="K99" s="204" t="str">
        <f>+'Order Details Apr25 - Mar26'!R99</f>
        <v>PO / NBF / 050725/ 045</v>
      </c>
      <c r="L99" s="205"/>
      <c r="M99" s="206"/>
      <c r="N99" s="27">
        <f>'Order Details Apr25 - Mar26'!F99*'Order Details Apr25 - Mar26'!N99</f>
        <v>125000</v>
      </c>
      <c r="O99" s="25"/>
      <c r="P99" s="22"/>
      <c r="Q99" s="26"/>
      <c r="R99" s="82">
        <v>45</v>
      </c>
      <c r="S99" s="22"/>
      <c r="T99" s="142"/>
      <c r="U99" s="138"/>
      <c r="V99" s="51"/>
    </row>
    <row r="100" spans="1:22" ht="20.100000000000001" customHeight="1" x14ac:dyDescent="0.3">
      <c r="A100" s="44">
        <v>92</v>
      </c>
      <c r="B100" s="22">
        <f>+'Order Details Apr25 - Mar26'!P100</f>
        <v>45843</v>
      </c>
      <c r="C100" s="23"/>
      <c r="D100" s="118" t="str">
        <f>+'Order Details Apr25 - Mar26'!T100</f>
        <v>Alltech Biotechnology Pvt Ltd</v>
      </c>
      <c r="E100" s="25"/>
      <c r="F100" s="183" t="str">
        <f>+'Order Details Apr25 - Mar26'!D100</f>
        <v>MYCOSORB A+ (Alltech)</v>
      </c>
      <c r="G100" s="184"/>
      <c r="H100" s="119">
        <f>+'Order Details Apr25 - Mar26'!H100</f>
        <v>1000</v>
      </c>
      <c r="I100" s="120" t="str">
        <f>+'Order Details Apr25 - Mar26'!I100</f>
        <v>Kg</v>
      </c>
      <c r="J100" s="28"/>
      <c r="K100" s="204" t="str">
        <f>+'Order Details Apr25 - Mar26'!R100</f>
        <v>PO / NBF / 050725/ 046</v>
      </c>
      <c r="L100" s="205"/>
      <c r="M100" s="206"/>
      <c r="N100" s="27">
        <f>'Order Details Apr25 - Mar26'!F100*'Order Details Apr25 - Mar26'!N100</f>
        <v>250000</v>
      </c>
      <c r="O100" s="25"/>
      <c r="P100" s="22"/>
      <c r="Q100" s="26"/>
      <c r="R100" s="82">
        <v>7</v>
      </c>
      <c r="S100" s="22"/>
      <c r="T100" s="142"/>
      <c r="U100" s="138"/>
      <c r="V100" s="51"/>
    </row>
    <row r="101" spans="1:22" ht="20.100000000000001" customHeight="1" x14ac:dyDescent="0.3">
      <c r="A101" s="44">
        <v>93</v>
      </c>
      <c r="B101" s="22">
        <f>+'Order Details Apr25 - Mar26'!P101</f>
        <v>45849</v>
      </c>
      <c r="C101" s="23"/>
      <c r="D101" s="118" t="str">
        <f>+'Order Details Apr25 - Mar26'!T101</f>
        <v>B V Biocrop - Hitech Division</v>
      </c>
      <c r="E101" s="25"/>
      <c r="F101" s="183" t="str">
        <f>+'Order Details Apr25 - Mar26'!D101</f>
        <v>AQUAMAX (BV Biocrop)</v>
      </c>
      <c r="G101" s="184"/>
      <c r="H101" s="119">
        <f>+'Order Details Apr25 - Mar26'!H101</f>
        <v>100</v>
      </c>
      <c r="I101" s="120" t="str">
        <f>+'Order Details Apr25 - Mar26'!I101</f>
        <v>Ltr</v>
      </c>
      <c r="J101" s="28"/>
      <c r="K101" s="204" t="str">
        <f>+'Order Details Apr25 - Mar26'!R101</f>
        <v>PO / NBF / 110725/ 047</v>
      </c>
      <c r="L101" s="205"/>
      <c r="M101" s="206"/>
      <c r="N101" s="27">
        <f>'Order Details Apr25 - Mar26'!F101*'Order Details Apr25 - Mar26'!N101</f>
        <v>10785.2</v>
      </c>
      <c r="O101" s="25"/>
      <c r="P101" s="22"/>
      <c r="Q101" s="26"/>
      <c r="R101" s="82">
        <v>7</v>
      </c>
      <c r="S101" s="22"/>
      <c r="T101" s="142"/>
      <c r="U101" s="138"/>
      <c r="V101" s="51"/>
    </row>
    <row r="102" spans="1:22" ht="20.100000000000001" customHeight="1" x14ac:dyDescent="0.3">
      <c r="A102" s="44">
        <v>94</v>
      </c>
      <c r="B102" s="22">
        <f>+'Order Details Apr25 - Mar26'!P102</f>
        <v>45849</v>
      </c>
      <c r="C102" s="23"/>
      <c r="D102" s="118" t="str">
        <f>+'Order Details Apr25 - Mar26'!T102</f>
        <v>B V Biocrop - Hitech Division</v>
      </c>
      <c r="E102" s="25"/>
      <c r="F102" s="183" t="str">
        <f>+'Order Details Apr25 - Mar26'!D102</f>
        <v>B-904 (BV Biocrop)</v>
      </c>
      <c r="G102" s="184"/>
      <c r="H102" s="119">
        <f>+'Order Details Apr25 - Mar26'!H102</f>
        <v>100</v>
      </c>
      <c r="I102" s="120" t="str">
        <f>+'Order Details Apr25 - Mar26'!I102</f>
        <v>Ltr</v>
      </c>
      <c r="J102" s="28"/>
      <c r="K102" s="204" t="str">
        <f>+'Order Details Apr25 - Mar26'!R102</f>
        <v>PO / NBF / 110725/ 047</v>
      </c>
      <c r="L102" s="205"/>
      <c r="M102" s="206"/>
      <c r="N102" s="27">
        <f>'Order Details Apr25 - Mar26'!F102*'Order Details Apr25 - Mar26'!N102</f>
        <v>77242.8</v>
      </c>
      <c r="O102" s="25"/>
      <c r="P102" s="22"/>
      <c r="Q102" s="26"/>
      <c r="R102" s="82">
        <v>7</v>
      </c>
      <c r="S102" s="22"/>
      <c r="T102" s="142"/>
      <c r="U102" s="138"/>
      <c r="V102" s="51"/>
    </row>
    <row r="103" spans="1:22" ht="20.100000000000001" customHeight="1" x14ac:dyDescent="0.3">
      <c r="A103" s="44">
        <v>95</v>
      </c>
      <c r="B103" s="22">
        <f>+'Order Details Apr25 - Mar26'!P103</f>
        <v>45849</v>
      </c>
      <c r="C103" s="23"/>
      <c r="D103" s="118" t="str">
        <f>+'Order Details Apr25 - Mar26'!T103</f>
        <v>B V Biocrop - Hitech Division</v>
      </c>
      <c r="E103" s="25"/>
      <c r="F103" s="183" t="str">
        <f>+'Order Details Apr25 - Mar26'!D103</f>
        <v>SAFEGARD (BV Biocrop)</v>
      </c>
      <c r="G103" s="184"/>
      <c r="H103" s="119">
        <f>+'Order Details Apr25 - Mar26'!H103</f>
        <v>100</v>
      </c>
      <c r="I103" s="120" t="str">
        <f>+'Order Details Apr25 - Mar26'!I103</f>
        <v>Ltr</v>
      </c>
      <c r="J103" s="28"/>
      <c r="K103" s="204" t="str">
        <f>+'Order Details Apr25 - Mar26'!R103</f>
        <v>PO / NBF / 110725/ 047</v>
      </c>
      <c r="L103" s="205"/>
      <c r="M103" s="206"/>
      <c r="N103" s="27">
        <f>'Order Details Apr25 - Mar26'!F103*'Order Details Apr25 - Mar26'!N103</f>
        <v>27659.200000000001</v>
      </c>
      <c r="O103" s="25"/>
      <c r="P103" s="22"/>
      <c r="Q103" s="26"/>
      <c r="R103" s="82">
        <v>7</v>
      </c>
      <c r="S103" s="22"/>
      <c r="T103" s="142"/>
      <c r="U103" s="138"/>
      <c r="V103" s="51"/>
    </row>
    <row r="104" spans="1:22" ht="20.100000000000001" customHeight="1" x14ac:dyDescent="0.3">
      <c r="A104" s="44">
        <v>96</v>
      </c>
      <c r="B104" s="22">
        <f>+'Order Details Apr25 - Mar26'!P104</f>
        <v>45849</v>
      </c>
      <c r="C104" s="23"/>
      <c r="D104" s="118" t="str">
        <f>+'Order Details Apr25 - Mar26'!T104</f>
        <v>Das Drug Centre Pvt Ltd, Habra</v>
      </c>
      <c r="E104" s="25"/>
      <c r="F104" s="183" t="str">
        <f>+'Order Details Apr25 - Mar26'!D104</f>
        <v>ENROCIN 10% (Zoetis)</v>
      </c>
      <c r="G104" s="184"/>
      <c r="H104" s="119">
        <f>+'Order Details Apr25 - Mar26'!H104</f>
        <v>60</v>
      </c>
      <c r="I104" s="120" t="str">
        <f>+'Order Details Apr25 - Mar26'!I104</f>
        <v>Ltr</v>
      </c>
      <c r="J104" s="28"/>
      <c r="K104" s="204" t="str">
        <f>+'Order Details Apr25 - Mar26'!R104</f>
        <v>PO / NBF / 110725/ 048</v>
      </c>
      <c r="L104" s="205"/>
      <c r="M104" s="206"/>
      <c r="N104" s="27">
        <f>'Order Details Apr25 - Mar26'!F104*'Order Details Apr25 - Mar26'!N104</f>
        <v>35293.440000000002</v>
      </c>
      <c r="O104" s="25"/>
      <c r="P104" s="22"/>
      <c r="Q104" s="26"/>
      <c r="R104" s="82">
        <v>45</v>
      </c>
      <c r="S104" s="22"/>
      <c r="T104" s="142"/>
      <c r="U104" s="138"/>
      <c r="V104" s="51"/>
    </row>
    <row r="105" spans="1:22" ht="20.100000000000001" customHeight="1" x14ac:dyDescent="0.3">
      <c r="A105" s="44">
        <v>97</v>
      </c>
      <c r="B105" s="22">
        <f>+'Order Details Apr25 - Mar26'!P105</f>
        <v>45849</v>
      </c>
      <c r="C105" s="23"/>
      <c r="D105" s="118" t="str">
        <f>+'Order Details Apr25 - Mar26'!T105</f>
        <v>Das Drug Centre Pvt Ltd, Habra</v>
      </c>
      <c r="E105" s="25"/>
      <c r="F105" s="183" t="str">
        <f>+'Order Details Apr25 - Mar26'!D105</f>
        <v>HIM-C (Himalaya)</v>
      </c>
      <c r="G105" s="184"/>
      <c r="H105" s="119">
        <f>+'Order Details Apr25 - Mar26'!H105</f>
        <v>504</v>
      </c>
      <c r="I105" s="120" t="str">
        <f>+'Order Details Apr25 - Mar26'!I105</f>
        <v>Ltr</v>
      </c>
      <c r="J105" s="28"/>
      <c r="K105" s="204" t="str">
        <f>+'Order Details Apr25 - Mar26'!R105</f>
        <v>PO / NBF / 110725/ 048</v>
      </c>
      <c r="L105" s="205"/>
      <c r="M105" s="206"/>
      <c r="N105" s="27">
        <f>'Order Details Apr25 - Mar26'!F105*'Order Details Apr25 - Mar26'!N105</f>
        <v>68040</v>
      </c>
      <c r="O105" s="25"/>
      <c r="P105" s="22"/>
      <c r="Q105" s="26"/>
      <c r="R105" s="82">
        <v>45</v>
      </c>
      <c r="S105" s="22"/>
      <c r="T105" s="142"/>
      <c r="U105" s="138"/>
      <c r="V105" s="51"/>
    </row>
    <row r="106" spans="1:22" ht="20.100000000000001" customHeight="1" x14ac:dyDescent="0.3">
      <c r="A106" s="44">
        <v>98</v>
      </c>
      <c r="B106" s="22">
        <f>+'Order Details Apr25 - Mar26'!P106</f>
        <v>45849</v>
      </c>
      <c r="C106" s="23"/>
      <c r="D106" s="118" t="str">
        <f>+'Order Details Apr25 - Mar26'!T106</f>
        <v>Das Drug Centre Pvt Ltd, Habra</v>
      </c>
      <c r="E106" s="25"/>
      <c r="F106" s="183" t="str">
        <f>+'Order Details Apr25 - Mar26'!D106</f>
        <v>LIV-52 PROTEC PFS (Himalaya)</v>
      </c>
      <c r="G106" s="184"/>
      <c r="H106" s="119">
        <f>+'Order Details Apr25 - Mar26'!H106</f>
        <v>100</v>
      </c>
      <c r="I106" s="120" t="str">
        <f>+'Order Details Apr25 - Mar26'!I106</f>
        <v>Ltr</v>
      </c>
      <c r="J106" s="28"/>
      <c r="K106" s="204" t="str">
        <f>+'Order Details Apr25 - Mar26'!R106</f>
        <v>PO / NBF / 110725/ 048</v>
      </c>
      <c r="L106" s="205"/>
      <c r="M106" s="206"/>
      <c r="N106" s="27">
        <f>'Order Details Apr25 - Mar26'!F106*'Order Details Apr25 - Mar26'!N106</f>
        <v>9900</v>
      </c>
      <c r="O106" s="25"/>
      <c r="P106" s="22"/>
      <c r="Q106" s="26"/>
      <c r="R106" s="82">
        <v>45</v>
      </c>
      <c r="S106" s="22"/>
      <c r="T106" s="142"/>
      <c r="U106" s="138"/>
      <c r="V106" s="51"/>
    </row>
    <row r="107" spans="1:22" ht="20.100000000000001" customHeight="1" x14ac:dyDescent="0.3">
      <c r="A107" s="44">
        <v>99</v>
      </c>
      <c r="B107" s="22">
        <f>+'Order Details Apr25 - Mar26'!P107</f>
        <v>45849</v>
      </c>
      <c r="C107" s="23"/>
      <c r="D107" s="118" t="str">
        <f>+'Order Details Apr25 - Mar26'!T107</f>
        <v>Das Drug Centre Pvt Ltd, Habra</v>
      </c>
      <c r="E107" s="25"/>
      <c r="F107" s="183" t="str">
        <f>+'Order Details Apr25 - Mar26'!D107</f>
        <v>OVULANTA-P (Mankind)</v>
      </c>
      <c r="G107" s="184"/>
      <c r="H107" s="119">
        <f>+'Order Details Apr25 - Mar26'!H107</f>
        <v>300</v>
      </c>
      <c r="I107" s="120" t="str">
        <f>+'Order Details Apr25 - Mar26'!I107</f>
        <v>Kg</v>
      </c>
      <c r="J107" s="28"/>
      <c r="K107" s="204" t="str">
        <f>+'Order Details Apr25 - Mar26'!R107</f>
        <v>PO / NBF / 110725/ 048</v>
      </c>
      <c r="L107" s="205"/>
      <c r="M107" s="206"/>
      <c r="N107" s="27">
        <f>'Order Details Apr25 - Mar26'!F107*'Order Details Apr25 - Mar26'!N107</f>
        <v>96000</v>
      </c>
      <c r="O107" s="25"/>
      <c r="P107" s="22"/>
      <c r="Q107" s="26"/>
      <c r="R107" s="82">
        <v>45</v>
      </c>
      <c r="S107" s="22"/>
      <c r="T107" s="142"/>
      <c r="U107" s="138"/>
      <c r="V107" s="51"/>
    </row>
    <row r="108" spans="1:22" ht="20.100000000000001" customHeight="1" x14ac:dyDescent="0.3">
      <c r="A108" s="44">
        <v>100</v>
      </c>
      <c r="B108" s="22">
        <f>+'Order Details Apr25 - Mar26'!P108</f>
        <v>45849</v>
      </c>
      <c r="C108" s="23"/>
      <c r="D108" s="118" t="str">
        <f>+'Order Details Apr25 - Mar26'!T108</f>
        <v>Das Drug Centre Pvt Ltd, Habra</v>
      </c>
      <c r="E108" s="25"/>
      <c r="F108" s="183" t="str">
        <f>+'Order Details Apr25 - Mar26'!D108</f>
        <v>Oxytetracycline-LA Inje. (Zenex-AH)</v>
      </c>
      <c r="G108" s="184"/>
      <c r="H108" s="119">
        <f>+'Order Details Apr25 - Mar26'!H108</f>
        <v>20000</v>
      </c>
      <c r="I108" s="120" t="str">
        <f>+'Order Details Apr25 - Mar26'!I108</f>
        <v>Ml</v>
      </c>
      <c r="J108" s="28"/>
      <c r="K108" s="204" t="str">
        <f>+'Order Details Apr25 - Mar26'!R108</f>
        <v>PO / NBF / 110725/ 048</v>
      </c>
      <c r="L108" s="205"/>
      <c r="M108" s="206"/>
      <c r="N108" s="27">
        <f>'Order Details Apr25 - Mar26'!F108*'Order Details Apr25 - Mar26'!N108</f>
        <v>51967.999999999993</v>
      </c>
      <c r="O108" s="25"/>
      <c r="P108" s="22"/>
      <c r="Q108" s="26"/>
      <c r="R108" s="82">
        <v>45</v>
      </c>
      <c r="S108" s="22"/>
      <c r="T108" s="142"/>
      <c r="U108" s="138"/>
      <c r="V108" s="51"/>
    </row>
    <row r="109" spans="1:22" ht="20.100000000000001" customHeight="1" x14ac:dyDescent="0.3">
      <c r="A109" s="44">
        <v>101</v>
      </c>
      <c r="B109" s="22">
        <f>+'Order Details Apr25 - Mar26'!P109</f>
        <v>45849</v>
      </c>
      <c r="C109" s="23"/>
      <c r="D109" s="118" t="str">
        <f>+'Order Details Apr25 - Mar26'!T109</f>
        <v>Das Drug Centre Pvt Ltd, Habra</v>
      </c>
      <c r="E109" s="25"/>
      <c r="F109" s="183" t="str">
        <f>+'Order Details Apr25 - Mar26'!D109</f>
        <v>Tylomax Injection (Intas)</v>
      </c>
      <c r="G109" s="184"/>
      <c r="H109" s="119">
        <f>+'Order Details Apr25 - Mar26'!H109</f>
        <v>20000</v>
      </c>
      <c r="I109" s="120" t="str">
        <f>+'Order Details Apr25 - Mar26'!I109</f>
        <v>Ml</v>
      </c>
      <c r="J109" s="28"/>
      <c r="K109" s="204" t="str">
        <f>+'Order Details Apr25 - Mar26'!R109</f>
        <v>PO / NBF / 110725/ 048</v>
      </c>
      <c r="L109" s="205"/>
      <c r="M109" s="206"/>
      <c r="N109" s="27">
        <f>'Order Details Apr25 - Mar26'!F109*'Order Details Apr25 - Mar26'!N109</f>
        <v>50400</v>
      </c>
      <c r="O109" s="25"/>
      <c r="P109" s="22"/>
      <c r="Q109" s="26"/>
      <c r="R109" s="82">
        <v>45</v>
      </c>
      <c r="S109" s="22"/>
      <c r="T109" s="142"/>
      <c r="U109" s="138"/>
      <c r="V109" s="51"/>
    </row>
    <row r="110" spans="1:22" ht="20.100000000000001" customHeight="1" x14ac:dyDescent="0.3">
      <c r="A110" s="44">
        <v>102</v>
      </c>
      <c r="B110" s="22">
        <f>+'Order Details Apr25 - Mar26'!P110</f>
        <v>45849</v>
      </c>
      <c r="C110" s="23"/>
      <c r="D110" s="118" t="str">
        <f>+'Order Details Apr25 - Mar26'!T110</f>
        <v>Das Drug Centre Pvt Ltd, Habra</v>
      </c>
      <c r="E110" s="25"/>
      <c r="F110" s="183" t="str">
        <f>+'Order Details Apr25 - Mar26'!D110</f>
        <v>VALOSIN (Timoeva Wellness)</v>
      </c>
      <c r="G110" s="184"/>
      <c r="H110" s="119">
        <f>+'Order Details Apr25 - Mar26'!H110</f>
        <v>14</v>
      </c>
      <c r="I110" s="120" t="str">
        <f>+'Order Details Apr25 - Mar26'!I110</f>
        <v>Kg</v>
      </c>
      <c r="J110" s="28"/>
      <c r="K110" s="204" t="str">
        <f>+'Order Details Apr25 - Mar26'!R110</f>
        <v>PO / NBF / 110725/ 048</v>
      </c>
      <c r="L110" s="205"/>
      <c r="M110" s="206"/>
      <c r="N110" s="27">
        <f>'Order Details Apr25 - Mar26'!F110*'Order Details Apr25 - Mar26'!N110</f>
        <v>357280</v>
      </c>
      <c r="O110" s="25"/>
      <c r="P110" s="22"/>
      <c r="Q110" s="26"/>
      <c r="R110" s="82">
        <v>45</v>
      </c>
      <c r="S110" s="22"/>
      <c r="T110" s="142"/>
      <c r="U110" s="138"/>
      <c r="V110" s="51"/>
    </row>
    <row r="111" spans="1:22" ht="20.100000000000001" customHeight="1" x14ac:dyDescent="0.3">
      <c r="A111" s="44">
        <v>103</v>
      </c>
      <c r="B111" s="22">
        <f>+'Order Details Apr25 - Mar26'!P111</f>
        <v>45849</v>
      </c>
      <c r="C111" s="23"/>
      <c r="D111" s="118" t="str">
        <f>+'Order Details Apr25 - Mar26'!T111</f>
        <v>Venkys India Limited - AHP Division</v>
      </c>
      <c r="E111" s="25"/>
      <c r="F111" s="183" t="str">
        <f>+'Order Details Apr25 - Mar26'!D111</f>
        <v>SELVIT-E (AHP Division)</v>
      </c>
      <c r="G111" s="184"/>
      <c r="H111" s="119">
        <f>+'Order Details Apr25 - Mar26'!H111</f>
        <v>12000</v>
      </c>
      <c r="I111" s="120" t="str">
        <f>+'Order Details Apr25 - Mar26'!I111</f>
        <v>Gms</v>
      </c>
      <c r="J111" s="28"/>
      <c r="K111" s="204" t="str">
        <f>+'Order Details Apr25 - Mar26'!R111</f>
        <v>PO / NBF / 110725/ 049</v>
      </c>
      <c r="L111" s="205"/>
      <c r="M111" s="206"/>
      <c r="N111" s="27">
        <f>'Order Details Apr25 - Mar26'!F111*'Order Details Apr25 - Mar26'!N111</f>
        <v>16680</v>
      </c>
      <c r="O111" s="25"/>
      <c r="P111" s="22"/>
      <c r="Q111" s="26"/>
      <c r="R111" s="82">
        <v>7</v>
      </c>
      <c r="S111" s="22"/>
      <c r="T111" s="142"/>
      <c r="U111" s="138"/>
      <c r="V111" s="51"/>
    </row>
    <row r="112" spans="1:22" ht="20.100000000000001" customHeight="1" x14ac:dyDescent="0.3">
      <c r="A112" s="44">
        <v>104</v>
      </c>
      <c r="B112" s="22">
        <f>+'Order Details Apr25 - Mar26'!P112</f>
        <v>45849</v>
      </c>
      <c r="C112" s="23"/>
      <c r="D112" s="118" t="str">
        <f>+'Order Details Apr25 - Mar26'!T112</f>
        <v>Venkys India Limited - AHP Division</v>
      </c>
      <c r="E112" s="25"/>
      <c r="F112" s="183" t="str">
        <f>+'Order Details Apr25 - Mar26'!D112</f>
        <v>SOLUCAL (AHP Division)</v>
      </c>
      <c r="G112" s="184"/>
      <c r="H112" s="119">
        <f>+'Order Details Apr25 - Mar26'!H112</f>
        <v>200</v>
      </c>
      <c r="I112" s="120" t="str">
        <f>+'Order Details Apr25 - Mar26'!I112</f>
        <v>Ltr</v>
      </c>
      <c r="J112" s="28"/>
      <c r="K112" s="204" t="str">
        <f>+'Order Details Apr25 - Mar26'!R112</f>
        <v>PO / NBF / 110725/ 049</v>
      </c>
      <c r="L112" s="205"/>
      <c r="M112" s="206"/>
      <c r="N112" s="27">
        <f>'Order Details Apr25 - Mar26'!F112*'Order Details Apr25 - Mar26'!N112</f>
        <v>27680</v>
      </c>
      <c r="O112" s="25"/>
      <c r="P112" s="22"/>
      <c r="Q112" s="26"/>
      <c r="R112" s="82">
        <v>7</v>
      </c>
      <c r="S112" s="22"/>
      <c r="T112" s="142"/>
      <c r="U112" s="138"/>
      <c r="V112" s="51"/>
    </row>
    <row r="113" spans="1:22" ht="20.100000000000001" customHeight="1" x14ac:dyDescent="0.3">
      <c r="A113" s="44">
        <v>105</v>
      </c>
      <c r="B113" s="22">
        <f>+'Order Details Apr25 - Mar26'!P113</f>
        <v>45849</v>
      </c>
      <c r="C113" s="23"/>
      <c r="D113" s="118" t="str">
        <f>+'Order Details Apr25 - Mar26'!T113</f>
        <v>We Care Animal Health Bengal</v>
      </c>
      <c r="E113" s="25"/>
      <c r="F113" s="183" t="str">
        <f>+'Order Details Apr25 - Mar26'!D113</f>
        <v>FLYVIN (We Care Animal Health)</v>
      </c>
      <c r="G113" s="184"/>
      <c r="H113" s="119">
        <f>+'Order Details Apr25 - Mar26'!H113</f>
        <v>100</v>
      </c>
      <c r="I113" s="120" t="str">
        <f>+'Order Details Apr25 - Mar26'!I113</f>
        <v>Kg</v>
      </c>
      <c r="J113" s="28"/>
      <c r="K113" s="204" t="str">
        <f>+'Order Details Apr25 - Mar26'!R113</f>
        <v>PO / NBF / 110725/ 050</v>
      </c>
      <c r="L113" s="205"/>
      <c r="M113" s="206"/>
      <c r="N113" s="27">
        <f>'Order Details Apr25 - Mar26'!F113*'Order Details Apr25 - Mar26'!N113</f>
        <v>72000</v>
      </c>
      <c r="O113" s="25"/>
      <c r="P113" s="22"/>
      <c r="Q113" s="26"/>
      <c r="R113" s="82">
        <v>7</v>
      </c>
      <c r="S113" s="22"/>
      <c r="T113" s="142"/>
      <c r="U113" s="138"/>
      <c r="V113" s="51"/>
    </row>
    <row r="114" spans="1:22" ht="20.100000000000001" customHeight="1" x14ac:dyDescent="0.3">
      <c r="A114" s="44">
        <v>106</v>
      </c>
      <c r="B114" s="22">
        <f>+'Order Details Apr25 - Mar26'!P114</f>
        <v>45867</v>
      </c>
      <c r="C114" s="23"/>
      <c r="D114" s="118" t="str">
        <f>+'Order Details Apr25 - Mar26'!T114</f>
        <v>Alivira Animal Health Ltd</v>
      </c>
      <c r="E114" s="25"/>
      <c r="F114" s="183" t="str">
        <f>+'Order Details Apr25 - Mar26'!D114</f>
        <v>CITRINAL (Alivira)</v>
      </c>
      <c r="G114" s="184"/>
      <c r="H114" s="119">
        <f>+'Order Details Apr25 - Mar26'!H114</f>
        <v>500</v>
      </c>
      <c r="I114" s="120" t="str">
        <f>+'Order Details Apr25 - Mar26'!I114</f>
        <v>Kg</v>
      </c>
      <c r="J114" s="28"/>
      <c r="K114" s="204" t="str">
        <f>+'Order Details Apr25 - Mar26'!R114</f>
        <v>PO / NBF / 290725/ 051</v>
      </c>
      <c r="L114" s="205"/>
      <c r="M114" s="206"/>
      <c r="N114" s="27">
        <f>'Order Details Apr25 - Mar26'!F114*'Order Details Apr25 - Mar26'!N114</f>
        <v>72500</v>
      </c>
      <c r="O114" s="25"/>
      <c r="P114" s="22"/>
      <c r="Q114" s="26"/>
      <c r="R114" s="82">
        <v>7</v>
      </c>
      <c r="S114" s="22"/>
      <c r="T114" s="142"/>
      <c r="U114" s="138"/>
      <c r="V114" s="51"/>
    </row>
    <row r="115" spans="1:22" ht="20.100000000000001" customHeight="1" x14ac:dyDescent="0.3">
      <c r="A115" s="44">
        <v>107</v>
      </c>
      <c r="B115" s="22">
        <f>+'Order Details Apr25 - Mar26'!P115</f>
        <v>45869</v>
      </c>
      <c r="C115" s="23"/>
      <c r="D115" s="118" t="str">
        <f>+'Order Details Apr25 - Mar26'!T115</f>
        <v>Das Drug Centre Pvt Ltd, Habra</v>
      </c>
      <c r="E115" s="25"/>
      <c r="F115" s="183" t="str">
        <f>+'Order Details Apr25 - Mar26'!D115</f>
        <v>LEMASOL-P (Zenex-AH)</v>
      </c>
      <c r="G115" s="184"/>
      <c r="H115" s="119">
        <f>+'Order Details Apr25 - Mar26'!H115</f>
        <v>30</v>
      </c>
      <c r="I115" s="120" t="str">
        <f>+'Order Details Apr25 - Mar26'!I115</f>
        <v>Kg</v>
      </c>
      <c r="J115" s="28"/>
      <c r="K115" s="204" t="str">
        <f>+'Order Details Apr25 - Mar26'!R115</f>
        <v>PO / NBF / 310725/ 052</v>
      </c>
      <c r="L115" s="205"/>
      <c r="M115" s="206"/>
      <c r="N115" s="27">
        <f>'Order Details Apr25 - Mar26'!F115*'Order Details Apr25 - Mar26'!N115</f>
        <v>114508.8</v>
      </c>
      <c r="O115" s="25"/>
      <c r="P115" s="22"/>
      <c r="Q115" s="26"/>
      <c r="R115" s="82">
        <v>45</v>
      </c>
      <c r="S115" s="22"/>
      <c r="T115" s="142"/>
      <c r="U115" s="138"/>
      <c r="V115" s="51"/>
    </row>
    <row r="116" spans="1:22" ht="20.100000000000001" customHeight="1" x14ac:dyDescent="0.3">
      <c r="A116" s="44">
        <v>108</v>
      </c>
      <c r="B116" s="22">
        <f>+'Order Details Apr25 - Mar26'!P116</f>
        <v>45869</v>
      </c>
      <c r="C116" s="23"/>
      <c r="D116" s="118" t="str">
        <f>+'Order Details Apr25 - Mar26'!T116</f>
        <v>Das Drug Centre Pvt Ltd, Habra</v>
      </c>
      <c r="E116" s="25"/>
      <c r="F116" s="183" t="str">
        <f>+'Order Details Apr25 - Mar26'!D116</f>
        <v>MG BAC KILLED VAC (Zoetis)</v>
      </c>
      <c r="G116" s="184"/>
      <c r="H116" s="119">
        <f>+'Order Details Apr25 - Mar26'!H116</f>
        <v>39000</v>
      </c>
      <c r="I116" s="120" t="str">
        <f>+'Order Details Apr25 - Mar26'!I116</f>
        <v>Dose</v>
      </c>
      <c r="J116" s="28"/>
      <c r="K116" s="204" t="str">
        <f>+'Order Details Apr25 - Mar26'!R116</f>
        <v>PO / NBF / 310725/ 052</v>
      </c>
      <c r="L116" s="205"/>
      <c r="M116" s="206"/>
      <c r="N116" s="27">
        <f>'Order Details Apr25 - Mar26'!F116*'Order Details Apr25 - Mar26'!N116</f>
        <v>280998.90000000002</v>
      </c>
      <c r="O116" s="25"/>
      <c r="P116" s="22"/>
      <c r="Q116" s="26"/>
      <c r="R116" s="82">
        <v>45</v>
      </c>
      <c r="S116" s="22"/>
      <c r="T116" s="142"/>
      <c r="U116" s="138"/>
      <c r="V116" s="51"/>
    </row>
    <row r="117" spans="1:22" ht="20.100000000000001" customHeight="1" x14ac:dyDescent="0.3">
      <c r="A117" s="44">
        <v>109</v>
      </c>
      <c r="B117" s="22">
        <f>+'Order Details Apr25 - Mar26'!P117</f>
        <v>45869</v>
      </c>
      <c r="C117" s="23"/>
      <c r="D117" s="118" t="str">
        <f>+'Order Details Apr25 - Mar26'!T117</f>
        <v>Hester Biosciences Ltd Hyderabad</v>
      </c>
      <c r="E117" s="25"/>
      <c r="F117" s="183" t="str">
        <f>+'Order Details Apr25 - Mar26'!D117</f>
        <v>ILT (G-10000) Live Vaccine</v>
      </c>
      <c r="G117" s="184"/>
      <c r="H117" s="119">
        <f>+'Order Details Apr25 - Mar26'!H117</f>
        <v>41000</v>
      </c>
      <c r="I117" s="120" t="str">
        <f>+'Order Details Apr25 - Mar26'!I117</f>
        <v>Dose</v>
      </c>
      <c r="J117" s="28"/>
      <c r="K117" s="204" t="str">
        <f>+'Order Details Apr25 - Mar26'!R117</f>
        <v>PO / NBF / 310725/ 053</v>
      </c>
      <c r="L117" s="205"/>
      <c r="M117" s="206"/>
      <c r="N117" s="27">
        <f>'Order Details Apr25 - Mar26'!F117*'Order Details Apr25 - Mar26'!N117</f>
        <v>64576.721999999994</v>
      </c>
      <c r="O117" s="25"/>
      <c r="P117" s="22"/>
      <c r="Q117" s="26"/>
      <c r="R117" s="82">
        <v>7</v>
      </c>
      <c r="S117" s="22"/>
      <c r="T117" s="142"/>
      <c r="U117" s="138"/>
      <c r="V117" s="51"/>
    </row>
    <row r="118" spans="1:22" ht="20.100000000000001" customHeight="1" x14ac:dyDescent="0.3">
      <c r="A118" s="44">
        <v>110</v>
      </c>
      <c r="B118" s="22">
        <f>+'Order Details Apr25 - Mar26'!P118</f>
        <v>45869</v>
      </c>
      <c r="C118" s="23"/>
      <c r="D118" s="118" t="str">
        <f>+'Order Details Apr25 - Mar26'!T118</f>
        <v>Hester Biosciences Ltd Hyderabad</v>
      </c>
      <c r="E118" s="25"/>
      <c r="F118" s="183" t="str">
        <f>+'Order Details Apr25 - Mar26'!D118</f>
        <v>Inactivated Pullet ND (LPAI) VAC</v>
      </c>
      <c r="G118" s="184"/>
      <c r="H118" s="119">
        <f>+'Order Details Apr25 - Mar26'!H118</f>
        <v>89000</v>
      </c>
      <c r="I118" s="120" t="str">
        <f>+'Order Details Apr25 - Mar26'!I118</f>
        <v>Dose</v>
      </c>
      <c r="J118" s="28"/>
      <c r="K118" s="204" t="str">
        <f>+'Order Details Apr25 - Mar26'!R118</f>
        <v>PO / NBF / 310725/ 053</v>
      </c>
      <c r="L118" s="205"/>
      <c r="M118" s="206"/>
      <c r="N118" s="27">
        <f>'Order Details Apr25 - Mar26'!F118*'Order Details Apr25 - Mar26'!N118</f>
        <v>88312.118999999992</v>
      </c>
      <c r="O118" s="25"/>
      <c r="P118" s="22"/>
      <c r="Q118" s="26"/>
      <c r="R118" s="82">
        <v>7</v>
      </c>
      <c r="S118" s="22"/>
      <c r="T118" s="142"/>
      <c r="U118" s="138"/>
      <c r="V118" s="51"/>
    </row>
    <row r="119" spans="1:22" ht="20.100000000000001" customHeight="1" x14ac:dyDescent="0.3">
      <c r="A119" s="44">
        <v>111</v>
      </c>
      <c r="B119" s="22">
        <f>+'Order Details Apr25 - Mar26'!P119</f>
        <v>45869</v>
      </c>
      <c r="C119" s="23"/>
      <c r="D119" s="118" t="str">
        <f>+'Order Details Apr25 - Mar26'!T119</f>
        <v>Hester Biosciences Ltd Hyderabad</v>
      </c>
      <c r="E119" s="25"/>
      <c r="F119" s="183" t="str">
        <f>+'Order Details Apr25 - Mar26'!D119</f>
        <v>Inactivated Pullet ND (HPAI) VAC</v>
      </c>
      <c r="G119" s="184"/>
      <c r="H119" s="119">
        <f>+'Order Details Apr25 - Mar26'!H119</f>
        <v>41000</v>
      </c>
      <c r="I119" s="120" t="str">
        <f>+'Order Details Apr25 - Mar26'!I119</f>
        <v>Dose</v>
      </c>
      <c r="J119" s="28"/>
      <c r="K119" s="204" t="str">
        <f>+'Order Details Apr25 - Mar26'!R119</f>
        <v>PO / NBF / 310725/ 053</v>
      </c>
      <c r="L119" s="205"/>
      <c r="M119" s="206"/>
      <c r="N119" s="27">
        <f>'Order Details Apr25 - Mar26'!F119*'Order Details Apr25 - Mar26'!N119</f>
        <v>107595.29549999999</v>
      </c>
      <c r="O119" s="25"/>
      <c r="P119" s="22"/>
      <c r="Q119" s="26"/>
      <c r="R119" s="82">
        <v>7</v>
      </c>
      <c r="S119" s="22"/>
      <c r="T119" s="142"/>
      <c r="U119" s="138"/>
      <c r="V119" s="51"/>
    </row>
    <row r="120" spans="1:22" ht="20.100000000000001" customHeight="1" x14ac:dyDescent="0.3">
      <c r="A120" s="44">
        <v>112</v>
      </c>
      <c r="B120" s="22">
        <f>+'Order Details Apr25 - Mar26'!P120</f>
        <v>45869</v>
      </c>
      <c r="C120" s="23"/>
      <c r="D120" s="118" t="str">
        <f>+'Order Details Apr25 - Mar26'!T120</f>
        <v>Venkateshwara Hatcheries Ltd</v>
      </c>
      <c r="E120" s="25"/>
      <c r="F120" s="183" t="str">
        <f>+'Order Details Apr25 - Mar26'!D120</f>
        <v>IB (MassType) Live Vacine</v>
      </c>
      <c r="G120" s="184"/>
      <c r="H120" s="119">
        <f>+'Order Details Apr25 - Mar26'!H120</f>
        <v>41000</v>
      </c>
      <c r="I120" s="120" t="str">
        <f>+'Order Details Apr25 - Mar26'!I120</f>
        <v>Dose</v>
      </c>
      <c r="J120" s="28"/>
      <c r="K120" s="204" t="str">
        <f>+'Order Details Apr25 - Mar26'!R120</f>
        <v>PO / NBF / 310725/ 054</v>
      </c>
      <c r="L120" s="205"/>
      <c r="M120" s="206"/>
      <c r="N120" s="27">
        <f>'Order Details Apr25 - Mar26'!F120*'Order Details Apr25 - Mar26'!N120</f>
        <v>4993.8</v>
      </c>
      <c r="O120" s="25"/>
      <c r="P120" s="22"/>
      <c r="Q120" s="26"/>
      <c r="R120" s="82">
        <v>7</v>
      </c>
      <c r="S120" s="22"/>
      <c r="T120" s="142"/>
      <c r="U120" s="138"/>
      <c r="V120" s="51"/>
    </row>
    <row r="121" spans="1:22" ht="20.100000000000001" customHeight="1" x14ac:dyDescent="0.3">
      <c r="A121" s="44">
        <v>113</v>
      </c>
      <c r="B121" s="22">
        <f>+'Order Details Apr25 - Mar26'!P121</f>
        <v>45869</v>
      </c>
      <c r="C121" s="23"/>
      <c r="D121" s="118" t="str">
        <f>+'Order Details Apr25 - Mar26'!T121</f>
        <v>Venkateshwara Hatcheries Ltd</v>
      </c>
      <c r="E121" s="25"/>
      <c r="F121" s="183" t="str">
        <f>+'Order Details Apr25 - Mar26'!D121</f>
        <v>Fowl Pox Live Vaccine</v>
      </c>
      <c r="G121" s="184"/>
      <c r="H121" s="119">
        <f>+'Order Details Apr25 - Mar26'!H121</f>
        <v>41000</v>
      </c>
      <c r="I121" s="120" t="str">
        <f>+'Order Details Apr25 - Mar26'!I121</f>
        <v>Dose</v>
      </c>
      <c r="J121" s="28"/>
      <c r="K121" s="204" t="str">
        <f>+'Order Details Apr25 - Mar26'!R121</f>
        <v>PO / NBF / 310725/ 054</v>
      </c>
      <c r="L121" s="205"/>
      <c r="M121" s="206"/>
      <c r="N121" s="27">
        <f>'Order Details Apr25 - Mar26'!F121*'Order Details Apr25 - Mar26'!N121</f>
        <v>5639.55</v>
      </c>
      <c r="O121" s="25"/>
      <c r="P121" s="22"/>
      <c r="Q121" s="26"/>
      <c r="R121" s="82">
        <v>7</v>
      </c>
      <c r="S121" s="22"/>
      <c r="T121" s="142"/>
      <c r="U121" s="138"/>
      <c r="V121" s="51"/>
    </row>
    <row r="122" spans="1:22" ht="20.100000000000001" customHeight="1" x14ac:dyDescent="0.3">
      <c r="A122" s="44">
        <v>114</v>
      </c>
      <c r="B122" s="22">
        <f>+'Order Details Apr25 - Mar26'!P122</f>
        <v>45869</v>
      </c>
      <c r="C122" s="23"/>
      <c r="D122" s="118" t="str">
        <f>+'Order Details Apr25 - Mar26'!T122</f>
        <v>Venkateshwara Hatcheries Ltd</v>
      </c>
      <c r="E122" s="25"/>
      <c r="F122" s="183" t="str">
        <f>+'Order Details Apr25 - Mar26'!D122</f>
        <v>AE KILLED VAC</v>
      </c>
      <c r="G122" s="184"/>
      <c r="H122" s="119">
        <f>+'Order Details Apr25 - Mar26'!H122</f>
        <v>40000</v>
      </c>
      <c r="I122" s="120" t="str">
        <f>+'Order Details Apr25 - Mar26'!I122</f>
        <v>Dose</v>
      </c>
      <c r="J122" s="28"/>
      <c r="K122" s="204" t="str">
        <f>+'Order Details Apr25 - Mar26'!R122</f>
        <v>PO / NBF / 310725/ 054</v>
      </c>
      <c r="L122" s="205"/>
      <c r="M122" s="206"/>
      <c r="N122" s="27">
        <f>'Order Details Apr25 - Mar26'!F122*'Order Details Apr25 - Mar26'!N122</f>
        <v>86100</v>
      </c>
      <c r="O122" s="25"/>
      <c r="P122" s="22"/>
      <c r="Q122" s="26"/>
      <c r="R122" s="82">
        <v>7</v>
      </c>
      <c r="S122" s="22"/>
      <c r="T122" s="142"/>
      <c r="U122" s="138"/>
      <c r="V122" s="51"/>
    </row>
    <row r="123" spans="1:22" ht="20.100000000000001" customHeight="1" x14ac:dyDescent="0.3">
      <c r="A123" s="44">
        <v>115</v>
      </c>
      <c r="B123" s="22">
        <f>+'Order Details Apr25 - Mar26'!P123</f>
        <v>45869</v>
      </c>
      <c r="C123" s="23"/>
      <c r="D123" s="118" t="str">
        <f>+'Order Details Apr25 - Mar26'!T123</f>
        <v>Venkateshwara Hatcheries Ltd</v>
      </c>
      <c r="E123" s="25"/>
      <c r="F123" s="183" t="str">
        <f>+'Order Details Apr25 - Mar26'!D123</f>
        <v>IB ASTRO (AEIBH) KILLED VAC</v>
      </c>
      <c r="G123" s="184"/>
      <c r="H123" s="119">
        <f>+'Order Details Apr25 - Mar26'!H123</f>
        <v>41000</v>
      </c>
      <c r="I123" s="120" t="str">
        <f>+'Order Details Apr25 - Mar26'!I123</f>
        <v>Dose</v>
      </c>
      <c r="J123" s="28"/>
      <c r="K123" s="204" t="str">
        <f>+'Order Details Apr25 - Mar26'!R123</f>
        <v>PO / NBF / 310725/ 054</v>
      </c>
      <c r="L123" s="205"/>
      <c r="M123" s="206"/>
      <c r="N123" s="27">
        <f>'Order Details Apr25 - Mar26'!F123*'Order Details Apr25 - Mar26'!N123</f>
        <v>143141.25</v>
      </c>
      <c r="O123" s="25"/>
      <c r="P123" s="22"/>
      <c r="Q123" s="26"/>
      <c r="R123" s="82">
        <v>7</v>
      </c>
      <c r="S123" s="22"/>
      <c r="T123" s="142"/>
      <c r="U123" s="138"/>
      <c r="V123" s="51"/>
    </row>
    <row r="124" spans="1:22" ht="20.100000000000001" customHeight="1" x14ac:dyDescent="0.3">
      <c r="A124" s="44">
        <v>116</v>
      </c>
      <c r="B124" s="22">
        <f>+'Order Details Apr25 - Mar26'!P124</f>
        <v>45869</v>
      </c>
      <c r="C124" s="23"/>
      <c r="D124" s="118" t="str">
        <f>+'Order Details Apr25 - Mar26'!T124</f>
        <v>Venkateshwara Hatcheries Ltd</v>
      </c>
      <c r="E124" s="25"/>
      <c r="F124" s="183" t="str">
        <f>+'Order Details Apr25 - Mar26'!D124</f>
        <v>IBD KILLED VAC</v>
      </c>
      <c r="G124" s="184"/>
      <c r="H124" s="119">
        <f>+'Order Details Apr25 - Mar26'!H124</f>
        <v>41200</v>
      </c>
      <c r="I124" s="120" t="str">
        <f>+'Order Details Apr25 - Mar26'!I124</f>
        <v>Dose</v>
      </c>
      <c r="J124" s="28"/>
      <c r="K124" s="204" t="str">
        <f>+'Order Details Apr25 - Mar26'!R124</f>
        <v>PO / NBF / 310725/ 054</v>
      </c>
      <c r="L124" s="205"/>
      <c r="M124" s="206"/>
      <c r="N124" s="27">
        <f>'Order Details Apr25 - Mar26'!F124*'Order Details Apr25 - Mar26'!N124</f>
        <v>101769.15</v>
      </c>
      <c r="O124" s="25"/>
      <c r="P124" s="22"/>
      <c r="Q124" s="26"/>
      <c r="R124" s="82">
        <v>7</v>
      </c>
      <c r="S124" s="22"/>
      <c r="T124" s="142"/>
      <c r="U124" s="138"/>
      <c r="V124" s="51"/>
    </row>
    <row r="125" spans="1:22" ht="20.100000000000001" customHeight="1" x14ac:dyDescent="0.3">
      <c r="A125" s="44">
        <v>117</v>
      </c>
      <c r="B125" s="22">
        <f>+'Order Details Apr25 - Mar26'!P125</f>
        <v>45869</v>
      </c>
      <c r="C125" s="23"/>
      <c r="D125" s="118" t="str">
        <f>+'Order Details Apr25 - Mar26'!T125</f>
        <v>Venkateshwara Hatcheries Ltd</v>
      </c>
      <c r="E125" s="25"/>
      <c r="F125" s="183" t="str">
        <f>+'Order Details Apr25 - Mar26'!D125</f>
        <v>IBH KILLED VAC</v>
      </c>
      <c r="G125" s="184"/>
      <c r="H125" s="119">
        <f>+'Order Details Apr25 - Mar26'!H125</f>
        <v>39000</v>
      </c>
      <c r="I125" s="120" t="str">
        <f>+'Order Details Apr25 - Mar26'!I125</f>
        <v>Dose</v>
      </c>
      <c r="J125" s="28"/>
      <c r="K125" s="204" t="str">
        <f>+'Order Details Apr25 - Mar26'!R125</f>
        <v>PO / NBF / 310725/ 054</v>
      </c>
      <c r="L125" s="205"/>
      <c r="M125" s="206"/>
      <c r="N125" s="27">
        <f>'Order Details Apr25 - Mar26'!F125*'Order Details Apr25 - Mar26'!N125</f>
        <v>90090</v>
      </c>
      <c r="O125" s="25"/>
      <c r="P125" s="22"/>
      <c r="Q125" s="26"/>
      <c r="R125" s="82">
        <v>7</v>
      </c>
      <c r="S125" s="22"/>
      <c r="T125" s="142"/>
      <c r="U125" s="138"/>
      <c r="V125" s="51"/>
    </row>
    <row r="126" spans="1:22" ht="20.100000000000001" customHeight="1" x14ac:dyDescent="0.3">
      <c r="A126" s="44">
        <v>118</v>
      </c>
      <c r="B126" s="22">
        <f>+'Order Details Apr25 - Mar26'!P126</f>
        <v>45869</v>
      </c>
      <c r="C126" s="23"/>
      <c r="D126" s="118" t="str">
        <f>+'Order Details Apr25 - Mar26'!T126</f>
        <v>Venkateshwara Hatcheries Ltd</v>
      </c>
      <c r="E126" s="25"/>
      <c r="F126" s="183" t="str">
        <f>+'Order Details Apr25 - Mar26'!D126</f>
        <v>VH NEW BRO (ND+IB Multi) KILLED</v>
      </c>
      <c r="G126" s="184"/>
      <c r="H126" s="119">
        <f>+'Order Details Apr25 - Mar26'!H126</f>
        <v>41000</v>
      </c>
      <c r="I126" s="120" t="str">
        <f>+'Order Details Apr25 - Mar26'!I126</f>
        <v>Dose</v>
      </c>
      <c r="J126" s="28"/>
      <c r="K126" s="204" t="str">
        <f>+'Order Details Apr25 - Mar26'!R126</f>
        <v>PO / NBF / 310725/ 054</v>
      </c>
      <c r="L126" s="205"/>
      <c r="M126" s="206"/>
      <c r="N126" s="27">
        <f>'Order Details Apr25 - Mar26'!F126*'Order Details Apr25 - Mar26'!N126</f>
        <v>136468.5</v>
      </c>
      <c r="O126" s="25"/>
      <c r="P126" s="22"/>
      <c r="Q126" s="26"/>
      <c r="R126" s="82">
        <v>7</v>
      </c>
      <c r="S126" s="22"/>
      <c r="T126" s="142"/>
      <c r="U126" s="138"/>
      <c r="V126" s="51"/>
    </row>
    <row r="127" spans="1:22" ht="20.100000000000001" customHeight="1" x14ac:dyDescent="0.3">
      <c r="A127" s="44">
        <v>119</v>
      </c>
      <c r="B127" s="22">
        <f>+'Order Details Apr25 - Mar26'!P127</f>
        <v>45869</v>
      </c>
      <c r="C127" s="23"/>
      <c r="D127" s="118" t="str">
        <f>+'Order Details Apr25 - Mar26'!T127</f>
        <v>Venkateshwara Hatcheries Ltd</v>
      </c>
      <c r="E127" s="25"/>
      <c r="F127" s="183" t="str">
        <f>+'Order Details Apr25 - Mar26'!D127</f>
        <v xml:space="preserve">VH CORE-4 (Coryza+ORT) KILLED </v>
      </c>
      <c r="G127" s="184"/>
      <c r="H127" s="119">
        <f>+'Order Details Apr25 - Mar26'!H127</f>
        <v>41000</v>
      </c>
      <c r="I127" s="120" t="str">
        <f>+'Order Details Apr25 - Mar26'!I127</f>
        <v>Dose</v>
      </c>
      <c r="J127" s="28"/>
      <c r="K127" s="204" t="str">
        <f>+'Order Details Apr25 - Mar26'!R127</f>
        <v>PO / NBF / 310725/ 054</v>
      </c>
      <c r="L127" s="205"/>
      <c r="M127" s="206"/>
      <c r="N127" s="27">
        <f>'Order Details Apr25 - Mar26'!F127*'Order Details Apr25 - Mar26'!N127</f>
        <v>66684.45</v>
      </c>
      <c r="O127" s="25"/>
      <c r="P127" s="22"/>
      <c r="Q127" s="26"/>
      <c r="R127" s="82">
        <v>7</v>
      </c>
      <c r="S127" s="22"/>
      <c r="T127" s="142"/>
      <c r="U127" s="138"/>
      <c r="V127" s="51"/>
    </row>
    <row r="128" spans="1:22" ht="20.100000000000001" customHeight="1" x14ac:dyDescent="0.3">
      <c r="A128" s="44">
        <v>120</v>
      </c>
      <c r="B128" s="22">
        <f>+'Order Details Apr25 - Mar26'!P128</f>
        <v>45869</v>
      </c>
      <c r="C128" s="23"/>
      <c r="D128" s="118" t="str">
        <f>+'Order Details Apr25 - Mar26'!T128</f>
        <v>Venkateshwara Hatcheries Ltd</v>
      </c>
      <c r="E128" s="25"/>
      <c r="F128" s="183" t="str">
        <f>+'Order Details Apr25 - Mar26'!D128</f>
        <v>VH FC-3 (Fowl Cholera) KILLED VAC</v>
      </c>
      <c r="G128" s="184"/>
      <c r="H128" s="119">
        <f>+'Order Details Apr25 - Mar26'!H128</f>
        <v>41000</v>
      </c>
      <c r="I128" s="120" t="str">
        <f>+'Order Details Apr25 - Mar26'!I128</f>
        <v>Dose</v>
      </c>
      <c r="J128" s="28"/>
      <c r="K128" s="204" t="str">
        <f>+'Order Details Apr25 - Mar26'!R128</f>
        <v>PO / NBF / 310725/ 054</v>
      </c>
      <c r="L128" s="205"/>
      <c r="M128" s="206"/>
      <c r="N128" s="27">
        <f>'Order Details Apr25 - Mar26'!F128*'Order Details Apr25 - Mar26'!N128</f>
        <v>40682.25</v>
      </c>
      <c r="O128" s="25"/>
      <c r="P128" s="22"/>
      <c r="Q128" s="26"/>
      <c r="R128" s="82">
        <v>7</v>
      </c>
      <c r="S128" s="22"/>
      <c r="T128" s="142"/>
      <c r="U128" s="138"/>
      <c r="V128" s="51"/>
    </row>
    <row r="129" spans="1:22" ht="20.100000000000001" customHeight="1" x14ac:dyDescent="0.3">
      <c r="A129" s="44">
        <v>121</v>
      </c>
      <c r="B129" s="22">
        <f>+'Order Details Apr25 - Mar26'!P129</f>
        <v>45869</v>
      </c>
      <c r="C129" s="23"/>
      <c r="D129" s="118" t="str">
        <f>+'Order Details Apr25 - Mar26'!T129</f>
        <v>Venkateshwara Hatcheries Ltd</v>
      </c>
      <c r="E129" s="25"/>
      <c r="F129" s="183" t="str">
        <f>+'Order Details Apr25 - Mar26'!D129</f>
        <v>Sterile Diluent for Fowl Pox Live</v>
      </c>
      <c r="G129" s="184"/>
      <c r="H129" s="119">
        <f>+'Order Details Apr25 - Mar26'!H129</f>
        <v>45000</v>
      </c>
      <c r="I129" s="120" t="str">
        <f>+'Order Details Apr25 - Mar26'!I129</f>
        <v>Ml</v>
      </c>
      <c r="J129" s="28"/>
      <c r="K129" s="204" t="str">
        <f>+'Order Details Apr25 - Mar26'!R129</f>
        <v>PO / NBF / 310725/ 054</v>
      </c>
      <c r="L129" s="205"/>
      <c r="M129" s="206"/>
      <c r="N129" s="27">
        <f>'Order Details Apr25 - Mar26'!F129*'Order Details Apr25 - Mar26'!N129</f>
        <v>82.6875</v>
      </c>
      <c r="O129" s="25"/>
      <c r="P129" s="22"/>
      <c r="Q129" s="26"/>
      <c r="R129" s="82">
        <v>7</v>
      </c>
      <c r="S129" s="22"/>
      <c r="T129" s="142"/>
      <c r="U129" s="138"/>
      <c r="V129" s="51"/>
    </row>
    <row r="130" spans="1:22" ht="20.100000000000001" customHeight="1" x14ac:dyDescent="0.3">
      <c r="A130" s="44">
        <v>122</v>
      </c>
      <c r="B130" s="22">
        <f>+'Order Details Apr25 - Mar26'!P130</f>
        <v>45869</v>
      </c>
      <c r="C130" s="23"/>
      <c r="D130" s="118" t="str">
        <f>+'Order Details Apr25 - Mar26'!T130</f>
        <v>Venkateshwara Hatcheries Ltd</v>
      </c>
      <c r="E130" s="25"/>
      <c r="F130" s="183" t="str">
        <f>+'Order Details Apr25 - Mar26'!D130</f>
        <v>Sterile Diluent for Others Live</v>
      </c>
      <c r="G130" s="184"/>
      <c r="H130" s="119">
        <f>+'Order Details Apr25 - Mar26'!H130</f>
        <v>45000</v>
      </c>
      <c r="I130" s="120" t="str">
        <f>+'Order Details Apr25 - Mar26'!I130</f>
        <v>Ml</v>
      </c>
      <c r="J130" s="28"/>
      <c r="K130" s="204" t="str">
        <f>+'Order Details Apr25 - Mar26'!R130</f>
        <v>PO / NBF / 310725/ 054</v>
      </c>
      <c r="L130" s="205"/>
      <c r="M130" s="206"/>
      <c r="N130" s="27">
        <f>'Order Details Apr25 - Mar26'!F130*'Order Details Apr25 - Mar26'!N130</f>
        <v>82.6875</v>
      </c>
      <c r="O130" s="25"/>
      <c r="P130" s="22"/>
      <c r="Q130" s="26"/>
      <c r="R130" s="82">
        <v>7</v>
      </c>
      <c r="S130" s="22"/>
      <c r="T130" s="142"/>
      <c r="U130" s="138"/>
      <c r="V130" s="51"/>
    </row>
    <row r="131" spans="1:22" ht="20.100000000000001" customHeight="1" x14ac:dyDescent="0.3">
      <c r="A131" s="44">
        <v>123</v>
      </c>
      <c r="B131" s="22">
        <f>+'Order Details Apr25 - Mar26'!P131</f>
        <v>45869</v>
      </c>
      <c r="C131" s="23"/>
      <c r="D131" s="118" t="str">
        <f>+'Order Details Apr25 - Mar26'!T131</f>
        <v>Venkateshwara Marketing Hyd</v>
      </c>
      <c r="E131" s="25"/>
      <c r="F131" s="183" t="str">
        <f>+'Order Details Apr25 - Mar26'!D131</f>
        <v>Nobilis Sg9R (Salmonella) Live Vac (MSD)</v>
      </c>
      <c r="G131" s="184"/>
      <c r="H131" s="119">
        <f>+'Order Details Apr25 - Mar26'!H131</f>
        <v>41000</v>
      </c>
      <c r="I131" s="120" t="str">
        <f>+'Order Details Apr25 - Mar26'!I131</f>
        <v>Dose</v>
      </c>
      <c r="J131" s="28"/>
      <c r="K131" s="204" t="str">
        <f>+'Order Details Apr25 - Mar26'!R131</f>
        <v>PO / NBF / 310725/ 055</v>
      </c>
      <c r="L131" s="205"/>
      <c r="M131" s="206"/>
      <c r="N131" s="27">
        <f>'Order Details Apr25 - Mar26'!F131*'Order Details Apr25 - Mar26'!N131</f>
        <v>272650</v>
      </c>
      <c r="O131" s="25"/>
      <c r="P131" s="22"/>
      <c r="Q131" s="26"/>
      <c r="R131" s="82">
        <v>45</v>
      </c>
      <c r="S131" s="22"/>
      <c r="T131" s="142"/>
      <c r="U131" s="138"/>
      <c r="V131" s="51"/>
    </row>
    <row r="132" spans="1:22" ht="20.100000000000001" customHeight="1" x14ac:dyDescent="0.3">
      <c r="A132" s="44">
        <v>124</v>
      </c>
      <c r="B132" s="22">
        <f>+'Order Details Apr25 - Mar26'!P132</f>
        <v>45869</v>
      </c>
      <c r="C132" s="23"/>
      <c r="D132" s="118" t="str">
        <f>+'Order Details Apr25 - Mar26'!T132</f>
        <v>Venkateshwara Marketing Hyd</v>
      </c>
      <c r="E132" s="25"/>
      <c r="F132" s="183" t="str">
        <f>+'Order Details Apr25 - Mar26'!D132</f>
        <v>Nobilis REO INAC KILLED VAC (MSD)</v>
      </c>
      <c r="G132" s="184"/>
      <c r="H132" s="119">
        <f>+'Order Details Apr25 - Mar26'!H132</f>
        <v>41000</v>
      </c>
      <c r="I132" s="120" t="str">
        <f>+'Order Details Apr25 - Mar26'!I132</f>
        <v>Dose</v>
      </c>
      <c r="J132" s="28"/>
      <c r="K132" s="204" t="str">
        <f>+'Order Details Apr25 - Mar26'!R132</f>
        <v>PO / NBF / 310725/ 055</v>
      </c>
      <c r="L132" s="205"/>
      <c r="M132" s="206"/>
      <c r="N132" s="27">
        <f>'Order Details Apr25 - Mar26'!F132*'Order Details Apr25 - Mar26'!N132</f>
        <v>140712</v>
      </c>
      <c r="O132" s="25"/>
      <c r="P132" s="22"/>
      <c r="Q132" s="26"/>
      <c r="R132" s="82">
        <v>45</v>
      </c>
      <c r="S132" s="22"/>
      <c r="T132" s="142"/>
      <c r="U132" s="138"/>
      <c r="V132" s="51"/>
    </row>
    <row r="133" spans="1:22" ht="20.100000000000001" customHeight="1" x14ac:dyDescent="0.3">
      <c r="A133" s="44">
        <v>125</v>
      </c>
      <c r="B133" s="22">
        <f>+'Order Details Apr25 - Mar26'!P133</f>
        <v>45870</v>
      </c>
      <c r="C133" s="23"/>
      <c r="D133" s="118" t="str">
        <f>+'Order Details Apr25 - Mar26'!T133</f>
        <v>Jeco Nutri Products Pvt Ltd Kolkata</v>
      </c>
      <c r="E133" s="25"/>
      <c r="F133" s="183" t="str">
        <f>+'Order Details Apr25 - Mar26'!D133</f>
        <v>MICROVIT-E 50% (Adisseo)</v>
      </c>
      <c r="G133" s="184"/>
      <c r="H133" s="119">
        <f>+'Order Details Apr25 - Mar26'!H133</f>
        <v>250</v>
      </c>
      <c r="I133" s="120" t="str">
        <f>+'Order Details Apr25 - Mar26'!I133</f>
        <v>Kg</v>
      </c>
      <c r="J133" s="28"/>
      <c r="K133" s="204" t="str">
        <f>+'Order Details Apr25 - Mar26'!R133</f>
        <v>PO / NBF / 010825/ 056</v>
      </c>
      <c r="L133" s="205"/>
      <c r="M133" s="206"/>
      <c r="N133" s="27">
        <f>'Order Details Apr25 - Mar26'!F133*'Order Details Apr25 - Mar26'!N133</f>
        <v>350000</v>
      </c>
      <c r="O133" s="25"/>
      <c r="P133" s="22"/>
      <c r="Q133" s="26"/>
      <c r="R133" s="82">
        <v>45</v>
      </c>
      <c r="S133" s="22"/>
      <c r="T133" s="142"/>
      <c r="U133" s="138"/>
      <c r="V133" s="51"/>
    </row>
    <row r="134" spans="1:22" ht="20.100000000000001" customHeight="1" x14ac:dyDescent="0.3">
      <c r="A134" s="44">
        <v>126</v>
      </c>
      <c r="B134" s="22">
        <f>+'Order Details Apr25 - Mar26'!P134</f>
        <v>45877</v>
      </c>
      <c r="C134" s="23"/>
      <c r="D134" s="118" t="str">
        <f>+'Order Details Apr25 - Mar26'!T134</f>
        <v>Alltech Biotechnology Pvt Ltd</v>
      </c>
      <c r="E134" s="25"/>
      <c r="F134" s="183" t="str">
        <f>+'Order Details Apr25 - Mar26'!D134</f>
        <v>BIOPLEX PRIME (Alltech)</v>
      </c>
      <c r="G134" s="184"/>
      <c r="H134" s="119">
        <f>+'Order Details Apr25 - Mar26'!H134</f>
        <v>500</v>
      </c>
      <c r="I134" s="120" t="str">
        <f>+'Order Details Apr25 - Mar26'!I134</f>
        <v>Kg</v>
      </c>
      <c r="J134" s="28"/>
      <c r="K134" s="204" t="str">
        <f>+'Order Details Apr25 - Mar26'!R134</f>
        <v>PO / NBF / 080825/ 057</v>
      </c>
      <c r="L134" s="205"/>
      <c r="M134" s="206"/>
      <c r="N134" s="27">
        <f>'Order Details Apr25 - Mar26'!F134*'Order Details Apr25 - Mar26'!N134</f>
        <v>120000</v>
      </c>
      <c r="O134" s="25"/>
      <c r="P134" s="22"/>
      <c r="Q134" s="26"/>
      <c r="R134" s="82">
        <v>7</v>
      </c>
      <c r="S134" s="22"/>
      <c r="T134" s="142"/>
      <c r="U134" s="138"/>
      <c r="V134" s="51"/>
    </row>
    <row r="135" spans="1:22" ht="20.100000000000001" customHeight="1" x14ac:dyDescent="0.3">
      <c r="A135" s="44">
        <v>127</v>
      </c>
      <c r="B135" s="22">
        <f>+'Order Details Apr25 - Mar26'!P135</f>
        <v>45877</v>
      </c>
      <c r="C135" s="23"/>
      <c r="D135" s="118" t="str">
        <f>+'Order Details Apr25 - Mar26'!T135</f>
        <v>Sai Kiran Medical Agencies HYD</v>
      </c>
      <c r="E135" s="25"/>
      <c r="F135" s="183" t="str">
        <f>+'Order Details Apr25 - Mar26'!D135</f>
        <v>SALCOCHEK (Ayurvet)</v>
      </c>
      <c r="G135" s="184"/>
      <c r="H135" s="119">
        <f>+'Order Details Apr25 - Mar26'!H135</f>
        <v>500</v>
      </c>
      <c r="I135" s="120" t="str">
        <f>+'Order Details Apr25 - Mar26'!I135</f>
        <v>Kg</v>
      </c>
      <c r="J135" s="28"/>
      <c r="K135" s="204" t="str">
        <f>+'Order Details Apr25 - Mar26'!R135</f>
        <v>PO / NBF / 080825/ 058</v>
      </c>
      <c r="L135" s="205"/>
      <c r="M135" s="206"/>
      <c r="N135" s="27">
        <f>'Order Details Apr25 - Mar26'!F135*'Order Details Apr25 - Mar26'!N135</f>
        <v>71680</v>
      </c>
      <c r="O135" s="25"/>
      <c r="P135" s="22"/>
      <c r="Q135" s="26"/>
      <c r="R135" s="82">
        <v>45</v>
      </c>
      <c r="S135" s="22"/>
      <c r="T135" s="142"/>
      <c r="U135" s="138"/>
      <c r="V135" s="51"/>
    </row>
    <row r="136" spans="1:22" ht="20.100000000000001" customHeight="1" x14ac:dyDescent="0.3">
      <c r="A136" s="44">
        <v>128</v>
      </c>
      <c r="B136" s="22">
        <f>+'Order Details Apr25 - Mar26'!P136</f>
        <v>45877</v>
      </c>
      <c r="C136" s="23"/>
      <c r="D136" s="118" t="str">
        <f>+'Order Details Apr25 - Mar26'!T136</f>
        <v>Ves ~ Spa Barasat, 24-Parganas</v>
      </c>
      <c r="E136" s="25"/>
      <c r="F136" s="183" t="str">
        <f>+'Order Details Apr25 - Mar26'!D136</f>
        <v>VES CHOL 60% (Vesper)</v>
      </c>
      <c r="G136" s="184"/>
      <c r="H136" s="119">
        <f>+'Order Details Apr25 - Mar26'!H136</f>
        <v>1000</v>
      </c>
      <c r="I136" s="120" t="str">
        <f>+'Order Details Apr25 - Mar26'!I136</f>
        <v>Kg</v>
      </c>
      <c r="J136" s="28"/>
      <c r="K136" s="204" t="str">
        <f>+'Order Details Apr25 - Mar26'!R136</f>
        <v>PO / NBF / 080825/ 059</v>
      </c>
      <c r="L136" s="205"/>
      <c r="M136" s="206"/>
      <c r="N136" s="27">
        <f>'Order Details Apr25 - Mar26'!F136*'Order Details Apr25 - Mar26'!N136</f>
        <v>90000</v>
      </c>
      <c r="O136" s="25"/>
      <c r="P136" s="22"/>
      <c r="Q136" s="26"/>
      <c r="R136" s="82">
        <v>45</v>
      </c>
      <c r="S136" s="22"/>
      <c r="T136" s="142"/>
      <c r="U136" s="138"/>
      <c r="V136" s="51"/>
    </row>
    <row r="137" spans="1:22" ht="20.100000000000001" customHeight="1" x14ac:dyDescent="0.3">
      <c r="A137" s="44">
        <v>129</v>
      </c>
      <c r="B137" s="22" t="str">
        <f>+'Order Details Apr25 - Mar26'!P137</f>
        <v>CANCELLED</v>
      </c>
      <c r="C137" s="23"/>
      <c r="D137" s="118" t="str">
        <f>+'Order Details Apr25 - Mar26'!T137</f>
        <v>Das Drug Centre Pvt Ltd, Habra</v>
      </c>
      <c r="E137" s="25"/>
      <c r="F137" s="183" t="str">
        <f>+'Order Details Apr25 - Mar26'!D137</f>
        <v>RUNEON (Intas Pharma)</v>
      </c>
      <c r="G137" s="184"/>
      <c r="H137" s="119">
        <f>+'Order Details Apr25 - Mar26'!H137</f>
        <v>200</v>
      </c>
      <c r="I137" s="120" t="str">
        <f>+'Order Details Apr25 - Mar26'!I137</f>
        <v>Kg</v>
      </c>
      <c r="J137" s="28"/>
      <c r="K137" s="204" t="str">
        <f>+'Order Details Apr25 - Mar26'!R137</f>
        <v>PO / NBF / 080825/ 060</v>
      </c>
      <c r="L137" s="205"/>
      <c r="M137" s="206"/>
      <c r="N137" s="27">
        <f>'Order Details Apr25 - Mar26'!F137*'Order Details Apr25 - Mar26'!N137</f>
        <v>300000</v>
      </c>
      <c r="O137" s="25"/>
      <c r="P137" s="22"/>
      <c r="Q137" s="26"/>
      <c r="R137" s="82">
        <v>45</v>
      </c>
      <c r="S137" s="22"/>
      <c r="T137" s="142"/>
      <c r="U137" s="138"/>
      <c r="V137" s="51"/>
    </row>
    <row r="138" spans="1:22" ht="20.100000000000001" customHeight="1" x14ac:dyDescent="0.3">
      <c r="A138" s="44">
        <v>130</v>
      </c>
      <c r="B138" s="22">
        <f>+'Order Details Apr25 - Mar26'!P138</f>
        <v>45880</v>
      </c>
      <c r="C138" s="23"/>
      <c r="D138" s="118" t="str">
        <f>+'Order Details Apr25 - Mar26'!T138</f>
        <v>Alltech Biotechnology Pvt Ltd</v>
      </c>
      <c r="E138" s="25"/>
      <c r="F138" s="183" t="str">
        <f>+'Order Details Apr25 - Mar26'!D138</f>
        <v>BIOPLEX PRIME (Alltech)</v>
      </c>
      <c r="G138" s="184"/>
      <c r="H138" s="119">
        <f>+'Order Details Apr25 - Mar26'!H138</f>
        <v>150</v>
      </c>
      <c r="I138" s="120" t="str">
        <f>+'Order Details Apr25 - Mar26'!I138</f>
        <v>Kg</v>
      </c>
      <c r="J138" s="28"/>
      <c r="K138" s="204" t="str">
        <f>+'Order Details Apr25 - Mar26'!R138</f>
        <v>PO / NBF / 110825/ 061</v>
      </c>
      <c r="L138" s="205"/>
      <c r="M138" s="206"/>
      <c r="N138" s="27">
        <f>'Order Details Apr25 - Mar26'!F138*'Order Details Apr25 - Mar26'!N138</f>
        <v>36000</v>
      </c>
      <c r="O138" s="25"/>
      <c r="P138" s="22"/>
      <c r="Q138" s="26"/>
      <c r="R138" s="82">
        <v>7</v>
      </c>
      <c r="S138" s="22"/>
      <c r="T138" s="142"/>
      <c r="U138" s="138"/>
      <c r="V138" s="51"/>
    </row>
    <row r="139" spans="1:22" ht="20.100000000000001" customHeight="1" x14ac:dyDescent="0.3">
      <c r="A139" s="44">
        <v>131</v>
      </c>
      <c r="B139" s="22">
        <f>+'Order Details Apr25 - Mar26'!P139</f>
        <v>45880</v>
      </c>
      <c r="C139" s="23"/>
      <c r="D139" s="118" t="str">
        <f>+'Order Details Apr25 - Mar26'!T139</f>
        <v>Das Drug Centre Pvt Ltd, Habra</v>
      </c>
      <c r="E139" s="25"/>
      <c r="F139" s="183" t="str">
        <f>+'Order Details Apr25 - Mar26'!D139</f>
        <v>KAYSOL FORTE (Cargill)</v>
      </c>
      <c r="G139" s="184"/>
      <c r="H139" s="119">
        <f>+'Order Details Apr25 - Mar26'!H139</f>
        <v>10000</v>
      </c>
      <c r="I139" s="120" t="str">
        <f>+'Order Details Apr25 - Mar26'!I139</f>
        <v>Gms</v>
      </c>
      <c r="J139" s="28"/>
      <c r="K139" s="204" t="str">
        <f>+'Order Details Apr25 - Mar26'!R139</f>
        <v>PO / NBF / 110825/ 062</v>
      </c>
      <c r="L139" s="205"/>
      <c r="M139" s="206"/>
      <c r="N139" s="27">
        <f>'Order Details Apr25 - Mar26'!F139*'Order Details Apr25 - Mar26'!N139</f>
        <v>14300</v>
      </c>
      <c r="O139" s="25"/>
      <c r="P139" s="22"/>
      <c r="Q139" s="26"/>
      <c r="R139" s="82">
        <v>45</v>
      </c>
      <c r="S139" s="22"/>
      <c r="T139" s="142"/>
      <c r="U139" s="138"/>
      <c r="V139" s="51"/>
    </row>
    <row r="140" spans="1:22" ht="20.100000000000001" customHeight="1" x14ac:dyDescent="0.3">
      <c r="A140" s="44">
        <v>132</v>
      </c>
      <c r="B140" s="22">
        <f>+'Order Details Apr25 - Mar26'!P140</f>
        <v>45880</v>
      </c>
      <c r="C140" s="23"/>
      <c r="D140" s="118" t="str">
        <f>+'Order Details Apr25 - Mar26'!T140</f>
        <v>Das Drug Centre Pvt Ltd, Habra</v>
      </c>
      <c r="E140" s="25"/>
      <c r="F140" s="183" t="str">
        <f>+'Order Details Apr25 - Mar26'!D140</f>
        <v>LIV-52 PROTEC PFS (Himalaya)</v>
      </c>
      <c r="G140" s="184"/>
      <c r="H140" s="119">
        <f>+'Order Details Apr25 - Mar26'!H140</f>
        <v>200</v>
      </c>
      <c r="I140" s="120" t="str">
        <f>+'Order Details Apr25 - Mar26'!I140</f>
        <v>Ltr</v>
      </c>
      <c r="J140" s="28"/>
      <c r="K140" s="204" t="str">
        <f>+'Order Details Apr25 - Mar26'!R140</f>
        <v>PO / NBF / 110825/ 062</v>
      </c>
      <c r="L140" s="205"/>
      <c r="M140" s="206"/>
      <c r="N140" s="27">
        <f>'Order Details Apr25 - Mar26'!F140*'Order Details Apr25 - Mar26'!N140</f>
        <v>19800</v>
      </c>
      <c r="O140" s="25"/>
      <c r="P140" s="22"/>
      <c r="Q140" s="26"/>
      <c r="R140" s="82">
        <v>45</v>
      </c>
      <c r="S140" s="22"/>
      <c r="T140" s="142"/>
      <c r="U140" s="138"/>
      <c r="V140" s="51"/>
    </row>
    <row r="141" spans="1:22" ht="20.100000000000001" customHeight="1" x14ac:dyDescent="0.3">
      <c r="A141" s="44">
        <v>133</v>
      </c>
      <c r="B141" s="22">
        <f>+'Order Details Apr25 - Mar26'!P141</f>
        <v>45881</v>
      </c>
      <c r="C141" s="23"/>
      <c r="D141" s="118" t="str">
        <f>+'Order Details Apr25 - Mar26'!T141</f>
        <v>APC Nutrients Pvt Ltd Hyderabad</v>
      </c>
      <c r="E141" s="25"/>
      <c r="F141" s="183" t="str">
        <f>+'Order Details Apr25 - Mar26'!D141</f>
        <v>VOLAMEL EXTRA (Nukamel)</v>
      </c>
      <c r="G141" s="184"/>
      <c r="H141" s="119">
        <f>+'Order Details Apr25 - Mar26'!H141</f>
        <v>500</v>
      </c>
      <c r="I141" s="120" t="str">
        <f>+'Order Details Apr25 - Mar26'!I141</f>
        <v>Kg</v>
      </c>
      <c r="J141" s="28"/>
      <c r="K141" s="204" t="str">
        <f>+'Order Details Apr25 - Mar26'!R141</f>
        <v>PO / NBF / 120825/ 063</v>
      </c>
      <c r="L141" s="205"/>
      <c r="M141" s="206"/>
      <c r="N141" s="27">
        <f>'Order Details Apr25 - Mar26'!F141*'Order Details Apr25 - Mar26'!N141</f>
        <v>292500</v>
      </c>
      <c r="O141" s="25"/>
      <c r="P141" s="22"/>
      <c r="Q141" s="26"/>
      <c r="R141" s="82">
        <v>7</v>
      </c>
      <c r="S141" s="22"/>
      <c r="T141" s="142"/>
      <c r="U141" s="138"/>
      <c r="V141" s="51"/>
    </row>
    <row r="142" spans="1:22" ht="20.100000000000001" customHeight="1" x14ac:dyDescent="0.3">
      <c r="A142" s="44">
        <v>134</v>
      </c>
      <c r="B142" s="22">
        <f>+'Order Details Apr25 - Mar26'!P142</f>
        <v>45882</v>
      </c>
      <c r="C142" s="23"/>
      <c r="D142" s="118" t="str">
        <f>+'Order Details Apr25 - Mar26'!T142</f>
        <v>Alltech Biotechnology Pvt Ltd</v>
      </c>
      <c r="E142" s="25"/>
      <c r="F142" s="183" t="str">
        <f>+'Order Details Apr25 - Mar26'!D142</f>
        <v>MYCOSORB A+ (Alltech)</v>
      </c>
      <c r="G142" s="184"/>
      <c r="H142" s="119">
        <f>+'Order Details Apr25 - Mar26'!H142</f>
        <v>1000</v>
      </c>
      <c r="I142" s="120" t="str">
        <f>+'Order Details Apr25 - Mar26'!I142</f>
        <v>Kg</v>
      </c>
      <c r="J142" s="28"/>
      <c r="K142" s="204" t="str">
        <f>+'Order Details Apr25 - Mar26'!R142</f>
        <v>PO / NBF / 130825/ 064</v>
      </c>
      <c r="L142" s="205"/>
      <c r="M142" s="206"/>
      <c r="N142" s="27">
        <f>'Order Details Apr25 - Mar26'!F142*'Order Details Apr25 - Mar26'!N142</f>
        <v>250000</v>
      </c>
      <c r="O142" s="25"/>
      <c r="P142" s="22"/>
      <c r="Q142" s="26"/>
      <c r="R142" s="82">
        <v>7</v>
      </c>
      <c r="S142" s="22"/>
      <c r="T142" s="142"/>
      <c r="U142" s="138"/>
      <c r="V142" s="51"/>
    </row>
    <row r="143" spans="1:22" ht="20.100000000000001" customHeight="1" x14ac:dyDescent="0.3">
      <c r="A143" s="44">
        <v>135</v>
      </c>
      <c r="B143" s="22">
        <f>+'Order Details Apr25 - Mar26'!P143</f>
        <v>45891</v>
      </c>
      <c r="C143" s="23"/>
      <c r="D143" s="118" t="str">
        <f>+'Order Details Apr25 - Mar26'!T143</f>
        <v>Natural Herbs Formulations Pvt Ltd</v>
      </c>
      <c r="E143" s="25"/>
      <c r="F143" s="183" t="str">
        <f>+'Order Details Apr25 - Mar26'!D143</f>
        <v>VITAPLUS-A (Natural Herbs)</v>
      </c>
      <c r="G143" s="184"/>
      <c r="H143" s="119">
        <f>+'Order Details Apr25 - Mar26'!H143</f>
        <v>48</v>
      </c>
      <c r="I143" s="120" t="str">
        <f>+'Order Details Apr25 - Mar26'!I143</f>
        <v>Ltr</v>
      </c>
      <c r="J143" s="28"/>
      <c r="K143" s="204" t="str">
        <f>+'Order Details Apr25 - Mar26'!R143</f>
        <v>PO / NBF / 220825/ 065</v>
      </c>
      <c r="L143" s="205"/>
      <c r="M143" s="206"/>
      <c r="N143" s="27">
        <f>'Order Details Apr25 - Mar26'!F143*'Order Details Apr25 - Mar26'!N143</f>
        <v>31200</v>
      </c>
      <c r="O143" s="25"/>
      <c r="P143" s="22"/>
      <c r="Q143" s="26"/>
      <c r="R143" s="82">
        <v>45</v>
      </c>
      <c r="S143" s="22"/>
      <c r="T143" s="142"/>
      <c r="U143" s="138"/>
      <c r="V143" s="51"/>
    </row>
    <row r="144" spans="1:22" ht="20.100000000000001" customHeight="1" x14ac:dyDescent="0.3">
      <c r="A144" s="44">
        <v>136</v>
      </c>
      <c r="B144" s="22">
        <f>+'Order Details Apr25 - Mar26'!P144</f>
        <v>45903</v>
      </c>
      <c r="C144" s="23"/>
      <c r="D144" s="118" t="str">
        <f>+'Order Details Apr25 - Mar26'!T144</f>
        <v>Kemin Industries South Asia</v>
      </c>
      <c r="E144" s="25"/>
      <c r="F144" s="183" t="str">
        <f>+'Order Details Apr25 - Mar26'!D144</f>
        <v>BUTI PEARL (Kemin)</v>
      </c>
      <c r="G144" s="184"/>
      <c r="H144" s="119">
        <f>+'Order Details Apr25 - Mar26'!H144</f>
        <v>150</v>
      </c>
      <c r="I144" s="120" t="str">
        <f>+'Order Details Apr25 - Mar26'!I144</f>
        <v>Kg</v>
      </c>
      <c r="J144" s="28"/>
      <c r="K144" s="204" t="str">
        <f>+'Order Details Apr25 - Mar26'!R144</f>
        <v>PO / NBF / 030925/ 066</v>
      </c>
      <c r="L144" s="205"/>
      <c r="M144" s="206"/>
      <c r="N144" s="27">
        <f>'Order Details Apr25 - Mar26'!F144*'Order Details Apr25 - Mar26'!N144</f>
        <v>58500</v>
      </c>
      <c r="O144" s="25"/>
      <c r="P144" s="22"/>
      <c r="Q144" s="26"/>
      <c r="R144" s="82">
        <v>30</v>
      </c>
      <c r="S144" s="22"/>
      <c r="T144" s="142"/>
      <c r="U144" s="138"/>
      <c r="V144" s="51"/>
    </row>
    <row r="145" spans="1:22" ht="20.100000000000001" customHeight="1" x14ac:dyDescent="0.3">
      <c r="A145" s="44">
        <v>137</v>
      </c>
      <c r="B145" s="22">
        <f>+'Order Details Apr25 - Mar26'!P145</f>
        <v>45903</v>
      </c>
      <c r="C145" s="23"/>
      <c r="D145" s="118" t="str">
        <f>+'Order Details Apr25 - Mar26'!T145</f>
        <v>Kemin Industries South Asia</v>
      </c>
      <c r="E145" s="25"/>
      <c r="F145" s="183" t="str">
        <f>+'Order Details Apr25 - Mar26'!D145</f>
        <v>ENDOX-T DRY (Kemin)</v>
      </c>
      <c r="G145" s="184"/>
      <c r="H145" s="119">
        <f>+'Order Details Apr25 - Mar26'!H145</f>
        <v>50</v>
      </c>
      <c r="I145" s="120" t="str">
        <f>+'Order Details Apr25 - Mar26'!I145</f>
        <v>Kg</v>
      </c>
      <c r="J145" s="28"/>
      <c r="K145" s="204" t="str">
        <f>+'Order Details Apr25 - Mar26'!R145</f>
        <v>PO / NBF / 030925/ 066</v>
      </c>
      <c r="L145" s="205"/>
      <c r="M145" s="206"/>
      <c r="N145" s="27">
        <f>'Order Details Apr25 - Mar26'!F145*'Order Details Apr25 - Mar26'!N145</f>
        <v>5250</v>
      </c>
      <c r="O145" s="25"/>
      <c r="P145" s="22"/>
      <c r="Q145" s="26"/>
      <c r="R145" s="82">
        <v>30</v>
      </c>
      <c r="S145" s="22"/>
      <c r="T145" s="142"/>
      <c r="U145" s="138"/>
      <c r="V145" s="51"/>
    </row>
    <row r="146" spans="1:22" ht="20.100000000000001" customHeight="1" x14ac:dyDescent="0.3">
      <c r="A146" s="44">
        <v>138</v>
      </c>
      <c r="B146" s="22">
        <f>+'Order Details Apr25 - Mar26'!P146</f>
        <v>45903</v>
      </c>
      <c r="C146" s="23"/>
      <c r="D146" s="118" t="str">
        <f>+'Order Details Apr25 - Mar26'!T146</f>
        <v>Kemin Industries South Asia</v>
      </c>
      <c r="E146" s="25"/>
      <c r="F146" s="183" t="str">
        <f>+'Order Details Apr25 - Mar26'!D146</f>
        <v>KEMTRACE SUPREME (Kemin)</v>
      </c>
      <c r="G146" s="184"/>
      <c r="H146" s="119">
        <f>+'Order Details Apr25 - Mar26'!H146</f>
        <v>250</v>
      </c>
      <c r="I146" s="120" t="str">
        <f>+'Order Details Apr25 - Mar26'!I146</f>
        <v>Kg</v>
      </c>
      <c r="J146" s="28"/>
      <c r="K146" s="204" t="str">
        <f>+'Order Details Apr25 - Mar26'!R146</f>
        <v>PO / NBF / 030925/ 066</v>
      </c>
      <c r="L146" s="205"/>
      <c r="M146" s="206"/>
      <c r="N146" s="27">
        <f>'Order Details Apr25 - Mar26'!F146*'Order Details Apr25 - Mar26'!N146</f>
        <v>65000</v>
      </c>
      <c r="O146" s="25"/>
      <c r="P146" s="22"/>
      <c r="Q146" s="26"/>
      <c r="R146" s="82">
        <v>30</v>
      </c>
      <c r="S146" s="22"/>
      <c r="T146" s="142"/>
      <c r="U146" s="138"/>
      <c r="V146" s="51"/>
    </row>
    <row r="147" spans="1:22" ht="20.100000000000001" customHeight="1" x14ac:dyDescent="0.3">
      <c r="A147" s="44">
        <v>139</v>
      </c>
      <c r="B147" s="22">
        <f>+'Order Details Apr25 - Mar26'!P147</f>
        <v>45903</v>
      </c>
      <c r="C147" s="23"/>
      <c r="D147" s="118" t="str">
        <f>+'Order Details Apr25 - Mar26'!T147</f>
        <v>Kemin Industries South Asia</v>
      </c>
      <c r="E147" s="25"/>
      <c r="F147" s="183" t="str">
        <f>+'Order Details Apr25 - Mar26'!D147</f>
        <v>PHYGEST-10000 (Kemin)</v>
      </c>
      <c r="G147" s="184"/>
      <c r="H147" s="119">
        <f>+'Order Details Apr25 - Mar26'!H147</f>
        <v>25</v>
      </c>
      <c r="I147" s="120" t="str">
        <f>+'Order Details Apr25 - Mar26'!I147</f>
        <v>Kg</v>
      </c>
      <c r="J147" s="28"/>
      <c r="K147" s="204" t="str">
        <f>+'Order Details Apr25 - Mar26'!R147</f>
        <v>PO / NBF / 030925/ 066</v>
      </c>
      <c r="L147" s="205"/>
      <c r="M147" s="206"/>
      <c r="N147" s="27">
        <f>'Order Details Apr25 - Mar26'!F147*'Order Details Apr25 - Mar26'!N147</f>
        <v>11250</v>
      </c>
      <c r="O147" s="25"/>
      <c r="P147" s="22"/>
      <c r="Q147" s="26"/>
      <c r="R147" s="82">
        <v>30</v>
      </c>
      <c r="S147" s="22"/>
      <c r="T147" s="142"/>
      <c r="U147" s="138"/>
      <c r="V147" s="51"/>
    </row>
    <row r="148" spans="1:22" ht="20.100000000000001" customHeight="1" x14ac:dyDescent="0.3">
      <c r="A148" s="44">
        <v>140</v>
      </c>
      <c r="B148" s="22">
        <f>+'Order Details Apr25 - Mar26'!P148</f>
        <v>45903</v>
      </c>
      <c r="C148" s="23"/>
      <c r="D148" s="118" t="str">
        <f>+'Order Details Apr25 - Mar26'!T148</f>
        <v>Kemin Industries South Asia</v>
      </c>
      <c r="E148" s="25"/>
      <c r="F148" s="183" t="str">
        <f>+'Order Details Apr25 - Mar26'!D148</f>
        <v>TOXFIN-360 DRY (Kemin)</v>
      </c>
      <c r="G148" s="184"/>
      <c r="H148" s="119">
        <f>+'Order Details Apr25 - Mar26'!H148</f>
        <v>375</v>
      </c>
      <c r="I148" s="120" t="str">
        <f>+'Order Details Apr25 - Mar26'!I148</f>
        <v>Kg</v>
      </c>
      <c r="J148" s="28"/>
      <c r="K148" s="204" t="str">
        <f>+'Order Details Apr25 - Mar26'!R148</f>
        <v>PO / NBF / 030925/ 066</v>
      </c>
      <c r="L148" s="205"/>
      <c r="M148" s="206"/>
      <c r="N148" s="27">
        <f>'Order Details Apr25 - Mar26'!F148*'Order Details Apr25 - Mar26'!N148</f>
        <v>50625</v>
      </c>
      <c r="O148" s="25"/>
      <c r="P148" s="22"/>
      <c r="Q148" s="26"/>
      <c r="R148" s="82">
        <v>30</v>
      </c>
      <c r="S148" s="22"/>
      <c r="T148" s="142"/>
      <c r="U148" s="138"/>
      <c r="V148" s="51"/>
    </row>
    <row r="149" spans="1:22" ht="20.100000000000001" customHeight="1" x14ac:dyDescent="0.3">
      <c r="A149" s="44">
        <v>141</v>
      </c>
      <c r="B149" s="22">
        <f>+'Order Details Apr25 - Mar26'!P149</f>
        <v>45903</v>
      </c>
      <c r="C149" s="23"/>
      <c r="D149" s="118" t="str">
        <f>+'Order Details Apr25 - Mar26'!T149</f>
        <v>More Than Solutions Pvt Ltd HYD</v>
      </c>
      <c r="E149" s="25"/>
      <c r="F149" s="183" t="str">
        <f>+'Order Details Apr25 - Mar26'!D149</f>
        <v>AMINO GABA-20% (CP Bio)</v>
      </c>
      <c r="G149" s="184"/>
      <c r="H149" s="119">
        <f>+'Order Details Apr25 - Mar26'!H149</f>
        <v>100</v>
      </c>
      <c r="I149" s="120" t="str">
        <f>+'Order Details Apr25 - Mar26'!I149</f>
        <v>Kg</v>
      </c>
      <c r="J149" s="28"/>
      <c r="K149" s="204" t="str">
        <f>+'Order Details Apr25 - Mar26'!R149</f>
        <v>PO / NBF / 030925/ 067</v>
      </c>
      <c r="L149" s="205"/>
      <c r="M149" s="206"/>
      <c r="N149" s="27">
        <f>'Order Details Apr25 - Mar26'!F149*'Order Details Apr25 - Mar26'!N149</f>
        <v>36000</v>
      </c>
      <c r="O149" s="25"/>
      <c r="P149" s="22"/>
      <c r="Q149" s="26"/>
      <c r="R149" s="82">
        <v>7</v>
      </c>
      <c r="S149" s="22"/>
      <c r="T149" s="142"/>
      <c r="U149" s="138"/>
      <c r="V149" s="51"/>
    </row>
    <row r="150" spans="1:22" ht="20.100000000000001" customHeight="1" x14ac:dyDescent="0.3">
      <c r="A150" s="44">
        <v>142</v>
      </c>
      <c r="B150" s="22">
        <f>+'Order Details Apr25 - Mar26'!P150</f>
        <v>45903</v>
      </c>
      <c r="C150" s="23"/>
      <c r="D150" s="118" t="str">
        <f>+'Order Details Apr25 - Mar26'!T150</f>
        <v>Jeco Nutri Products Pvt Ltd Kolkata</v>
      </c>
      <c r="E150" s="25"/>
      <c r="F150" s="183" t="str">
        <f>+'Order Details Apr25 - Mar26'!D150</f>
        <v>MICROVIT-C 35% (Adisseo)</v>
      </c>
      <c r="G150" s="184"/>
      <c r="H150" s="119">
        <f>+'Order Details Apr25 - Mar26'!H150</f>
        <v>50</v>
      </c>
      <c r="I150" s="120" t="str">
        <f>+'Order Details Apr25 - Mar26'!I150</f>
        <v>Kg</v>
      </c>
      <c r="J150" s="28"/>
      <c r="K150" s="204" t="str">
        <f>+'Order Details Apr25 - Mar26'!R150</f>
        <v>PO / NBF / 030925/ 068</v>
      </c>
      <c r="L150" s="205"/>
      <c r="M150" s="206"/>
      <c r="N150" s="27">
        <f>'Order Details Apr25 - Mar26'!F150*'Order Details Apr25 - Mar26'!N150</f>
        <v>15000</v>
      </c>
      <c r="O150" s="25"/>
      <c r="P150" s="22"/>
      <c r="Q150" s="26"/>
      <c r="R150" s="82">
        <v>45</v>
      </c>
      <c r="S150" s="22"/>
      <c r="T150" s="142"/>
      <c r="U150" s="138"/>
      <c r="V150" s="51"/>
    </row>
    <row r="151" spans="1:22" ht="20.100000000000001" customHeight="1" x14ac:dyDescent="0.3">
      <c r="A151" s="44">
        <v>143</v>
      </c>
      <c r="B151" s="22">
        <f>+'Order Details Apr25 - Mar26'!P151</f>
        <v>45906</v>
      </c>
      <c r="C151" s="23"/>
      <c r="D151" s="118" t="str">
        <f>+'Order Details Apr25 - Mar26'!T151</f>
        <v>Trouw Nutrition India Pvt Ltd</v>
      </c>
      <c r="E151" s="25"/>
      <c r="F151" s="183" t="str">
        <f>+'Order Details Apr25 - Mar26'!D151</f>
        <v>INORGANIC TRACE MINERALS (Custom)</v>
      </c>
      <c r="G151" s="184"/>
      <c r="H151" s="119">
        <f>+'Order Details Apr25 - Mar26'!H151</f>
        <v>500</v>
      </c>
      <c r="I151" s="120" t="str">
        <f>+'Order Details Apr25 - Mar26'!I151</f>
        <v>Kg</v>
      </c>
      <c r="J151" s="28"/>
      <c r="K151" s="204" t="str">
        <f>+'Order Details Apr25 - Mar26'!R151</f>
        <v>PO / NBF / 060925/ 069</v>
      </c>
      <c r="L151" s="205"/>
      <c r="M151" s="206"/>
      <c r="N151" s="27">
        <f>'Order Details Apr25 - Mar26'!F151*'Order Details Apr25 - Mar26'!N151</f>
        <v>55000</v>
      </c>
      <c r="O151" s="25"/>
      <c r="P151" s="22"/>
      <c r="Q151" s="26"/>
      <c r="R151" s="82">
        <v>45</v>
      </c>
      <c r="S151" s="22"/>
      <c r="T151" s="142"/>
      <c r="U151" s="138"/>
      <c r="V151" s="51"/>
    </row>
    <row r="152" spans="1:22" ht="20.100000000000001" customHeight="1" x14ac:dyDescent="0.3">
      <c r="A152" s="44">
        <v>144</v>
      </c>
      <c r="B152" s="22">
        <f>+'Order Details Apr25 - Mar26'!P152</f>
        <v>45908</v>
      </c>
      <c r="C152" s="23"/>
      <c r="D152" s="118" t="str">
        <f>+'Order Details Apr25 - Mar26'!T152</f>
        <v>Agrioma Life Sciences Kolkata</v>
      </c>
      <c r="E152" s="25"/>
      <c r="F152" s="183" t="str">
        <f>+'Order Details Apr25 - Mar26'!D152</f>
        <v>OREGOSTIM-1X (Saife Vet)</v>
      </c>
      <c r="G152" s="184"/>
      <c r="H152" s="119">
        <f>+'Order Details Apr25 - Mar26'!H152</f>
        <v>100</v>
      </c>
      <c r="I152" s="120" t="str">
        <f>+'Order Details Apr25 - Mar26'!I152</f>
        <v>Kg</v>
      </c>
      <c r="J152" s="28"/>
      <c r="K152" s="204" t="str">
        <f>+'Order Details Apr25 - Mar26'!R152</f>
        <v>PO / NBF / 080925/ 070</v>
      </c>
      <c r="L152" s="205"/>
      <c r="M152" s="206"/>
      <c r="N152" s="27">
        <f>'Order Details Apr25 - Mar26'!F152*'Order Details Apr25 - Mar26'!N152</f>
        <v>95000</v>
      </c>
      <c r="O152" s="25"/>
      <c r="P152" s="22"/>
      <c r="Q152" s="26"/>
      <c r="R152" s="82">
        <v>7</v>
      </c>
      <c r="S152" s="22"/>
      <c r="T152" s="142"/>
      <c r="U152" s="138"/>
      <c r="V152" s="51"/>
    </row>
    <row r="153" spans="1:22" ht="20.100000000000001" customHeight="1" x14ac:dyDescent="0.3">
      <c r="A153" s="44">
        <v>145</v>
      </c>
      <c r="B153" s="22">
        <f>+'Order Details Apr25 - Mar26'!P153</f>
        <v>45908</v>
      </c>
      <c r="C153" s="23"/>
      <c r="D153" s="118" t="str">
        <f>+'Order Details Apr25 - Mar26'!T153</f>
        <v>Bengal Agrovet Pvt Ltd Kolkata</v>
      </c>
      <c r="E153" s="25"/>
      <c r="F153" s="183" t="str">
        <f>+'Order Details Apr25 - Mar26'!D153</f>
        <v>SAF MANANS (Phileo)</v>
      </c>
      <c r="G153" s="184"/>
      <c r="H153" s="119">
        <f>+'Order Details Apr25 - Mar26'!H153</f>
        <v>100</v>
      </c>
      <c r="I153" s="120" t="str">
        <f>+'Order Details Apr25 - Mar26'!I153</f>
        <v>Kg</v>
      </c>
      <c r="J153" s="28"/>
      <c r="K153" s="204" t="str">
        <f>+'Order Details Apr25 - Mar26'!R153</f>
        <v>PO / NBF / 080925/ 071</v>
      </c>
      <c r="L153" s="205"/>
      <c r="M153" s="206"/>
      <c r="N153" s="27">
        <f>'Order Details Apr25 - Mar26'!F153*'Order Details Apr25 - Mar26'!N153</f>
        <v>262500</v>
      </c>
      <c r="O153" s="25"/>
      <c r="P153" s="22"/>
      <c r="Q153" s="26"/>
      <c r="R153" s="82">
        <v>7</v>
      </c>
      <c r="S153" s="22"/>
      <c r="T153" s="142"/>
      <c r="U153" s="138"/>
      <c r="V153" s="51"/>
    </row>
    <row r="154" spans="1:22" ht="20.100000000000001" customHeight="1" x14ac:dyDescent="0.3">
      <c r="A154" s="44">
        <v>146</v>
      </c>
      <c r="B154" s="22">
        <f>+'Order Details Apr25 - Mar26'!P154</f>
        <v>45909</v>
      </c>
      <c r="C154" s="23"/>
      <c r="D154" s="118" t="str">
        <f>+'Order Details Apr25 - Mar26'!T154</f>
        <v>Ravioza Biotech, Indore MP</v>
      </c>
      <c r="E154" s="25"/>
      <c r="F154" s="183" t="str">
        <f>+'Order Details Apr25 - Mar26'!D154</f>
        <v>NEOLINC (Lincomycin+Neomycin-10%)</v>
      </c>
      <c r="G154" s="184"/>
      <c r="H154" s="119">
        <f>+'Order Details Apr25 - Mar26'!H154</f>
        <v>50</v>
      </c>
      <c r="I154" s="120" t="str">
        <f>+'Order Details Apr25 - Mar26'!I154</f>
        <v>Kg</v>
      </c>
      <c r="J154" s="28"/>
      <c r="K154" s="204" t="str">
        <f>+'Order Details Apr25 - Mar26'!R154</f>
        <v>PO / NBF / 090925/ 072</v>
      </c>
      <c r="L154" s="205"/>
      <c r="M154" s="206"/>
      <c r="N154" s="27">
        <f>'Order Details Apr25 - Mar26'!F154*'Order Details Apr25 - Mar26'!N154</f>
        <v>42500</v>
      </c>
      <c r="O154" s="25"/>
      <c r="P154" s="22"/>
      <c r="Q154" s="26"/>
      <c r="R154" s="82">
        <v>1</v>
      </c>
      <c r="S154" s="22"/>
      <c r="T154" s="142"/>
      <c r="U154" s="138"/>
      <c r="V154" s="51"/>
    </row>
    <row r="155" spans="1:22" ht="20.100000000000001" customHeight="1" x14ac:dyDescent="0.3">
      <c r="A155" s="44">
        <v>147</v>
      </c>
      <c r="B155" s="22">
        <f>+'Order Details Apr25 - Mar26'!P155</f>
        <v>45911</v>
      </c>
      <c r="C155" s="23"/>
      <c r="D155" s="118" t="str">
        <f>+'Order Details Apr25 - Mar26'!T155</f>
        <v>Das Drug Centre Pvt Ltd, Habra</v>
      </c>
      <c r="E155" s="25"/>
      <c r="F155" s="183" t="str">
        <f>+'Order Details Apr25 - Mar26'!D155</f>
        <v>Hipraviar Clon-79 (Hipra)</v>
      </c>
      <c r="G155" s="184"/>
      <c r="H155" s="119">
        <f>+'Order Details Apr25 - Mar26'!H155</f>
        <v>42500</v>
      </c>
      <c r="I155" s="120" t="str">
        <f>+'Order Details Apr25 - Mar26'!I155</f>
        <v>Dose</v>
      </c>
      <c r="J155" s="28"/>
      <c r="K155" s="204" t="str">
        <f>+'Order Details Apr25 - Mar26'!R155</f>
        <v>PO / NBF / 110925/ 073</v>
      </c>
      <c r="L155" s="205"/>
      <c r="M155" s="206"/>
      <c r="N155" s="27">
        <f>'Order Details Apr25 - Mar26'!F155*'Order Details Apr25 - Mar26'!N155</f>
        <v>5283.6</v>
      </c>
      <c r="O155" s="25"/>
      <c r="P155" s="22"/>
      <c r="Q155" s="26"/>
      <c r="R155" s="82">
        <v>45</v>
      </c>
      <c r="S155" s="22"/>
      <c r="T155" s="142"/>
      <c r="U155" s="138"/>
      <c r="V155" s="51"/>
    </row>
    <row r="156" spans="1:22" ht="20.100000000000001" customHeight="1" x14ac:dyDescent="0.3">
      <c r="A156" s="44">
        <v>148</v>
      </c>
      <c r="B156" s="22">
        <f>+'Order Details Apr25 - Mar26'!P156</f>
        <v>45911</v>
      </c>
      <c r="C156" s="23"/>
      <c r="D156" s="118" t="str">
        <f>+'Order Details Apr25 - Mar26'!T156</f>
        <v>Das Drug Centre Pvt Ltd, Habra</v>
      </c>
      <c r="E156" s="25"/>
      <c r="F156" s="183" t="str">
        <f>+'Order Details Apr25 - Mar26'!D156</f>
        <v>Hipraviar BPL-2 Killed (Hipra)</v>
      </c>
      <c r="G156" s="184"/>
      <c r="H156" s="119">
        <f>+'Order Details Apr25 - Mar26'!H156</f>
        <v>39000</v>
      </c>
      <c r="I156" s="120" t="str">
        <f>+'Order Details Apr25 - Mar26'!I156</f>
        <v>Dose</v>
      </c>
      <c r="J156" s="28"/>
      <c r="K156" s="204" t="str">
        <f>+'Order Details Apr25 - Mar26'!R156</f>
        <v>PO / NBF / 110925/ 073</v>
      </c>
      <c r="L156" s="205"/>
      <c r="M156" s="206"/>
      <c r="N156" s="27">
        <f>'Order Details Apr25 - Mar26'!F156*'Order Details Apr25 - Mar26'!N156</f>
        <v>76781.25</v>
      </c>
      <c r="O156" s="25"/>
      <c r="P156" s="22"/>
      <c r="Q156" s="26"/>
      <c r="R156" s="82">
        <v>45</v>
      </c>
      <c r="S156" s="22"/>
      <c r="T156" s="142"/>
      <c r="U156" s="138"/>
      <c r="V156" s="51"/>
    </row>
    <row r="157" spans="1:22" ht="20.100000000000001" customHeight="1" x14ac:dyDescent="0.3">
      <c r="A157" s="44">
        <v>149</v>
      </c>
      <c r="B157" s="22">
        <f>+'Order Details Apr25 - Mar26'!P157</f>
        <v>45911</v>
      </c>
      <c r="C157" s="23"/>
      <c r="D157" s="118" t="str">
        <f>+'Order Details Apr25 - Mar26'!T157</f>
        <v>Das Drug Centre Pvt Ltd, Habra</v>
      </c>
      <c r="E157" s="25"/>
      <c r="F157" s="183" t="str">
        <f>+'Order Details Apr25 - Mar26'!D157</f>
        <v>MG BAC KILLED VAC (Zoetis)</v>
      </c>
      <c r="G157" s="184"/>
      <c r="H157" s="119">
        <f>+'Order Details Apr25 - Mar26'!H157</f>
        <v>41000</v>
      </c>
      <c r="I157" s="120" t="str">
        <f>+'Order Details Apr25 - Mar26'!I157</f>
        <v>Dose</v>
      </c>
      <c r="J157" s="28"/>
      <c r="K157" s="204" t="str">
        <f>+'Order Details Apr25 - Mar26'!R157</f>
        <v>PO / NBF / 110925/ 073</v>
      </c>
      <c r="L157" s="205"/>
      <c r="M157" s="206"/>
      <c r="N157" s="27">
        <f>'Order Details Apr25 - Mar26'!F157*'Order Details Apr25 - Mar26'!N157</f>
        <v>295409.10000000003</v>
      </c>
      <c r="O157" s="25"/>
      <c r="P157" s="22"/>
      <c r="Q157" s="26"/>
      <c r="R157" s="82">
        <v>45</v>
      </c>
      <c r="S157" s="22"/>
      <c r="T157" s="142"/>
      <c r="U157" s="138"/>
      <c r="V157" s="51"/>
    </row>
    <row r="158" spans="1:22" ht="20.100000000000001" customHeight="1" x14ac:dyDescent="0.3">
      <c r="A158" s="44">
        <v>150</v>
      </c>
      <c r="B158" s="22">
        <f>+'Order Details Apr25 - Mar26'!P158</f>
        <v>45911</v>
      </c>
      <c r="C158" s="23"/>
      <c r="D158" s="118" t="str">
        <f>+'Order Details Apr25 - Mar26'!T158</f>
        <v>Hester Biosciences Ltd Hyderabad</v>
      </c>
      <c r="E158" s="25"/>
      <c r="F158" s="183" t="str">
        <f>+'Order Details Apr25 - Mar26'!D158</f>
        <v>EDS KILLED VAC</v>
      </c>
      <c r="G158" s="184"/>
      <c r="H158" s="119">
        <f>+'Order Details Apr25 - Mar26'!H158</f>
        <v>40000</v>
      </c>
      <c r="I158" s="120" t="str">
        <f>+'Order Details Apr25 - Mar26'!I158</f>
        <v>Dose</v>
      </c>
      <c r="J158" s="28"/>
      <c r="K158" s="204" t="str">
        <f>+'Order Details Apr25 - Mar26'!R158</f>
        <v>PO / NBF / 110925/ 074</v>
      </c>
      <c r="L158" s="205"/>
      <c r="M158" s="206"/>
      <c r="N158" s="27">
        <f>'Order Details Apr25 - Mar26'!F158*'Order Details Apr25 - Mar26'!N158</f>
        <v>48300</v>
      </c>
      <c r="O158" s="25"/>
      <c r="P158" s="22"/>
      <c r="Q158" s="26"/>
      <c r="R158" s="82">
        <v>7</v>
      </c>
      <c r="S158" s="22"/>
      <c r="T158" s="142"/>
      <c r="U158" s="138"/>
      <c r="V158" s="51"/>
    </row>
    <row r="159" spans="1:22" ht="20.100000000000001" customHeight="1" x14ac:dyDescent="0.3">
      <c r="A159" s="44">
        <v>151</v>
      </c>
      <c r="B159" s="22">
        <f>+'Order Details Apr25 - Mar26'!P159</f>
        <v>45911</v>
      </c>
      <c r="C159" s="23"/>
      <c r="D159" s="118" t="str">
        <f>+'Order Details Apr25 - Mar26'!T159</f>
        <v>Hester Biosciences Ltd Hyderabad</v>
      </c>
      <c r="E159" s="25"/>
      <c r="F159" s="183" t="str">
        <f>+'Order Details Apr25 - Mar26'!D159</f>
        <v>Inactivated Pullet ND (LPAI) VAC</v>
      </c>
      <c r="G159" s="184"/>
      <c r="H159" s="119">
        <f>+'Order Details Apr25 - Mar26'!H159</f>
        <v>88000</v>
      </c>
      <c r="I159" s="120" t="str">
        <f>+'Order Details Apr25 - Mar26'!I159</f>
        <v>Dose</v>
      </c>
      <c r="J159" s="28"/>
      <c r="K159" s="204" t="str">
        <f>+'Order Details Apr25 - Mar26'!R159</f>
        <v>PO / NBF / 110925/ 074</v>
      </c>
      <c r="L159" s="205"/>
      <c r="M159" s="206"/>
      <c r="N159" s="27">
        <f>'Order Details Apr25 - Mar26'!F159*'Order Details Apr25 - Mar26'!N159</f>
        <v>87319.847999999998</v>
      </c>
      <c r="O159" s="25"/>
      <c r="P159" s="22"/>
      <c r="Q159" s="26"/>
      <c r="R159" s="82">
        <v>7</v>
      </c>
      <c r="S159" s="22"/>
      <c r="T159" s="142"/>
      <c r="U159" s="138"/>
      <c r="V159" s="51"/>
    </row>
    <row r="160" spans="1:22" ht="20.100000000000001" customHeight="1" x14ac:dyDescent="0.3">
      <c r="A160" s="44">
        <v>152</v>
      </c>
      <c r="B160" s="22">
        <f>+'Order Details Apr25 - Mar26'!P160</f>
        <v>45911</v>
      </c>
      <c r="C160" s="23"/>
      <c r="D160" s="118" t="str">
        <f>+'Order Details Apr25 - Mar26'!T160</f>
        <v>Hester Biosciences Ltd Hyderabad</v>
      </c>
      <c r="E160" s="25"/>
      <c r="F160" s="183" t="str">
        <f>+'Order Details Apr25 - Mar26'!D160</f>
        <v>Inactivated Pullet ND (HPAI) VAC</v>
      </c>
      <c r="G160" s="184"/>
      <c r="H160" s="119">
        <f>+'Order Details Apr25 - Mar26'!H160</f>
        <v>88000</v>
      </c>
      <c r="I160" s="120" t="str">
        <f>+'Order Details Apr25 - Mar26'!I160</f>
        <v>Dose</v>
      </c>
      <c r="J160" s="28"/>
      <c r="K160" s="204" t="str">
        <f>+'Order Details Apr25 - Mar26'!R160</f>
        <v>PO / NBF / 110925/ 074</v>
      </c>
      <c r="L160" s="205"/>
      <c r="M160" s="206"/>
      <c r="N160" s="27">
        <f>'Order Details Apr25 - Mar26'!F160*'Order Details Apr25 - Mar26'!N160</f>
        <v>230907.59999999998</v>
      </c>
      <c r="O160" s="25"/>
      <c r="P160" s="22"/>
      <c r="Q160" s="26"/>
      <c r="R160" s="82">
        <v>7</v>
      </c>
      <c r="S160" s="22"/>
      <c r="T160" s="142"/>
      <c r="U160" s="138"/>
      <c r="V160" s="51"/>
    </row>
    <row r="161" spans="1:22" ht="20.100000000000001" customHeight="1" x14ac:dyDescent="0.3">
      <c r="A161" s="44">
        <v>153</v>
      </c>
      <c r="B161" s="22">
        <f>+'Order Details Apr25 - Mar26'!P161</f>
        <v>45911</v>
      </c>
      <c r="C161" s="23"/>
      <c r="D161" s="118" t="str">
        <f>+'Order Details Apr25 - Mar26'!T161</f>
        <v>RR Veterianary Health Care Pvt Ltd</v>
      </c>
      <c r="E161" s="25"/>
      <c r="F161" s="183" t="str">
        <f>+'Order Details Apr25 - Mar26'!D161</f>
        <v>LARVEND GOLD PLUS (RRVHC)</v>
      </c>
      <c r="G161" s="184"/>
      <c r="H161" s="119">
        <f>+'Order Details Apr25 - Mar26'!H161</f>
        <v>100</v>
      </c>
      <c r="I161" s="120" t="str">
        <f>+'Order Details Apr25 - Mar26'!I161</f>
        <v>Ltr</v>
      </c>
      <c r="J161" s="28"/>
      <c r="K161" s="204" t="str">
        <f>+'Order Details Apr25 - Mar26'!R161</f>
        <v>PO / NBF / 110925/ 075</v>
      </c>
      <c r="L161" s="205"/>
      <c r="M161" s="206"/>
      <c r="N161" s="27">
        <f>'Order Details Apr25 - Mar26'!F161*'Order Details Apr25 - Mar26'!N161</f>
        <v>180600</v>
      </c>
      <c r="O161" s="25"/>
      <c r="P161" s="22"/>
      <c r="Q161" s="26"/>
      <c r="R161" s="82">
        <v>45</v>
      </c>
      <c r="S161" s="22"/>
      <c r="T161" s="142"/>
      <c r="U161" s="138"/>
      <c r="V161" s="51"/>
    </row>
    <row r="162" spans="1:22" ht="20.100000000000001" customHeight="1" x14ac:dyDescent="0.3">
      <c r="A162" s="44">
        <v>154</v>
      </c>
      <c r="B162" s="22">
        <f>+'Order Details Apr25 - Mar26'!P162</f>
        <v>45911</v>
      </c>
      <c r="C162" s="23"/>
      <c r="D162" s="118" t="str">
        <f>+'Order Details Apr25 - Mar26'!T162</f>
        <v>Venkateshwara Hatcheries Ltd</v>
      </c>
      <c r="E162" s="25"/>
      <c r="F162" s="183" t="str">
        <f>+'Order Details Apr25 - Mar26'!D162</f>
        <v>AE KILLED VAC</v>
      </c>
      <c r="G162" s="184"/>
      <c r="H162" s="119">
        <f>+'Order Details Apr25 - Mar26'!H162</f>
        <v>88000</v>
      </c>
      <c r="I162" s="120" t="str">
        <f>+'Order Details Apr25 - Mar26'!I162</f>
        <v>Dose</v>
      </c>
      <c r="J162" s="28"/>
      <c r="K162" s="204" t="str">
        <f>+'Order Details Apr25 - Mar26'!R162</f>
        <v>PO / NBF / 110925/ 076</v>
      </c>
      <c r="L162" s="205"/>
      <c r="M162" s="206"/>
      <c r="N162" s="27">
        <f>'Order Details Apr25 - Mar26'!F162*'Order Details Apr25 - Mar26'!N162</f>
        <v>189420</v>
      </c>
      <c r="O162" s="25"/>
      <c r="P162" s="22"/>
      <c r="Q162" s="26"/>
      <c r="R162" s="82">
        <v>7</v>
      </c>
      <c r="S162" s="22"/>
      <c r="T162" s="142"/>
      <c r="U162" s="138"/>
      <c r="V162" s="51"/>
    </row>
    <row r="163" spans="1:22" ht="20.100000000000001" customHeight="1" x14ac:dyDescent="0.3">
      <c r="A163" s="44">
        <v>155</v>
      </c>
      <c r="B163" s="22">
        <f>+'Order Details Apr25 - Mar26'!P163</f>
        <v>45911</v>
      </c>
      <c r="C163" s="23"/>
      <c r="D163" s="118" t="str">
        <f>+'Order Details Apr25 - Mar26'!T163</f>
        <v>Venkateshwara Hatcheries Ltd</v>
      </c>
      <c r="E163" s="25"/>
      <c r="F163" s="183" t="str">
        <f>+'Order Details Apr25 - Mar26'!D163</f>
        <v>IB ASTRO (AEIBH) KILLED VAC</v>
      </c>
      <c r="G163" s="184"/>
      <c r="H163" s="119">
        <f>+'Order Details Apr25 - Mar26'!H163</f>
        <v>88000</v>
      </c>
      <c r="I163" s="120" t="str">
        <f>+'Order Details Apr25 - Mar26'!I163</f>
        <v>Dose</v>
      </c>
      <c r="J163" s="28"/>
      <c r="K163" s="204" t="str">
        <f>+'Order Details Apr25 - Mar26'!R163</f>
        <v>PO / NBF / 110925/ 076</v>
      </c>
      <c r="L163" s="205"/>
      <c r="M163" s="206"/>
      <c r="N163" s="27">
        <f>'Order Details Apr25 - Mar26'!F163*'Order Details Apr25 - Mar26'!N163</f>
        <v>307230</v>
      </c>
      <c r="O163" s="25"/>
      <c r="P163" s="22"/>
      <c r="Q163" s="26"/>
      <c r="R163" s="82">
        <v>7</v>
      </c>
      <c r="S163" s="22"/>
      <c r="T163" s="142"/>
      <c r="U163" s="138"/>
      <c r="V163" s="51"/>
    </row>
    <row r="164" spans="1:22" ht="20.100000000000001" customHeight="1" x14ac:dyDescent="0.3">
      <c r="A164" s="44">
        <v>156</v>
      </c>
      <c r="B164" s="22">
        <f>+'Order Details Apr25 - Mar26'!P164</f>
        <v>45911</v>
      </c>
      <c r="C164" s="23"/>
      <c r="D164" s="118" t="str">
        <f>+'Order Details Apr25 - Mar26'!T164</f>
        <v>Venkateshwara Hatcheries Ltd</v>
      </c>
      <c r="E164" s="25"/>
      <c r="F164" s="183" t="str">
        <f>+'Order Details Apr25 - Mar26'!D164</f>
        <v>IBH KILLED VAC</v>
      </c>
      <c r="G164" s="184"/>
      <c r="H164" s="119">
        <f>+'Order Details Apr25 - Mar26'!H164</f>
        <v>88000</v>
      </c>
      <c r="I164" s="120" t="str">
        <f>+'Order Details Apr25 - Mar26'!I164</f>
        <v>Dose</v>
      </c>
      <c r="J164" s="28"/>
      <c r="K164" s="204" t="str">
        <f>+'Order Details Apr25 - Mar26'!R164</f>
        <v>PO / NBF / 110925/ 076</v>
      </c>
      <c r="L164" s="205"/>
      <c r="M164" s="206"/>
      <c r="N164" s="27">
        <f>'Order Details Apr25 - Mar26'!F164*'Order Details Apr25 - Mar26'!N164</f>
        <v>203280</v>
      </c>
      <c r="O164" s="25"/>
      <c r="P164" s="22"/>
      <c r="Q164" s="26"/>
      <c r="R164" s="82">
        <v>7</v>
      </c>
      <c r="S164" s="22"/>
      <c r="T164" s="142"/>
      <c r="U164" s="138"/>
      <c r="V164" s="51"/>
    </row>
    <row r="165" spans="1:22" ht="20.100000000000001" customHeight="1" x14ac:dyDescent="0.3">
      <c r="A165" s="44">
        <v>157</v>
      </c>
      <c r="B165" s="22">
        <f>+'Order Details Apr25 - Mar26'!P165</f>
        <v>45911</v>
      </c>
      <c r="C165" s="23"/>
      <c r="D165" s="118" t="str">
        <f>+'Order Details Apr25 - Mar26'!T165</f>
        <v>Venkateshwara Hatcheries Ltd</v>
      </c>
      <c r="E165" s="25"/>
      <c r="F165" s="183" t="str">
        <f>+'Order Details Apr25 - Mar26'!D165</f>
        <v>VH V-4K (4way) KILLED VAC</v>
      </c>
      <c r="G165" s="184"/>
      <c r="H165" s="119">
        <f>+'Order Details Apr25 - Mar26'!H165</f>
        <v>85000</v>
      </c>
      <c r="I165" s="120" t="str">
        <f>+'Order Details Apr25 - Mar26'!I165</f>
        <v>Dose</v>
      </c>
      <c r="J165" s="28"/>
      <c r="K165" s="204" t="str">
        <f>+'Order Details Apr25 - Mar26'!R165</f>
        <v>PO / NBF / 110925/ 076</v>
      </c>
      <c r="L165" s="205"/>
      <c r="M165" s="206"/>
      <c r="N165" s="27">
        <f>'Order Details Apr25 - Mar26'!F165*'Order Details Apr25 - Mar26'!N165</f>
        <v>473382</v>
      </c>
      <c r="O165" s="25"/>
      <c r="P165" s="22"/>
      <c r="Q165" s="26"/>
      <c r="R165" s="82">
        <v>45</v>
      </c>
      <c r="S165" s="22"/>
      <c r="T165" s="142"/>
      <c r="U165" s="138"/>
      <c r="V165" s="51"/>
    </row>
    <row r="166" spans="1:22" ht="20.100000000000001" customHeight="1" x14ac:dyDescent="0.3">
      <c r="A166" s="44">
        <v>158</v>
      </c>
      <c r="B166" s="22">
        <f>+'Order Details Apr25 - Mar26'!P166</f>
        <v>45911</v>
      </c>
      <c r="C166" s="23"/>
      <c r="D166" s="118" t="str">
        <f>+'Order Details Apr25 - Mar26'!T166</f>
        <v>Venkateshwara Marketing Hyd</v>
      </c>
      <c r="E166" s="25"/>
      <c r="F166" s="183" t="str">
        <f>+'Order Details Apr25 - Mar26'!D166</f>
        <v>Nobilis SALENVAC Inactivated Vac (MSD)</v>
      </c>
      <c r="G166" s="184"/>
      <c r="H166" s="119">
        <f>+'Order Details Apr25 - Mar26'!H166</f>
        <v>34000</v>
      </c>
      <c r="I166" s="120" t="str">
        <f>+'Order Details Apr25 - Mar26'!I166</f>
        <v>Dose</v>
      </c>
      <c r="J166" s="28"/>
      <c r="K166" s="204" t="str">
        <f>+'Order Details Apr25 - Mar26'!R166</f>
        <v>PO / NBF / 110925/ 077</v>
      </c>
      <c r="L166" s="205"/>
      <c r="M166" s="206"/>
      <c r="N166" s="27">
        <f>'Order Details Apr25 - Mar26'!F166*'Order Details Apr25 - Mar26'!N166</f>
        <v>183855</v>
      </c>
      <c r="O166" s="25"/>
      <c r="P166" s="22"/>
      <c r="Q166" s="26"/>
      <c r="R166" s="82">
        <v>45</v>
      </c>
      <c r="S166" s="22"/>
      <c r="T166" s="142"/>
      <c r="U166" s="138"/>
      <c r="V166" s="51"/>
    </row>
    <row r="167" spans="1:22" ht="20.100000000000001" customHeight="1" x14ac:dyDescent="0.3">
      <c r="A167" s="44">
        <v>159</v>
      </c>
      <c r="B167" s="22">
        <f>+'Order Details Apr25 - Mar26'!P167</f>
        <v>45911</v>
      </c>
      <c r="C167" s="23"/>
      <c r="D167" s="118" t="str">
        <f>+'Order Details Apr25 - Mar26'!T167</f>
        <v>Venkateshwara Marketing Hyd</v>
      </c>
      <c r="E167" s="25"/>
      <c r="F167" s="183" t="str">
        <f>+'Order Details Apr25 - Mar26'!D167</f>
        <v>Nobilis REO INAC KILLED VAC (MSD)</v>
      </c>
      <c r="G167" s="184"/>
      <c r="H167" s="119">
        <f>+'Order Details Apr25 - Mar26'!H167</f>
        <v>41000</v>
      </c>
      <c r="I167" s="120" t="str">
        <f>+'Order Details Apr25 - Mar26'!I167</f>
        <v>Dose</v>
      </c>
      <c r="J167" s="28"/>
      <c r="K167" s="204" t="str">
        <f>+'Order Details Apr25 - Mar26'!R167</f>
        <v>PO / NBF / 110925/ 077</v>
      </c>
      <c r="L167" s="205"/>
      <c r="M167" s="206"/>
      <c r="N167" s="27">
        <f>'Order Details Apr25 - Mar26'!F167*'Order Details Apr25 - Mar26'!N167</f>
        <v>147747.6</v>
      </c>
      <c r="O167" s="25"/>
      <c r="P167" s="22"/>
      <c r="Q167" s="26"/>
      <c r="R167" s="82">
        <v>45</v>
      </c>
      <c r="S167" s="22"/>
      <c r="T167" s="142"/>
      <c r="U167" s="138"/>
      <c r="V167" s="51"/>
    </row>
    <row r="168" spans="1:22" ht="20.100000000000001" customHeight="1" x14ac:dyDescent="0.3">
      <c r="A168" s="44">
        <v>160</v>
      </c>
      <c r="B168" s="22">
        <f>+'Order Details Apr25 - Mar26'!P168</f>
        <v>45911</v>
      </c>
      <c r="C168" s="23"/>
      <c r="D168" s="118" t="str">
        <f>+'Order Details Apr25 - Mar26'!T168</f>
        <v>We Care Animal Health Bengal</v>
      </c>
      <c r="E168" s="25"/>
      <c r="F168" s="183" t="str">
        <f>+'Order Details Apr25 - Mar26'!D168</f>
        <v>FLYVIN (We Care Animal Health)</v>
      </c>
      <c r="G168" s="184"/>
      <c r="H168" s="119">
        <f>+'Order Details Apr25 - Mar26'!H168</f>
        <v>100</v>
      </c>
      <c r="I168" s="120" t="str">
        <f>+'Order Details Apr25 - Mar26'!I168</f>
        <v>Kg</v>
      </c>
      <c r="J168" s="28"/>
      <c r="K168" s="204" t="str">
        <f>+'Order Details Apr25 - Mar26'!R168</f>
        <v>PO / NBF / 110925/ 078</v>
      </c>
      <c r="L168" s="205"/>
      <c r="M168" s="206"/>
      <c r="N168" s="27">
        <f>'Order Details Apr25 - Mar26'!F168*'Order Details Apr25 - Mar26'!N168</f>
        <v>72000</v>
      </c>
      <c r="O168" s="25"/>
      <c r="P168" s="22"/>
      <c r="Q168" s="26"/>
      <c r="R168" s="82">
        <v>7</v>
      </c>
      <c r="S168" s="22"/>
      <c r="T168" s="142"/>
      <c r="U168" s="138"/>
      <c r="V168" s="51"/>
    </row>
    <row r="169" spans="1:22" ht="20.100000000000001" customHeight="1" x14ac:dyDescent="0.3">
      <c r="A169" s="44">
        <v>161</v>
      </c>
      <c r="B169" s="22">
        <f>+'Order Details Apr25 - Mar26'!P169</f>
        <v>45914</v>
      </c>
      <c r="C169" s="23"/>
      <c r="D169" s="118" t="str">
        <f>+'Order Details Apr25 - Mar26'!T169</f>
        <v>Global Chemicals Ltd Kolkata</v>
      </c>
      <c r="E169" s="25"/>
      <c r="F169" s="183" t="str">
        <f>+'Order Details Apr25 - Mar26'!D169</f>
        <v>ROVIMIX OVN BREEDER Hy-D VP (DSM)</v>
      </c>
      <c r="G169" s="184"/>
      <c r="H169" s="119">
        <f>+'Order Details Apr25 - Mar26'!H169</f>
        <v>500</v>
      </c>
      <c r="I169" s="120" t="str">
        <f>+'Order Details Apr25 - Mar26'!I169</f>
        <v>Kg</v>
      </c>
      <c r="J169" s="28"/>
      <c r="K169" s="204" t="str">
        <f>+'Order Details Apr25 - Mar26'!R169</f>
        <v>PO / NBF / 140925/ 079</v>
      </c>
      <c r="L169" s="205"/>
      <c r="M169" s="206"/>
      <c r="N169" s="27">
        <f>'Order Details Apr25 - Mar26'!F169*'Order Details Apr25 - Mar26'!N169</f>
        <v>425000</v>
      </c>
      <c r="O169" s="25"/>
      <c r="P169" s="22"/>
      <c r="Q169" s="26"/>
      <c r="R169" s="82">
        <v>30</v>
      </c>
      <c r="S169" s="22"/>
      <c r="T169" s="142"/>
      <c r="U169" s="138"/>
      <c r="V169" s="51"/>
    </row>
    <row r="170" spans="1:22" ht="20.100000000000001" customHeight="1" x14ac:dyDescent="0.3">
      <c r="A170" s="44">
        <v>162</v>
      </c>
      <c r="B170" s="22">
        <f>+'Order Details Apr25 - Mar26'!P170</f>
        <v>45919</v>
      </c>
      <c r="C170" s="23"/>
      <c r="D170" s="118" t="str">
        <f>+'Order Details Apr25 - Mar26'!T170</f>
        <v>Agrioma Life Sciences Kolkata</v>
      </c>
      <c r="E170" s="25"/>
      <c r="F170" s="183" t="str">
        <f>+'Order Details Apr25 - Mar26'!D170</f>
        <v>OREGOSTIM-1X (Saife Vet)</v>
      </c>
      <c r="G170" s="184"/>
      <c r="H170" s="119">
        <f>+'Order Details Apr25 - Mar26'!H170</f>
        <v>100</v>
      </c>
      <c r="I170" s="120" t="str">
        <f>+'Order Details Apr25 - Mar26'!I170</f>
        <v>Kg</v>
      </c>
      <c r="J170" s="28"/>
      <c r="K170" s="204" t="str">
        <f>+'Order Details Apr25 - Mar26'!R170</f>
        <v>PO / NBF / 190925/ 080</v>
      </c>
      <c r="L170" s="205"/>
      <c r="M170" s="206"/>
      <c r="N170" s="27">
        <f>'Order Details Apr25 - Mar26'!F170*'Order Details Apr25 - Mar26'!N170</f>
        <v>95000</v>
      </c>
      <c r="O170" s="25"/>
      <c r="P170" s="22"/>
      <c r="Q170" s="26"/>
      <c r="R170" s="82">
        <v>7</v>
      </c>
      <c r="S170" s="22"/>
      <c r="T170" s="142"/>
      <c r="U170" s="138"/>
      <c r="V170" s="51"/>
    </row>
    <row r="171" spans="1:22" ht="20.100000000000001" customHeight="1" x14ac:dyDescent="0.3">
      <c r="A171" s="44">
        <v>163</v>
      </c>
      <c r="B171" s="22">
        <f>+'Order Details Apr25 - Mar26'!P171</f>
        <v>45919</v>
      </c>
      <c r="C171" s="23"/>
      <c r="D171" s="118" t="str">
        <f>+'Order Details Apr25 - Mar26'!T171</f>
        <v>Bengal Agrovet Pvt Ltd Kolkata</v>
      </c>
      <c r="E171" s="25"/>
      <c r="F171" s="183" t="str">
        <f>+'Order Details Apr25 - Mar26'!D171</f>
        <v>SAF MANANS (Phileo)</v>
      </c>
      <c r="G171" s="184"/>
      <c r="H171" s="119">
        <f>+'Order Details Apr25 - Mar26'!H171</f>
        <v>100</v>
      </c>
      <c r="I171" s="120" t="str">
        <f>+'Order Details Apr25 - Mar26'!I171</f>
        <v>Kg</v>
      </c>
      <c r="J171" s="28"/>
      <c r="K171" s="204" t="str">
        <f>+'Order Details Apr25 - Mar26'!R171</f>
        <v>PO / NBF / 190925/ 081</v>
      </c>
      <c r="L171" s="205"/>
      <c r="M171" s="206"/>
      <c r="N171" s="27">
        <f>'Order Details Apr25 - Mar26'!F171*'Order Details Apr25 - Mar26'!N171</f>
        <v>42000</v>
      </c>
      <c r="O171" s="25"/>
      <c r="P171" s="22"/>
      <c r="Q171" s="26"/>
      <c r="R171" s="82">
        <v>7</v>
      </c>
      <c r="S171" s="22"/>
      <c r="T171" s="142"/>
      <c r="U171" s="138"/>
      <c r="V171" s="51"/>
    </row>
    <row r="172" spans="1:22" ht="20.100000000000001" customHeight="1" x14ac:dyDescent="0.3">
      <c r="A172" s="44">
        <v>164</v>
      </c>
      <c r="B172" s="22">
        <f>+'Order Details Apr25 - Mar26'!P172</f>
        <v>45919</v>
      </c>
      <c r="C172" s="23"/>
      <c r="D172" s="118" t="str">
        <f>+'Order Details Apr25 - Mar26'!T172</f>
        <v>Jeco Nutri Products Pvt Ltd Kolkata</v>
      </c>
      <c r="E172" s="25"/>
      <c r="F172" s="183" t="str">
        <f>+'Order Details Apr25 - Mar26'!D172</f>
        <v>MICROVIT-C 35% (Adisseo)</v>
      </c>
      <c r="G172" s="184"/>
      <c r="H172" s="119">
        <f>+'Order Details Apr25 - Mar26'!H172</f>
        <v>50</v>
      </c>
      <c r="I172" s="120" t="str">
        <f>+'Order Details Apr25 - Mar26'!I172</f>
        <v>Kg</v>
      </c>
      <c r="J172" s="28"/>
      <c r="K172" s="204" t="str">
        <f>+'Order Details Apr25 - Mar26'!R172</f>
        <v>PO / NBF / 190925/ 082</v>
      </c>
      <c r="L172" s="205"/>
      <c r="M172" s="206"/>
      <c r="N172" s="27">
        <f>'Order Details Apr25 - Mar26'!F172*'Order Details Apr25 - Mar26'!N172</f>
        <v>15000</v>
      </c>
      <c r="O172" s="25"/>
      <c r="P172" s="22"/>
      <c r="Q172" s="26"/>
      <c r="R172" s="82">
        <v>45</v>
      </c>
      <c r="S172" s="22"/>
      <c r="T172" s="142"/>
      <c r="U172" s="138"/>
      <c r="V172" s="51"/>
    </row>
    <row r="173" spans="1:22" ht="20.100000000000001" customHeight="1" x14ac:dyDescent="0.3">
      <c r="A173" s="44">
        <v>165</v>
      </c>
      <c r="B173" s="22">
        <f>+'Order Details Apr25 - Mar26'!P173</f>
        <v>45919</v>
      </c>
      <c r="C173" s="23"/>
      <c r="D173" s="118" t="str">
        <f>+'Order Details Apr25 - Mar26'!T173</f>
        <v>Kemin Industries South Asia</v>
      </c>
      <c r="E173" s="25"/>
      <c r="F173" s="183" t="str">
        <f>+'Order Details Apr25 - Mar26'!D173</f>
        <v>BUTI PEARL (Kemin)</v>
      </c>
      <c r="G173" s="184"/>
      <c r="H173" s="119">
        <f>+'Order Details Apr25 - Mar26'!H173</f>
        <v>150</v>
      </c>
      <c r="I173" s="120" t="str">
        <f>+'Order Details Apr25 - Mar26'!I173</f>
        <v>Kg</v>
      </c>
      <c r="J173" s="28"/>
      <c r="K173" s="204" t="str">
        <f>+'Order Details Apr25 - Mar26'!R173</f>
        <v>PO / NBF / 190925/ 083</v>
      </c>
      <c r="L173" s="205"/>
      <c r="M173" s="206"/>
      <c r="N173" s="27">
        <f>'Order Details Apr25 - Mar26'!F173*'Order Details Apr25 - Mar26'!N173</f>
        <v>58500</v>
      </c>
      <c r="O173" s="25"/>
      <c r="P173" s="22"/>
      <c r="Q173" s="26"/>
      <c r="R173" s="82">
        <v>30</v>
      </c>
      <c r="S173" s="22"/>
      <c r="T173" s="142"/>
      <c r="U173" s="138"/>
      <c r="V173" s="51"/>
    </row>
    <row r="174" spans="1:22" ht="20.100000000000001" customHeight="1" x14ac:dyDescent="0.3">
      <c r="A174" s="44">
        <v>166</v>
      </c>
      <c r="B174" s="22">
        <f>+'Order Details Apr25 - Mar26'!P174</f>
        <v>45919</v>
      </c>
      <c r="C174" s="23"/>
      <c r="D174" s="118" t="str">
        <f>+'Order Details Apr25 - Mar26'!T174</f>
        <v>Kemin Industries South Asia</v>
      </c>
      <c r="E174" s="25"/>
      <c r="F174" s="183" t="str">
        <f>+'Order Details Apr25 - Mar26'!D174</f>
        <v>ENDOX-T DRY (Kemin)</v>
      </c>
      <c r="G174" s="184"/>
      <c r="H174" s="119">
        <f>+'Order Details Apr25 - Mar26'!H174</f>
        <v>100</v>
      </c>
      <c r="I174" s="120" t="str">
        <f>+'Order Details Apr25 - Mar26'!I174</f>
        <v>Kg</v>
      </c>
      <c r="J174" s="28"/>
      <c r="K174" s="204" t="str">
        <f>+'Order Details Apr25 - Mar26'!R174</f>
        <v>PO / NBF / 190925/ 083</v>
      </c>
      <c r="L174" s="205"/>
      <c r="M174" s="206"/>
      <c r="N174" s="27">
        <f>'Order Details Apr25 - Mar26'!F174*'Order Details Apr25 - Mar26'!N174</f>
        <v>10500</v>
      </c>
      <c r="O174" s="25"/>
      <c r="P174" s="22"/>
      <c r="Q174" s="26"/>
      <c r="R174" s="82">
        <v>30</v>
      </c>
      <c r="S174" s="22"/>
      <c r="T174" s="142"/>
      <c r="U174" s="138"/>
      <c r="V174" s="51"/>
    </row>
    <row r="175" spans="1:22" ht="20.100000000000001" customHeight="1" x14ac:dyDescent="0.3">
      <c r="A175" s="44">
        <v>167</v>
      </c>
      <c r="B175" s="22">
        <f>+'Order Details Apr25 - Mar26'!P175</f>
        <v>45919</v>
      </c>
      <c r="C175" s="23"/>
      <c r="D175" s="118" t="str">
        <f>+'Order Details Apr25 - Mar26'!T175</f>
        <v>Kemin Industries South Asia</v>
      </c>
      <c r="E175" s="25"/>
      <c r="F175" s="183" t="str">
        <f>+'Order Details Apr25 - Mar26'!D175</f>
        <v>KEMTRACE SUPREME (Kemin)</v>
      </c>
      <c r="G175" s="184"/>
      <c r="H175" s="119">
        <f>+'Order Details Apr25 - Mar26'!H175</f>
        <v>300</v>
      </c>
      <c r="I175" s="120" t="str">
        <f>+'Order Details Apr25 - Mar26'!I175</f>
        <v>Kg</v>
      </c>
      <c r="J175" s="28"/>
      <c r="K175" s="204" t="str">
        <f>+'Order Details Apr25 - Mar26'!R175</f>
        <v>PO / NBF / 190925/ 083</v>
      </c>
      <c r="L175" s="205"/>
      <c r="M175" s="206"/>
      <c r="N175" s="27">
        <f>'Order Details Apr25 - Mar26'!F175*'Order Details Apr25 - Mar26'!N175</f>
        <v>78000</v>
      </c>
      <c r="O175" s="25"/>
      <c r="P175" s="22"/>
      <c r="Q175" s="26"/>
      <c r="R175" s="82">
        <v>30</v>
      </c>
      <c r="S175" s="22"/>
      <c r="T175" s="142"/>
      <c r="U175" s="138"/>
      <c r="V175" s="51"/>
    </row>
    <row r="176" spans="1:22" ht="20.100000000000001" customHeight="1" x14ac:dyDescent="0.3">
      <c r="A176" s="44">
        <v>168</v>
      </c>
      <c r="B176" s="22">
        <f>+'Order Details Apr25 - Mar26'!P176</f>
        <v>45919</v>
      </c>
      <c r="C176" s="23"/>
      <c r="D176" s="118" t="str">
        <f>+'Order Details Apr25 - Mar26'!T176</f>
        <v>Kemin Industries South Asia</v>
      </c>
      <c r="E176" s="25"/>
      <c r="F176" s="183" t="str">
        <f>+'Order Details Apr25 - Mar26'!D176</f>
        <v>KEMZYME PROTEASE (Kemin)</v>
      </c>
      <c r="G176" s="184"/>
      <c r="H176" s="119">
        <f>+'Order Details Apr25 - Mar26'!H176</f>
        <v>50</v>
      </c>
      <c r="I176" s="120" t="str">
        <f>+'Order Details Apr25 - Mar26'!I176</f>
        <v>Kg</v>
      </c>
      <c r="J176" s="28"/>
      <c r="K176" s="204" t="str">
        <f>+'Order Details Apr25 - Mar26'!R176</f>
        <v>PO / NBF / 190925/ 083</v>
      </c>
      <c r="L176" s="205"/>
      <c r="M176" s="206"/>
      <c r="N176" s="27">
        <f>'Order Details Apr25 - Mar26'!F176*'Order Details Apr25 - Mar26'!N176</f>
        <v>22500</v>
      </c>
      <c r="O176" s="25"/>
      <c r="P176" s="22"/>
      <c r="Q176" s="26"/>
      <c r="R176" s="82">
        <v>30</v>
      </c>
      <c r="S176" s="22"/>
      <c r="T176" s="142"/>
      <c r="U176" s="138"/>
      <c r="V176" s="51"/>
    </row>
    <row r="177" spans="1:22" ht="20.100000000000001" customHeight="1" x14ac:dyDescent="0.3">
      <c r="A177" s="44">
        <v>169</v>
      </c>
      <c r="B177" s="22">
        <f>+'Order Details Apr25 - Mar26'!P177</f>
        <v>45919</v>
      </c>
      <c r="C177" s="23"/>
      <c r="D177" s="118" t="str">
        <f>+'Order Details Apr25 - Mar26'!T177</f>
        <v>Kemin Industries South Asia</v>
      </c>
      <c r="E177" s="25"/>
      <c r="F177" s="183" t="str">
        <f>+'Order Details Apr25 - Mar26'!D177</f>
        <v>PHYGEST-10000 (Kemin)</v>
      </c>
      <c r="G177" s="184"/>
      <c r="H177" s="119">
        <f>+'Order Details Apr25 - Mar26'!H177</f>
        <v>50</v>
      </c>
      <c r="I177" s="120" t="str">
        <f>+'Order Details Apr25 - Mar26'!I177</f>
        <v>Kg</v>
      </c>
      <c r="J177" s="28"/>
      <c r="K177" s="204" t="str">
        <f>+'Order Details Apr25 - Mar26'!R177</f>
        <v>PO / NBF / 190925/ 083</v>
      </c>
      <c r="L177" s="205"/>
      <c r="M177" s="206"/>
      <c r="N177" s="27">
        <f>'Order Details Apr25 - Mar26'!F177*'Order Details Apr25 - Mar26'!N177</f>
        <v>22500</v>
      </c>
      <c r="O177" s="25"/>
      <c r="P177" s="22"/>
      <c r="Q177" s="26"/>
      <c r="R177" s="82">
        <v>30</v>
      </c>
      <c r="S177" s="22"/>
      <c r="T177" s="142"/>
      <c r="U177" s="138"/>
      <c r="V177" s="51"/>
    </row>
    <row r="178" spans="1:22" ht="20.100000000000001" customHeight="1" x14ac:dyDescent="0.3">
      <c r="A178" s="44">
        <v>170</v>
      </c>
      <c r="B178" s="22">
        <f>+'Order Details Apr25 - Mar26'!P178</f>
        <v>45919</v>
      </c>
      <c r="C178" s="23"/>
      <c r="D178" s="118" t="str">
        <f>+'Order Details Apr25 - Mar26'!T178</f>
        <v>Kemin Industries South Asia</v>
      </c>
      <c r="E178" s="25"/>
      <c r="F178" s="183" t="str">
        <f>+'Order Details Apr25 - Mar26'!D178</f>
        <v>TOXFIN-360 DRY (Kemin)</v>
      </c>
      <c r="G178" s="184"/>
      <c r="H178" s="119">
        <f>+'Order Details Apr25 - Mar26'!H178</f>
        <v>400</v>
      </c>
      <c r="I178" s="120" t="str">
        <f>+'Order Details Apr25 - Mar26'!I178</f>
        <v>Kg</v>
      </c>
      <c r="J178" s="28"/>
      <c r="K178" s="204" t="str">
        <f>+'Order Details Apr25 - Mar26'!R178</f>
        <v>PO / NBF / 190925/ 083</v>
      </c>
      <c r="L178" s="205"/>
      <c r="M178" s="206"/>
      <c r="N178" s="27">
        <f>'Order Details Apr25 - Mar26'!F178*'Order Details Apr25 - Mar26'!N178</f>
        <v>54000</v>
      </c>
      <c r="O178" s="25"/>
      <c r="P178" s="22"/>
      <c r="Q178" s="26"/>
      <c r="R178" s="82">
        <v>30</v>
      </c>
      <c r="S178" s="22"/>
      <c r="T178" s="142"/>
      <c r="U178" s="138"/>
      <c r="V178" s="51"/>
    </row>
    <row r="179" spans="1:22" ht="20.100000000000001" customHeight="1" x14ac:dyDescent="0.3">
      <c r="A179" s="44">
        <v>171</v>
      </c>
      <c r="B179" s="22">
        <f>+'Order Details Apr25 - Mar26'!P179</f>
        <v>45919</v>
      </c>
      <c r="C179" s="23"/>
      <c r="D179" s="118" t="str">
        <f>+'Order Details Apr25 - Mar26'!T179</f>
        <v>More Than Solutions Pvt Ltd HYD</v>
      </c>
      <c r="E179" s="25"/>
      <c r="F179" s="183" t="str">
        <f>+'Order Details Apr25 - Mar26'!D179</f>
        <v>AMINO GABA-20% (CP Bio)</v>
      </c>
      <c r="G179" s="184"/>
      <c r="H179" s="119">
        <f>+'Order Details Apr25 - Mar26'!H179</f>
        <v>100</v>
      </c>
      <c r="I179" s="120" t="str">
        <f>+'Order Details Apr25 - Mar26'!I179</f>
        <v>Kg</v>
      </c>
      <c r="J179" s="28"/>
      <c r="K179" s="204" t="str">
        <f>+'Order Details Apr25 - Mar26'!R179</f>
        <v>PO / NBF / 190925/ 084</v>
      </c>
      <c r="L179" s="205"/>
      <c r="M179" s="206"/>
      <c r="N179" s="27">
        <f>'Order Details Apr25 - Mar26'!F179*'Order Details Apr25 - Mar26'!N179</f>
        <v>36000</v>
      </c>
      <c r="O179" s="25"/>
      <c r="P179" s="22"/>
      <c r="Q179" s="26"/>
      <c r="R179" s="82">
        <v>7</v>
      </c>
      <c r="S179" s="22"/>
      <c r="T179" s="142"/>
      <c r="U179" s="138"/>
      <c r="V179" s="51"/>
    </row>
    <row r="180" spans="1:22" ht="20.100000000000001" customHeight="1" x14ac:dyDescent="0.3">
      <c r="A180" s="44">
        <v>172</v>
      </c>
      <c r="B180" s="22">
        <f>+'Order Details Apr25 - Mar26'!P180</f>
        <v>45919</v>
      </c>
      <c r="C180" s="23"/>
      <c r="D180" s="118" t="str">
        <f>+'Order Details Apr25 - Mar26'!T180</f>
        <v>More Than Solutions Pvt Ltd HYD</v>
      </c>
      <c r="E180" s="25"/>
      <c r="F180" s="183" t="str">
        <f>+'Order Details Apr25 - Mar26'!D180</f>
        <v>CITIFAC (Chlortetracyclin-15%)</v>
      </c>
      <c r="G180" s="184"/>
      <c r="H180" s="119">
        <f>+'Order Details Apr25 - Mar26'!H180</f>
        <v>100</v>
      </c>
      <c r="I180" s="120" t="str">
        <f>+'Order Details Apr25 - Mar26'!I180</f>
        <v>Kg</v>
      </c>
      <c r="J180" s="28"/>
      <c r="K180" s="204" t="str">
        <f>+'Order Details Apr25 - Mar26'!R180</f>
        <v>PO / NBF / 190925/ 084</v>
      </c>
      <c r="L180" s="205"/>
      <c r="M180" s="206"/>
      <c r="N180" s="27">
        <f>'Order Details Apr25 - Mar26'!F180*'Order Details Apr25 - Mar26'!N180</f>
        <v>23300</v>
      </c>
      <c r="O180" s="25"/>
      <c r="P180" s="22"/>
      <c r="Q180" s="26"/>
      <c r="R180" s="82">
        <v>7</v>
      </c>
      <c r="S180" s="22"/>
      <c r="T180" s="142"/>
      <c r="U180" s="138"/>
      <c r="V180" s="51"/>
    </row>
    <row r="181" spans="1:22" ht="20.100000000000001" customHeight="1" x14ac:dyDescent="0.3">
      <c r="A181" s="44">
        <v>173</v>
      </c>
      <c r="B181" s="22">
        <f>+'Order Details Apr25 - Mar26'!P181</f>
        <v>45919</v>
      </c>
      <c r="C181" s="23"/>
      <c r="D181" s="118" t="str">
        <f>+'Order Details Apr25 - Mar26'!T181</f>
        <v>Ravioza Biotech, Indore MP</v>
      </c>
      <c r="E181" s="25"/>
      <c r="F181" s="183" t="str">
        <f>+'Order Details Apr25 - Mar26'!D181</f>
        <v>NEOLINC (Lincomycin+Neomycin-10%)</v>
      </c>
      <c r="G181" s="184"/>
      <c r="H181" s="119">
        <f>+'Order Details Apr25 - Mar26'!H181</f>
        <v>50</v>
      </c>
      <c r="I181" s="120" t="str">
        <f>+'Order Details Apr25 - Mar26'!I181</f>
        <v>Kg</v>
      </c>
      <c r="J181" s="28"/>
      <c r="K181" s="204" t="str">
        <f>+'Order Details Apr25 - Mar26'!R181</f>
        <v>PO / NBF / 190925/ 085</v>
      </c>
      <c r="L181" s="205"/>
      <c r="M181" s="206"/>
      <c r="N181" s="27">
        <f>'Order Details Apr25 - Mar26'!F181*'Order Details Apr25 - Mar26'!N181</f>
        <v>42500</v>
      </c>
      <c r="O181" s="25"/>
      <c r="P181" s="22"/>
      <c r="Q181" s="26"/>
      <c r="R181" s="82">
        <v>1</v>
      </c>
      <c r="S181" s="22"/>
      <c r="T181" s="142"/>
      <c r="U181" s="138"/>
      <c r="V181" s="51"/>
    </row>
    <row r="182" spans="1:22" ht="20.100000000000001" customHeight="1" x14ac:dyDescent="0.3">
      <c r="A182" s="44">
        <v>174</v>
      </c>
      <c r="B182" s="22">
        <f>+'Order Details Apr25 - Mar26'!P182</f>
        <v>45919</v>
      </c>
      <c r="C182" s="23"/>
      <c r="D182" s="118" t="str">
        <f>+'Order Details Apr25 - Mar26'!T182</f>
        <v>Trouw Nutrition India Pvt Ltd</v>
      </c>
      <c r="E182" s="25"/>
      <c r="F182" s="183" t="str">
        <f>+'Order Details Apr25 - Mar26'!D182</f>
        <v>INORGANIC TRACE MINERALS (Custom)</v>
      </c>
      <c r="G182" s="184"/>
      <c r="H182" s="119">
        <f>+'Order Details Apr25 - Mar26'!H182</f>
        <v>500</v>
      </c>
      <c r="I182" s="120" t="str">
        <f>+'Order Details Apr25 - Mar26'!I182</f>
        <v>Kg</v>
      </c>
      <c r="J182" s="28"/>
      <c r="K182" s="204" t="str">
        <f>+'Order Details Apr25 - Mar26'!R182</f>
        <v>PO / NBF / 190925/ 086</v>
      </c>
      <c r="L182" s="205"/>
      <c r="M182" s="206"/>
      <c r="N182" s="27">
        <f>'Order Details Apr25 - Mar26'!F182*'Order Details Apr25 - Mar26'!N182</f>
        <v>55000</v>
      </c>
      <c r="O182" s="25"/>
      <c r="P182" s="22"/>
      <c r="Q182" s="26"/>
      <c r="R182" s="82">
        <v>45</v>
      </c>
      <c r="S182" s="22"/>
      <c r="T182" s="142"/>
      <c r="U182" s="138"/>
      <c r="V182" s="51"/>
    </row>
    <row r="183" spans="1:22" ht="20.100000000000001" customHeight="1" x14ac:dyDescent="0.3">
      <c r="A183" s="44">
        <v>175</v>
      </c>
      <c r="B183" s="22">
        <f>+'Order Details Apr25 - Mar26'!P183</f>
        <v>45919</v>
      </c>
      <c r="C183" s="23"/>
      <c r="D183" s="118" t="str">
        <f>+'Order Details Apr25 - Mar26'!T183</f>
        <v>Venkys India Limited - AHP Division</v>
      </c>
      <c r="E183" s="25"/>
      <c r="F183" s="183" t="str">
        <f>+'Order Details Apr25 - Mar26'!D183</f>
        <v>RESPOTYL-62.5% (AHP Division)</v>
      </c>
      <c r="G183" s="184"/>
      <c r="H183" s="119">
        <f>+'Order Details Apr25 - Mar26'!H183</f>
        <v>12000</v>
      </c>
      <c r="I183" s="120" t="str">
        <f>+'Order Details Apr25 - Mar26'!I183</f>
        <v>Gms</v>
      </c>
      <c r="J183" s="28"/>
      <c r="K183" s="204" t="str">
        <f>+'Order Details Apr25 - Mar26'!R183</f>
        <v>PO / NBF / 190925/ 087</v>
      </c>
      <c r="L183" s="205"/>
      <c r="M183" s="206"/>
      <c r="N183" s="27">
        <f>'Order Details Apr25 - Mar26'!F183*'Order Details Apr25 - Mar26'!N183</f>
        <v>217350</v>
      </c>
      <c r="O183" s="25"/>
      <c r="P183" s="22"/>
      <c r="Q183" s="26"/>
      <c r="R183" s="82">
        <v>7</v>
      </c>
      <c r="S183" s="22"/>
      <c r="T183" s="142"/>
      <c r="U183" s="138"/>
      <c r="V183" s="51"/>
    </row>
    <row r="184" spans="1:22" ht="20.100000000000001" customHeight="1" x14ac:dyDescent="0.3">
      <c r="A184" s="44">
        <v>176</v>
      </c>
      <c r="B184" s="22">
        <f>+'Order Details Apr25 - Mar26'!P184</f>
        <v>45922</v>
      </c>
      <c r="C184" s="23"/>
      <c r="D184" s="118" t="str">
        <f>+'Order Details Apr25 - Mar26'!T184</f>
        <v>Varsha Multitech Bangalore</v>
      </c>
      <c r="E184" s="25"/>
      <c r="F184" s="183" t="str">
        <f>+'Order Details Apr25 - Mar26'!D184</f>
        <v>HEPATOCARE PREMIX (Varsha)</v>
      </c>
      <c r="G184" s="184"/>
      <c r="H184" s="119">
        <f>+'Order Details Apr25 - Mar26'!H184</f>
        <v>500</v>
      </c>
      <c r="I184" s="120" t="str">
        <f>+'Order Details Apr25 - Mar26'!I184</f>
        <v>Kg</v>
      </c>
      <c r="J184" s="28"/>
      <c r="K184" s="204" t="str">
        <f>+'Order Details Apr25 - Mar26'!R184</f>
        <v>PO / NBF / 220925/ 088</v>
      </c>
      <c r="L184" s="205"/>
      <c r="M184" s="206"/>
      <c r="N184" s="27">
        <f>'Order Details Apr25 - Mar26'!F184*'Order Details Apr25 - Mar26'!N184</f>
        <v>30000</v>
      </c>
      <c r="O184" s="25"/>
      <c r="P184" s="22"/>
      <c r="Q184" s="26"/>
      <c r="R184" s="82">
        <v>45</v>
      </c>
      <c r="S184" s="22"/>
      <c r="T184" s="142"/>
      <c r="U184" s="138"/>
      <c r="V184" s="51"/>
    </row>
    <row r="185" spans="1:22" ht="20.100000000000001" customHeight="1" x14ac:dyDescent="0.3">
      <c r="A185" s="44">
        <v>177</v>
      </c>
      <c r="B185" s="22">
        <f>+'Order Details Apr25 - Mar26'!P185</f>
        <v>45954</v>
      </c>
      <c r="C185" s="23"/>
      <c r="D185" s="118" t="str">
        <f>+'Order Details Apr25 - Mar26'!T185</f>
        <v>Stats Speciality Products Pvt Ltd</v>
      </c>
      <c r="E185" s="25"/>
      <c r="F185" s="183" t="str">
        <f>+'Order Details Apr25 - Mar26'!D185</f>
        <v>MCP (Timab)</v>
      </c>
      <c r="G185" s="184"/>
      <c r="H185" s="119">
        <f>+'Order Details Apr25 - Mar26'!H185</f>
        <v>5000</v>
      </c>
      <c r="I185" s="120" t="str">
        <f>+'Order Details Apr25 - Mar26'!I185</f>
        <v>Kg</v>
      </c>
      <c r="J185" s="28"/>
      <c r="K185" s="204" t="str">
        <f>+'Order Details Apr25 - Mar26'!R185</f>
        <v>PO / NBF / 241025/ 089</v>
      </c>
      <c r="L185" s="205"/>
      <c r="M185" s="206"/>
      <c r="N185" s="27">
        <f>'Order Details Apr25 - Mar26'!F185*'Order Details Apr25 - Mar26'!N185</f>
        <v>449998.9</v>
      </c>
      <c r="O185" s="25"/>
      <c r="P185" s="22"/>
      <c r="Q185" s="26"/>
      <c r="R185" s="82">
        <v>7</v>
      </c>
      <c r="S185" s="22"/>
      <c r="T185" s="142"/>
      <c r="U185" s="138"/>
      <c r="V185" s="51"/>
    </row>
    <row r="186" spans="1:22" ht="20.100000000000001" customHeight="1" x14ac:dyDescent="0.3">
      <c r="A186" s="44">
        <v>178</v>
      </c>
      <c r="B186" s="22">
        <f>+'Order Details Apr25 - Mar26'!P186</f>
        <v>45955</v>
      </c>
      <c r="C186" s="23"/>
      <c r="D186" s="118" t="str">
        <f>+'Order Details Apr25 - Mar26'!T186</f>
        <v>Agrioma Life Sciences Kolkata</v>
      </c>
      <c r="E186" s="25"/>
      <c r="F186" s="183" t="str">
        <f>+'Order Details Apr25 - Mar26'!D186</f>
        <v>OREGOSTIM-1X (Saife Vet)</v>
      </c>
      <c r="G186" s="184"/>
      <c r="H186" s="119">
        <f>+'Order Details Apr25 - Mar26'!H186</f>
        <v>150</v>
      </c>
      <c r="I186" s="120" t="str">
        <f>+'Order Details Apr25 - Mar26'!I186</f>
        <v>Kg</v>
      </c>
      <c r="J186" s="28"/>
      <c r="K186" s="204" t="str">
        <f>+'Order Details Apr25 - Mar26'!R186</f>
        <v>PO / NBF / 251025/ 090</v>
      </c>
      <c r="L186" s="205"/>
      <c r="M186" s="206"/>
      <c r="N186" s="27">
        <f>'Order Details Apr25 - Mar26'!F186*'Order Details Apr25 - Mar26'!N186</f>
        <v>142500</v>
      </c>
      <c r="O186" s="25"/>
      <c r="P186" s="22"/>
      <c r="Q186" s="26"/>
      <c r="R186" s="82">
        <v>7</v>
      </c>
      <c r="S186" s="22"/>
      <c r="T186" s="142"/>
      <c r="U186" s="138"/>
      <c r="V186" s="51"/>
    </row>
    <row r="187" spans="1:22" ht="20.100000000000001" customHeight="1" x14ac:dyDescent="0.3">
      <c r="A187" s="44">
        <v>179</v>
      </c>
      <c r="B187" s="22">
        <f>+'Order Details Apr25 - Mar26'!P187</f>
        <v>45955</v>
      </c>
      <c r="C187" s="23"/>
      <c r="D187" s="118" t="str">
        <f>+'Order Details Apr25 - Mar26'!T187</f>
        <v>Bengal Agrovet Pvt Ltd Kolkata</v>
      </c>
      <c r="E187" s="25"/>
      <c r="F187" s="183" t="str">
        <f>+'Order Details Apr25 - Mar26'!D187</f>
        <v>SAF MANANS (Phileo)</v>
      </c>
      <c r="G187" s="184"/>
      <c r="H187" s="119">
        <f>+'Order Details Apr25 - Mar26'!H187</f>
        <v>150</v>
      </c>
      <c r="I187" s="120" t="str">
        <f>+'Order Details Apr25 - Mar26'!I187</f>
        <v>Kg</v>
      </c>
      <c r="J187" s="28"/>
      <c r="K187" s="204" t="str">
        <f>+'Order Details Apr25 - Mar26'!R187</f>
        <v>PO / NBF / 251025/ 091</v>
      </c>
      <c r="L187" s="205"/>
      <c r="M187" s="206"/>
      <c r="N187" s="27">
        <f>'Order Details Apr25 - Mar26'!F187*'Order Details Apr25 - Mar26'!N187</f>
        <v>63000</v>
      </c>
      <c r="O187" s="25"/>
      <c r="P187" s="22"/>
      <c r="Q187" s="26"/>
      <c r="R187" s="82">
        <v>7</v>
      </c>
      <c r="S187" s="22"/>
      <c r="T187" s="142"/>
      <c r="U187" s="138"/>
      <c r="V187" s="51"/>
    </row>
    <row r="188" spans="1:22" ht="20.100000000000001" customHeight="1" x14ac:dyDescent="0.3">
      <c r="A188" s="44">
        <v>180</v>
      </c>
      <c r="B188" s="22">
        <f>+'Order Details Apr25 - Mar26'!P188</f>
        <v>45955</v>
      </c>
      <c r="C188" s="23"/>
      <c r="D188" s="118" t="str">
        <f>+'Order Details Apr25 - Mar26'!T188</f>
        <v>Global Chemicals Ltd Kolkata</v>
      </c>
      <c r="E188" s="25"/>
      <c r="F188" s="183" t="str">
        <f>+'Order Details Apr25 - Mar26'!D188</f>
        <v>ROVIMIX OVN BREEDER Hy-D VP (DSM)</v>
      </c>
      <c r="G188" s="184"/>
      <c r="H188" s="119">
        <f>+'Order Details Apr25 - Mar26'!H188</f>
        <v>750</v>
      </c>
      <c r="I188" s="120" t="str">
        <f>+'Order Details Apr25 - Mar26'!I188</f>
        <v>Kg</v>
      </c>
      <c r="J188" s="28"/>
      <c r="K188" s="204" t="str">
        <f>+'Order Details Apr25 - Mar26'!R188</f>
        <v>PO / NBF / 251025/ 092</v>
      </c>
      <c r="L188" s="205"/>
      <c r="M188" s="206"/>
      <c r="N188" s="27">
        <f>'Order Details Apr25 - Mar26'!F188*'Order Details Apr25 - Mar26'!N188</f>
        <v>633750</v>
      </c>
      <c r="O188" s="25"/>
      <c r="P188" s="22"/>
      <c r="Q188" s="26"/>
      <c r="R188" s="82">
        <v>30</v>
      </c>
      <c r="S188" s="22"/>
      <c r="T188" s="142"/>
      <c r="U188" s="138"/>
      <c r="V188" s="51"/>
    </row>
    <row r="189" spans="1:22" ht="20.100000000000001" customHeight="1" x14ac:dyDescent="0.3">
      <c r="A189" s="44">
        <v>181</v>
      </c>
      <c r="B189" s="22">
        <f>+'Order Details Apr25 - Mar26'!P189</f>
        <v>45955</v>
      </c>
      <c r="C189" s="23"/>
      <c r="D189" s="118" t="str">
        <f>+'Order Details Apr25 - Mar26'!T189</f>
        <v>Jeco Nutri Products Pvt Ltd Kolkata</v>
      </c>
      <c r="E189" s="25"/>
      <c r="F189" s="183" t="str">
        <f>+'Order Details Apr25 - Mar26'!D189</f>
        <v>MICROVIT-C 35% (Adisseo)</v>
      </c>
      <c r="G189" s="184"/>
      <c r="H189" s="119">
        <f>+'Order Details Apr25 - Mar26'!H189</f>
        <v>200</v>
      </c>
      <c r="I189" s="120" t="str">
        <f>+'Order Details Apr25 - Mar26'!I189</f>
        <v>Kg</v>
      </c>
      <c r="J189" s="28"/>
      <c r="K189" s="204" t="str">
        <f>+'Order Details Apr25 - Mar26'!R189</f>
        <v>PO / NBF / 251025/ 093</v>
      </c>
      <c r="L189" s="205"/>
      <c r="M189" s="206"/>
      <c r="N189" s="27">
        <f>'Order Details Apr25 - Mar26'!F189*'Order Details Apr25 - Mar26'!N189</f>
        <v>60000</v>
      </c>
      <c r="O189" s="25"/>
      <c r="P189" s="22"/>
      <c r="Q189" s="26"/>
      <c r="R189" s="82">
        <v>45</v>
      </c>
      <c r="S189" s="22"/>
      <c r="T189" s="142"/>
      <c r="U189" s="138"/>
      <c r="V189" s="51"/>
    </row>
    <row r="190" spans="1:22" ht="20.100000000000001" customHeight="1" x14ac:dyDescent="0.3">
      <c r="A190" s="44">
        <v>182</v>
      </c>
      <c r="B190" s="22">
        <f>+'Order Details Apr25 - Mar26'!P190</f>
        <v>45955</v>
      </c>
      <c r="C190" s="23"/>
      <c r="D190" s="118" t="str">
        <f>+'Order Details Apr25 - Mar26'!T190</f>
        <v>Kemin Industries South Asia</v>
      </c>
      <c r="E190" s="25"/>
      <c r="F190" s="183" t="str">
        <f>+'Order Details Apr25 - Mar26'!D190</f>
        <v>BUTI PEARL (Kemin)</v>
      </c>
      <c r="G190" s="184"/>
      <c r="H190" s="119">
        <f>+'Order Details Apr25 - Mar26'!H190</f>
        <v>400</v>
      </c>
      <c r="I190" s="120" t="str">
        <f>+'Order Details Apr25 - Mar26'!I190</f>
        <v>Kg</v>
      </c>
      <c r="J190" s="28"/>
      <c r="K190" s="204" t="str">
        <f>+'Order Details Apr25 - Mar26'!R190</f>
        <v>PO / NBF / 251025/ 094</v>
      </c>
      <c r="L190" s="205"/>
      <c r="M190" s="206"/>
      <c r="N190" s="27">
        <f>'Order Details Apr25 - Mar26'!F190*'Order Details Apr25 - Mar26'!N190</f>
        <v>156000</v>
      </c>
      <c r="O190" s="25"/>
      <c r="P190" s="22"/>
      <c r="Q190" s="26"/>
      <c r="R190" s="82">
        <v>30</v>
      </c>
      <c r="S190" s="22"/>
      <c r="T190" s="142"/>
      <c r="U190" s="138"/>
      <c r="V190" s="51"/>
    </row>
    <row r="191" spans="1:22" ht="20.100000000000001" customHeight="1" x14ac:dyDescent="0.3">
      <c r="A191" s="44">
        <v>183</v>
      </c>
      <c r="B191" s="22">
        <f>+'Order Details Apr25 - Mar26'!P191</f>
        <v>45955</v>
      </c>
      <c r="C191" s="23"/>
      <c r="D191" s="118" t="str">
        <f>+'Order Details Apr25 - Mar26'!T191</f>
        <v>Kemin Industries South Asia</v>
      </c>
      <c r="E191" s="25"/>
      <c r="F191" s="183" t="str">
        <f>+'Order Details Apr25 - Mar26'!D191</f>
        <v>ENDOX-T DRY (Kemin)</v>
      </c>
      <c r="G191" s="184"/>
      <c r="H191" s="119">
        <f>+'Order Details Apr25 - Mar26'!H191</f>
        <v>125</v>
      </c>
      <c r="I191" s="120" t="str">
        <f>+'Order Details Apr25 - Mar26'!I191</f>
        <v>Kg</v>
      </c>
      <c r="J191" s="28"/>
      <c r="K191" s="204" t="str">
        <f>+'Order Details Apr25 - Mar26'!R191</f>
        <v>PO / NBF / 251025/ 094</v>
      </c>
      <c r="L191" s="205"/>
      <c r="M191" s="206"/>
      <c r="N191" s="27">
        <f>'Order Details Apr25 - Mar26'!F191*'Order Details Apr25 - Mar26'!N191</f>
        <v>13125</v>
      </c>
      <c r="O191" s="25"/>
      <c r="P191" s="22"/>
      <c r="Q191" s="26"/>
      <c r="R191" s="82">
        <v>30</v>
      </c>
      <c r="S191" s="22"/>
      <c r="T191" s="142"/>
      <c r="U191" s="138"/>
      <c r="V191" s="51"/>
    </row>
    <row r="192" spans="1:22" ht="20.100000000000001" customHeight="1" x14ac:dyDescent="0.3">
      <c r="A192" s="44">
        <v>184</v>
      </c>
      <c r="B192" s="22">
        <f>+'Order Details Apr25 - Mar26'!P192</f>
        <v>45955</v>
      </c>
      <c r="C192" s="23"/>
      <c r="D192" s="118" t="str">
        <f>+'Order Details Apr25 - Mar26'!T192</f>
        <v>Kemin Industries South Asia</v>
      </c>
      <c r="E192" s="25"/>
      <c r="F192" s="183" t="str">
        <f>+'Order Details Apr25 - Mar26'!D192</f>
        <v>KEMTRACE SUPREME (Kemin)</v>
      </c>
      <c r="G192" s="184"/>
      <c r="H192" s="119">
        <f>+'Order Details Apr25 - Mar26'!H192</f>
        <v>600</v>
      </c>
      <c r="I192" s="120" t="str">
        <f>+'Order Details Apr25 - Mar26'!I192</f>
        <v>Kg</v>
      </c>
      <c r="J192" s="28"/>
      <c r="K192" s="204" t="str">
        <f>+'Order Details Apr25 - Mar26'!R192</f>
        <v>PO / NBF / 251025/ 094</v>
      </c>
      <c r="L192" s="205"/>
      <c r="M192" s="206"/>
      <c r="N192" s="27">
        <f>'Order Details Apr25 - Mar26'!F192*'Order Details Apr25 - Mar26'!N192</f>
        <v>156000</v>
      </c>
      <c r="O192" s="25"/>
      <c r="P192" s="22"/>
      <c r="Q192" s="26"/>
      <c r="R192" s="82">
        <v>30</v>
      </c>
      <c r="S192" s="22"/>
      <c r="T192" s="142"/>
      <c r="U192" s="138"/>
      <c r="V192" s="51"/>
    </row>
    <row r="193" spans="1:22" ht="20.100000000000001" customHeight="1" x14ac:dyDescent="0.3">
      <c r="A193" s="44">
        <v>185</v>
      </c>
      <c r="B193" s="22">
        <f>+'Order Details Apr25 - Mar26'!P193</f>
        <v>45955</v>
      </c>
      <c r="C193" s="23"/>
      <c r="D193" s="118" t="str">
        <f>+'Order Details Apr25 - Mar26'!T193</f>
        <v>Kemin Industries South Asia</v>
      </c>
      <c r="E193" s="25"/>
      <c r="F193" s="183" t="str">
        <f>+'Order Details Apr25 - Mar26'!D193</f>
        <v>KEMZYME PROTEASE (Kemin)</v>
      </c>
      <c r="G193" s="184"/>
      <c r="H193" s="119">
        <f>+'Order Details Apr25 - Mar26'!H193</f>
        <v>200</v>
      </c>
      <c r="I193" s="120" t="str">
        <f>+'Order Details Apr25 - Mar26'!I193</f>
        <v>Kg</v>
      </c>
      <c r="J193" s="28"/>
      <c r="K193" s="204" t="str">
        <f>+'Order Details Apr25 - Mar26'!R193</f>
        <v>PO / NBF / 251025/ 094</v>
      </c>
      <c r="L193" s="205"/>
      <c r="M193" s="206"/>
      <c r="N193" s="27">
        <f>'Order Details Apr25 - Mar26'!F193*'Order Details Apr25 - Mar26'!N193</f>
        <v>90000</v>
      </c>
      <c r="O193" s="25"/>
      <c r="P193" s="22"/>
      <c r="Q193" s="26"/>
      <c r="R193" s="82">
        <v>30</v>
      </c>
      <c r="S193" s="22"/>
      <c r="T193" s="142"/>
      <c r="U193" s="138"/>
      <c r="V193" s="51"/>
    </row>
    <row r="194" spans="1:22" ht="20.100000000000001" customHeight="1" x14ac:dyDescent="0.3">
      <c r="A194" s="44">
        <v>186</v>
      </c>
      <c r="B194" s="22">
        <f>+'Order Details Apr25 - Mar26'!P194</f>
        <v>45955</v>
      </c>
      <c r="C194" s="23"/>
      <c r="D194" s="118" t="str">
        <f>+'Order Details Apr25 - Mar26'!T194</f>
        <v>Kemin Industries South Asia</v>
      </c>
      <c r="E194" s="25"/>
      <c r="F194" s="183" t="str">
        <f>+'Order Details Apr25 - Mar26'!D194</f>
        <v>PHYGEST-10000 (Kemin)</v>
      </c>
      <c r="G194" s="184"/>
      <c r="H194" s="119">
        <f>+'Order Details Apr25 - Mar26'!H194</f>
        <v>100</v>
      </c>
      <c r="I194" s="120" t="str">
        <f>+'Order Details Apr25 - Mar26'!I194</f>
        <v>Kg</v>
      </c>
      <c r="J194" s="28"/>
      <c r="K194" s="204" t="str">
        <f>+'Order Details Apr25 - Mar26'!R194</f>
        <v>PO / NBF / 251025/ 094</v>
      </c>
      <c r="L194" s="205"/>
      <c r="M194" s="206"/>
      <c r="N194" s="27">
        <f>'Order Details Apr25 - Mar26'!F194*'Order Details Apr25 - Mar26'!N194</f>
        <v>45000</v>
      </c>
      <c r="O194" s="25"/>
      <c r="P194" s="22"/>
      <c r="Q194" s="26"/>
      <c r="R194" s="82">
        <v>30</v>
      </c>
      <c r="S194" s="22"/>
      <c r="T194" s="142"/>
      <c r="U194" s="138"/>
      <c r="V194" s="51"/>
    </row>
    <row r="195" spans="1:22" ht="20.100000000000001" customHeight="1" x14ac:dyDescent="0.3">
      <c r="A195" s="44">
        <v>187</v>
      </c>
      <c r="B195" s="22">
        <f>+'Order Details Apr25 - Mar26'!P195</f>
        <v>45955</v>
      </c>
      <c r="C195" s="23"/>
      <c r="D195" s="118" t="str">
        <f>+'Order Details Apr25 - Mar26'!T195</f>
        <v>Kemin Industries South Asia</v>
      </c>
      <c r="E195" s="25"/>
      <c r="F195" s="183" t="str">
        <f>+'Order Details Apr25 - Mar26'!D195</f>
        <v>TOXFIN-360 DRY (Kemin)</v>
      </c>
      <c r="G195" s="184"/>
      <c r="H195" s="119">
        <f>+'Order Details Apr25 - Mar26'!H195</f>
        <v>1000</v>
      </c>
      <c r="I195" s="120" t="str">
        <f>+'Order Details Apr25 - Mar26'!I195</f>
        <v>Kg</v>
      </c>
      <c r="J195" s="28"/>
      <c r="K195" s="204" t="str">
        <f>+'Order Details Apr25 - Mar26'!R195</f>
        <v>PO / NBF / 251025/ 094</v>
      </c>
      <c r="L195" s="205"/>
      <c r="M195" s="206"/>
      <c r="N195" s="27">
        <f>'Order Details Apr25 - Mar26'!F195*'Order Details Apr25 - Mar26'!N195</f>
        <v>135000</v>
      </c>
      <c r="O195" s="25"/>
      <c r="P195" s="22"/>
      <c r="Q195" s="26"/>
      <c r="R195" s="82">
        <v>30</v>
      </c>
      <c r="S195" s="22"/>
      <c r="T195" s="142"/>
      <c r="U195" s="138"/>
      <c r="V195" s="51"/>
    </row>
    <row r="196" spans="1:22" ht="20.100000000000001" customHeight="1" x14ac:dyDescent="0.3">
      <c r="A196" s="44">
        <v>188</v>
      </c>
      <c r="B196" s="22">
        <f>+'Order Details Apr25 - Mar26'!P196</f>
        <v>45955</v>
      </c>
      <c r="C196" s="23"/>
      <c r="D196" s="118" t="str">
        <f>+'Order Details Apr25 - Mar26'!T196</f>
        <v>More Than Solutions Pvt Ltd HYD</v>
      </c>
      <c r="E196" s="25"/>
      <c r="F196" s="183" t="str">
        <f>+'Order Details Apr25 - Mar26'!D196</f>
        <v>AMINO GABA-20% (CP Bio)</v>
      </c>
      <c r="G196" s="184"/>
      <c r="H196" s="119">
        <f>+'Order Details Apr25 - Mar26'!H196</f>
        <v>200</v>
      </c>
      <c r="I196" s="120" t="str">
        <f>+'Order Details Apr25 - Mar26'!I196</f>
        <v>Kg</v>
      </c>
      <c r="J196" s="28"/>
      <c r="K196" s="204" t="str">
        <f>+'Order Details Apr25 - Mar26'!R196</f>
        <v>PO / NBF / 251025/ 095</v>
      </c>
      <c r="L196" s="205"/>
      <c r="M196" s="206"/>
      <c r="N196" s="27">
        <f>'Order Details Apr25 - Mar26'!F196*'Order Details Apr25 - Mar26'!N196</f>
        <v>72000</v>
      </c>
      <c r="O196" s="25"/>
      <c r="P196" s="22"/>
      <c r="Q196" s="26"/>
      <c r="R196" s="82">
        <v>7</v>
      </c>
      <c r="S196" s="22"/>
      <c r="T196" s="142"/>
      <c r="U196" s="138"/>
      <c r="V196" s="51"/>
    </row>
    <row r="197" spans="1:22" ht="20.100000000000001" customHeight="1" x14ac:dyDescent="0.3">
      <c r="A197" s="44">
        <v>189</v>
      </c>
      <c r="B197" s="22">
        <f>+'Order Details Apr25 - Mar26'!P197</f>
        <v>45955</v>
      </c>
      <c r="C197" s="23"/>
      <c r="D197" s="118" t="str">
        <f>+'Order Details Apr25 - Mar26'!T197</f>
        <v>More Than Solutions Pvt Ltd HYD</v>
      </c>
      <c r="E197" s="25"/>
      <c r="F197" s="183" t="str">
        <f>+'Order Details Apr25 - Mar26'!D197</f>
        <v>CITIFAC (Chlortetracyclin-15%)</v>
      </c>
      <c r="G197" s="184"/>
      <c r="H197" s="119">
        <f>+'Order Details Apr25 - Mar26'!H197</f>
        <v>200</v>
      </c>
      <c r="I197" s="120" t="str">
        <f>+'Order Details Apr25 - Mar26'!I197</f>
        <v>Kg</v>
      </c>
      <c r="J197" s="28"/>
      <c r="K197" s="204" t="str">
        <f>+'Order Details Apr25 - Mar26'!R197</f>
        <v>PO / NBF / 251025/ 095</v>
      </c>
      <c r="L197" s="205"/>
      <c r="M197" s="206"/>
      <c r="N197" s="27">
        <f>'Order Details Apr25 - Mar26'!F197*'Order Details Apr25 - Mar26'!N197</f>
        <v>46600</v>
      </c>
      <c r="O197" s="25"/>
      <c r="P197" s="22"/>
      <c r="Q197" s="26"/>
      <c r="R197" s="82">
        <v>7</v>
      </c>
      <c r="S197" s="22"/>
      <c r="T197" s="142"/>
      <c r="U197" s="138"/>
      <c r="V197" s="51"/>
    </row>
    <row r="198" spans="1:22" ht="20.100000000000001" customHeight="1" x14ac:dyDescent="0.3">
      <c r="A198" s="44">
        <v>190</v>
      </c>
      <c r="B198" s="22">
        <f>+'Order Details Apr25 - Mar26'!P198</f>
        <v>45955</v>
      </c>
      <c r="C198" s="23"/>
      <c r="D198" s="118" t="str">
        <f>+'Order Details Apr25 - Mar26'!T198</f>
        <v>Ravioza Biotech, Indore MP</v>
      </c>
      <c r="E198" s="25"/>
      <c r="F198" s="183" t="str">
        <f>+'Order Details Apr25 - Mar26'!D198</f>
        <v>NEOLINC (Lincomycin+Neomycin-10%)</v>
      </c>
      <c r="G198" s="184"/>
      <c r="H198" s="119">
        <f>+'Order Details Apr25 - Mar26'!H198</f>
        <v>200</v>
      </c>
      <c r="I198" s="120" t="str">
        <f>+'Order Details Apr25 - Mar26'!I198</f>
        <v>Kg</v>
      </c>
      <c r="J198" s="28"/>
      <c r="K198" s="204" t="str">
        <f>+'Order Details Apr25 - Mar26'!R198</f>
        <v>PO / NBF / 251025/ 096</v>
      </c>
      <c r="L198" s="205"/>
      <c r="M198" s="206"/>
      <c r="N198" s="27">
        <f>'Order Details Apr25 - Mar26'!F198*'Order Details Apr25 - Mar26'!N198</f>
        <v>170000</v>
      </c>
      <c r="O198" s="25"/>
      <c r="P198" s="22"/>
      <c r="Q198" s="26"/>
      <c r="R198" s="82">
        <v>1</v>
      </c>
      <c r="S198" s="22"/>
      <c r="T198" s="142"/>
      <c r="U198" s="138"/>
      <c r="V198" s="51"/>
    </row>
    <row r="199" spans="1:22" ht="20.100000000000001" customHeight="1" x14ac:dyDescent="0.3">
      <c r="A199" s="44">
        <v>191</v>
      </c>
      <c r="B199" s="22">
        <f>+'Order Details Apr25 - Mar26'!P199</f>
        <v>45958</v>
      </c>
      <c r="C199" s="23"/>
      <c r="D199" s="118" t="str">
        <f>+'Order Details Apr25 - Mar26'!T199</f>
        <v>Bhabani Bio Security Orisha</v>
      </c>
      <c r="E199" s="25"/>
      <c r="F199" s="183" t="str">
        <f>+'Order Details Apr25 - Mar26'!D199</f>
        <v>BB-EVVECT-8 (Bhabani Bio)</v>
      </c>
      <c r="G199" s="184"/>
      <c r="H199" s="119">
        <f>+'Order Details Apr25 - Mar26'!H199</f>
        <v>600</v>
      </c>
      <c r="I199" s="120" t="str">
        <f>+'Order Details Apr25 - Mar26'!I199</f>
        <v>Ltr</v>
      </c>
      <c r="J199" s="28"/>
      <c r="K199" s="204" t="str">
        <f>+'Order Details Apr25 - Mar26'!R199</f>
        <v>PO / NBF / 281025/ 097</v>
      </c>
      <c r="L199" s="205"/>
      <c r="M199" s="206"/>
      <c r="N199" s="27">
        <f>'Order Details Apr25 - Mar26'!F199*'Order Details Apr25 - Mar26'!N199</f>
        <v>117600</v>
      </c>
      <c r="O199" s="25"/>
      <c r="P199" s="22"/>
      <c r="Q199" s="26"/>
      <c r="R199" s="82">
        <v>45</v>
      </c>
      <c r="S199" s="22"/>
      <c r="T199" s="142"/>
      <c r="U199" s="138"/>
      <c r="V199" s="51"/>
    </row>
    <row r="200" spans="1:22" ht="20.100000000000001" customHeight="1" x14ac:dyDescent="0.3">
      <c r="A200" s="44">
        <v>192</v>
      </c>
      <c r="B200" s="22">
        <f>+'Order Details Apr25 - Mar26'!P200</f>
        <v>45958</v>
      </c>
      <c r="C200" s="23"/>
      <c r="D200" s="118" t="str">
        <f>+'Order Details Apr25 - Mar26'!T200</f>
        <v>Das Drug Centre Pvt Ltd, Habra</v>
      </c>
      <c r="E200" s="25"/>
      <c r="F200" s="183" t="str">
        <f>+'Order Details Apr25 - Mar26'!D200</f>
        <v>Dicrysticin-S Injection (Zenex-AH)</v>
      </c>
      <c r="G200" s="184"/>
      <c r="H200" s="119">
        <f>+'Order Details Apr25 - Mar26'!H200</f>
        <v>250</v>
      </c>
      <c r="I200" s="120" t="str">
        <f>+'Order Details Apr25 - Mar26'!I200</f>
        <v>Gram</v>
      </c>
      <c r="J200" s="28"/>
      <c r="K200" s="204" t="str">
        <f>+'Order Details Apr25 - Mar26'!R200</f>
        <v>PO / NBF / 281025/ 098</v>
      </c>
      <c r="L200" s="205"/>
      <c r="M200" s="206"/>
      <c r="N200" s="27">
        <f>'Order Details Apr25 - Mar26'!F200*'Order Details Apr25 - Mar26'!N200</f>
        <v>6405</v>
      </c>
      <c r="O200" s="25"/>
      <c r="P200" s="22"/>
      <c r="Q200" s="26"/>
      <c r="R200" s="82">
        <v>45</v>
      </c>
      <c r="S200" s="22"/>
      <c r="T200" s="142"/>
      <c r="U200" s="138"/>
      <c r="V200" s="51"/>
    </row>
    <row r="201" spans="1:22" ht="20.100000000000001" customHeight="1" x14ac:dyDescent="0.3">
      <c r="A201" s="44">
        <v>193</v>
      </c>
      <c r="B201" s="22">
        <f>+'Order Details Apr25 - Mar26'!P201</f>
        <v>45958</v>
      </c>
      <c r="C201" s="23"/>
      <c r="D201" s="118" t="str">
        <f>+'Order Details Apr25 - Mar26'!T201</f>
        <v>Das Drug Centre Pvt Ltd, Habra</v>
      </c>
      <c r="E201" s="25"/>
      <c r="F201" s="183" t="str">
        <f>+'Order Details Apr25 - Mar26'!D201</f>
        <v>Oxytetracycline-LA Inje. (Zenex-AH)</v>
      </c>
      <c r="G201" s="184"/>
      <c r="H201" s="119">
        <f>+'Order Details Apr25 - Mar26'!H201</f>
        <v>20000</v>
      </c>
      <c r="I201" s="120" t="str">
        <f>+'Order Details Apr25 - Mar26'!I201</f>
        <v>Ml</v>
      </c>
      <c r="J201" s="28"/>
      <c r="K201" s="204" t="str">
        <f>+'Order Details Apr25 - Mar26'!R201</f>
        <v>PO / NBF / 281025/ 098</v>
      </c>
      <c r="L201" s="205"/>
      <c r="M201" s="206"/>
      <c r="N201" s="27">
        <f>'Order Details Apr25 - Mar26'!F201*'Order Details Apr25 - Mar26'!N201</f>
        <v>48720</v>
      </c>
      <c r="O201" s="25"/>
      <c r="P201" s="22"/>
      <c r="Q201" s="26"/>
      <c r="R201" s="82">
        <v>45</v>
      </c>
      <c r="S201" s="22"/>
      <c r="T201" s="142"/>
      <c r="U201" s="138"/>
      <c r="V201" s="51"/>
    </row>
    <row r="202" spans="1:22" ht="20.100000000000001" customHeight="1" x14ac:dyDescent="0.3">
      <c r="A202" s="44">
        <v>194</v>
      </c>
      <c r="B202" s="22">
        <f>+'Order Details Apr25 - Mar26'!P202</f>
        <v>45958</v>
      </c>
      <c r="C202" s="23"/>
      <c r="D202" s="118" t="str">
        <f>+'Order Details Apr25 - Mar26'!T202</f>
        <v>Das Drug Centre Pvt Ltd, Habra</v>
      </c>
      <c r="E202" s="25"/>
      <c r="F202" s="183" t="str">
        <f>+'Order Details Apr25 - Mar26'!D202</f>
        <v>SELVO-BH (Alivira)</v>
      </c>
      <c r="G202" s="184"/>
      <c r="H202" s="119">
        <f>+'Order Details Apr25 - Mar26'!H202</f>
        <v>100</v>
      </c>
      <c r="I202" s="120" t="str">
        <f>+'Order Details Apr25 - Mar26'!I202</f>
        <v>Ltr</v>
      </c>
      <c r="J202" s="28"/>
      <c r="K202" s="204" t="str">
        <f>+'Order Details Apr25 - Mar26'!R202</f>
        <v>PO / NBF / 281025/ 098</v>
      </c>
      <c r="L202" s="205"/>
      <c r="M202" s="206"/>
      <c r="N202" s="27">
        <f>'Order Details Apr25 - Mar26'!F202*'Order Details Apr25 - Mar26'!N202</f>
        <v>97020</v>
      </c>
      <c r="O202" s="25"/>
      <c r="P202" s="22"/>
      <c r="Q202" s="26"/>
      <c r="R202" s="82">
        <v>45</v>
      </c>
      <c r="S202" s="22"/>
      <c r="T202" s="142"/>
      <c r="U202" s="138"/>
      <c r="V202" s="51"/>
    </row>
    <row r="203" spans="1:22" ht="20.100000000000001" customHeight="1" x14ac:dyDescent="0.3">
      <c r="A203" s="44">
        <v>195</v>
      </c>
      <c r="B203" s="22">
        <f>+'Order Details Apr25 - Mar26'!P203</f>
        <v>45958</v>
      </c>
      <c r="C203" s="23"/>
      <c r="D203" s="118" t="str">
        <f>+'Order Details Apr25 - Mar26'!T203</f>
        <v>Izda Healthcare Ambala Cantonment</v>
      </c>
      <c r="E203" s="25"/>
      <c r="F203" s="183" t="str">
        <f>+'Order Details Apr25 - Mar26'!D203</f>
        <v>Deforce Injection (Izda Healthcare)</v>
      </c>
      <c r="G203" s="184"/>
      <c r="H203" s="119">
        <f>+'Order Details Apr25 - Mar26'!H203</f>
        <v>500</v>
      </c>
      <c r="I203" s="120" t="str">
        <f>+'Order Details Apr25 - Mar26'!I203</f>
        <v>Ml</v>
      </c>
      <c r="J203" s="28"/>
      <c r="K203" s="204" t="str">
        <f>+'Order Details Apr25 - Mar26'!R203</f>
        <v>PO / NBF / 281025/ 099</v>
      </c>
      <c r="L203" s="205"/>
      <c r="M203" s="206"/>
      <c r="N203" s="27">
        <f>'Order Details Apr25 - Mar26'!F203*'Order Details Apr25 - Mar26'!N203</f>
        <v>39375</v>
      </c>
      <c r="O203" s="25"/>
      <c r="P203" s="22"/>
      <c r="Q203" s="26"/>
      <c r="R203" s="82">
        <v>45</v>
      </c>
      <c r="S203" s="22"/>
      <c r="T203" s="142"/>
      <c r="U203" s="138"/>
      <c r="V203" s="51"/>
    </row>
    <row r="204" spans="1:22" ht="20.100000000000001" customHeight="1" x14ac:dyDescent="0.3">
      <c r="A204" s="44">
        <v>196</v>
      </c>
      <c r="B204" s="22">
        <f>+'Order Details Apr25 - Mar26'!P204</f>
        <v>45958</v>
      </c>
      <c r="C204" s="23"/>
      <c r="D204" s="118" t="str">
        <f>+'Order Details Apr25 - Mar26'!T204</f>
        <v>B V Biocrop - Hitech Division</v>
      </c>
      <c r="E204" s="25"/>
      <c r="F204" s="183" t="str">
        <f>+'Order Details Apr25 - Mar26'!D204</f>
        <v>AQUAMAX (BV Biocrop)</v>
      </c>
      <c r="G204" s="184"/>
      <c r="H204" s="119">
        <f>+'Order Details Apr25 - Mar26'!H204</f>
        <v>100</v>
      </c>
      <c r="I204" s="120" t="str">
        <f>+'Order Details Apr25 - Mar26'!I204</f>
        <v>Ltr</v>
      </c>
      <c r="J204" s="28"/>
      <c r="K204" s="204" t="str">
        <f>+'Order Details Apr25 - Mar26'!R204</f>
        <v>PO / NBF / 281025/ 100</v>
      </c>
      <c r="L204" s="205"/>
      <c r="M204" s="206"/>
      <c r="N204" s="27">
        <f>'Order Details Apr25 - Mar26'!F204*'Order Details Apr25 - Mar26'!N204</f>
        <v>10785.2</v>
      </c>
      <c r="O204" s="25"/>
      <c r="P204" s="22"/>
      <c r="Q204" s="26"/>
      <c r="R204" s="82">
        <v>7</v>
      </c>
      <c r="S204" s="22"/>
      <c r="T204" s="142"/>
      <c r="U204" s="138"/>
      <c r="V204" s="51"/>
    </row>
    <row r="205" spans="1:22" ht="20.100000000000001" customHeight="1" x14ac:dyDescent="0.3">
      <c r="A205" s="44">
        <v>197</v>
      </c>
      <c r="B205" s="22">
        <f>+'Order Details Apr25 - Mar26'!P205</f>
        <v>45958</v>
      </c>
      <c r="C205" s="23"/>
      <c r="D205" s="118" t="str">
        <f>+'Order Details Apr25 - Mar26'!T205</f>
        <v>B V Biocrop - Hitech Division</v>
      </c>
      <c r="E205" s="25"/>
      <c r="F205" s="183" t="str">
        <f>+'Order Details Apr25 - Mar26'!D205</f>
        <v>B-904 (BV Biocrop)</v>
      </c>
      <c r="G205" s="184"/>
      <c r="H205" s="119">
        <f>+'Order Details Apr25 - Mar26'!H205</f>
        <v>60</v>
      </c>
      <c r="I205" s="120" t="str">
        <f>+'Order Details Apr25 - Mar26'!I205</f>
        <v>Gram</v>
      </c>
      <c r="J205" s="28"/>
      <c r="K205" s="204" t="str">
        <f>+'Order Details Apr25 - Mar26'!R205</f>
        <v>PO / NBF / 281025/ 100</v>
      </c>
      <c r="L205" s="205"/>
      <c r="M205" s="206"/>
      <c r="N205" s="27">
        <f>'Order Details Apr25 - Mar26'!F205*'Order Details Apr25 - Mar26'!N205</f>
        <v>46345.68</v>
      </c>
      <c r="O205" s="25"/>
      <c r="P205" s="22"/>
      <c r="Q205" s="26"/>
      <c r="R205" s="82">
        <v>7</v>
      </c>
      <c r="S205" s="22"/>
      <c r="T205" s="142"/>
      <c r="U205" s="138"/>
      <c r="V205" s="51"/>
    </row>
    <row r="206" spans="1:22" ht="20.100000000000001" customHeight="1" x14ac:dyDescent="0.3">
      <c r="A206" s="44">
        <v>198</v>
      </c>
      <c r="B206" s="22">
        <f>+'Order Details Apr25 - Mar26'!P206</f>
        <v>45958</v>
      </c>
      <c r="C206" s="23"/>
      <c r="D206" s="118" t="str">
        <f>+'Order Details Apr25 - Mar26'!T206</f>
        <v>B V Biocrop - Hitech Division</v>
      </c>
      <c r="E206" s="25"/>
      <c r="F206" s="183" t="str">
        <f>+'Order Details Apr25 - Mar26'!D206</f>
        <v>BV-CLO2 (10 Gram) TAB</v>
      </c>
      <c r="G206" s="184"/>
      <c r="H206" s="119">
        <f>+'Order Details Apr25 - Mar26'!H206</f>
        <v>1000</v>
      </c>
      <c r="I206" s="120" t="str">
        <f>+'Order Details Apr25 - Mar26'!I206</f>
        <v>Pcs</v>
      </c>
      <c r="J206" s="28"/>
      <c r="K206" s="204" t="str">
        <f>+'Order Details Apr25 - Mar26'!R206</f>
        <v>PO / NBF / 281025/ 100</v>
      </c>
      <c r="L206" s="205"/>
      <c r="M206" s="206"/>
      <c r="N206" s="27">
        <f>'Order Details Apr25 - Mar26'!F206*'Order Details Apr25 - Mar26'!N206</f>
        <v>23600</v>
      </c>
      <c r="O206" s="25"/>
      <c r="P206" s="22"/>
      <c r="Q206" s="26"/>
      <c r="R206" s="82">
        <v>7</v>
      </c>
      <c r="S206" s="22"/>
      <c r="T206" s="142"/>
      <c r="U206" s="138"/>
      <c r="V206" s="51"/>
    </row>
    <row r="207" spans="1:22" ht="20.100000000000001" customHeight="1" x14ac:dyDescent="0.3">
      <c r="A207" s="44">
        <v>199</v>
      </c>
      <c r="B207" s="22">
        <f>+'Order Details Apr25 - Mar26'!P207</f>
        <v>45958</v>
      </c>
      <c r="C207" s="23"/>
      <c r="D207" s="118" t="str">
        <f>+'Order Details Apr25 - Mar26'!T207</f>
        <v>B V Biocrop - Hitech Division</v>
      </c>
      <c r="E207" s="25"/>
      <c r="F207" s="183" t="str">
        <f>+'Order Details Apr25 - Mar26'!D207</f>
        <v>SAFEGARD (BV Biocrop)</v>
      </c>
      <c r="G207" s="184"/>
      <c r="H207" s="119">
        <f>+'Order Details Apr25 - Mar26'!H207</f>
        <v>100</v>
      </c>
      <c r="I207" s="120" t="str">
        <f>+'Order Details Apr25 - Mar26'!I207</f>
        <v>Ltr</v>
      </c>
      <c r="J207" s="28"/>
      <c r="K207" s="204" t="str">
        <f>+'Order Details Apr25 - Mar26'!R207</f>
        <v>PO / NBF / 281025/ 100</v>
      </c>
      <c r="L207" s="205"/>
      <c r="M207" s="206"/>
      <c r="N207" s="27">
        <f>'Order Details Apr25 - Mar26'!F207*'Order Details Apr25 - Mar26'!N207</f>
        <v>27659.200000000001</v>
      </c>
      <c r="O207" s="25"/>
      <c r="P207" s="22"/>
      <c r="Q207" s="26"/>
      <c r="R207" s="82">
        <v>7</v>
      </c>
      <c r="S207" s="22"/>
      <c r="T207" s="142"/>
      <c r="U207" s="138"/>
      <c r="V207" s="51"/>
    </row>
    <row r="208" spans="1:22" ht="20.100000000000001" customHeight="1" x14ac:dyDescent="0.3">
      <c r="A208" s="44">
        <v>200</v>
      </c>
      <c r="B208" s="22">
        <f>+'Order Details Apr25 - Mar26'!P208</f>
        <v>45958</v>
      </c>
      <c r="C208" s="23"/>
      <c r="D208" s="118" t="str">
        <f>+'Order Details Apr25 - Mar26'!T208</f>
        <v>Venkateshwara Marketing Hyd</v>
      </c>
      <c r="E208" s="25"/>
      <c r="F208" s="183" t="str">
        <f>+'Order Details Apr25 - Mar26'!D208</f>
        <v>Nobilis IB MA-5+Clone-30 Live Vac (MSD)</v>
      </c>
      <c r="G208" s="184"/>
      <c r="H208" s="119">
        <f>+'Order Details Apr25 - Mar26'!H208</f>
        <v>250000</v>
      </c>
      <c r="I208" s="120" t="str">
        <f>+'Order Details Apr25 - Mar26'!I208</f>
        <v>Dose</v>
      </c>
      <c r="J208" s="28"/>
      <c r="K208" s="204" t="str">
        <f>+'Order Details Apr25 - Mar26'!R208</f>
        <v>PO / NBF / 281025/ 101</v>
      </c>
      <c r="L208" s="205"/>
      <c r="M208" s="206"/>
      <c r="N208" s="27">
        <f>'Order Details Apr25 - Mar26'!F208*'Order Details Apr25 - Mar26'!N208</f>
        <v>91875</v>
      </c>
      <c r="O208" s="25"/>
      <c r="P208" s="22"/>
      <c r="Q208" s="26"/>
      <c r="R208" s="82">
        <v>45</v>
      </c>
      <c r="S208" s="22"/>
      <c r="T208" s="142"/>
      <c r="U208" s="138"/>
      <c r="V208" s="51"/>
    </row>
    <row r="209" spans="1:22" ht="20.100000000000001" customHeight="1" x14ac:dyDescent="0.3">
      <c r="A209" s="44">
        <v>201</v>
      </c>
      <c r="B209" s="22">
        <f>+'Order Details Apr25 - Mar26'!P209</f>
        <v>45958</v>
      </c>
      <c r="C209" s="23"/>
      <c r="D209" s="118" t="str">
        <f>+'Order Details Apr25 - Mar26'!T209</f>
        <v>Venkys India Limited - AHP Division</v>
      </c>
      <c r="E209" s="25"/>
      <c r="F209" s="183" t="str">
        <f>+'Order Details Apr25 - Mar26'!D209</f>
        <v>RESPOTYL-62.5% (AHP Division)</v>
      </c>
      <c r="G209" s="184"/>
      <c r="H209" s="119">
        <f>+'Order Details Apr25 - Mar26'!H209</f>
        <v>18000</v>
      </c>
      <c r="I209" s="120" t="str">
        <f>+'Order Details Apr25 - Mar26'!I209</f>
        <v>Gram</v>
      </c>
      <c r="J209" s="28"/>
      <c r="K209" s="204" t="str">
        <f>+'Order Details Apr25 - Mar26'!R209</f>
        <v>PO / NBF / 281025/ 102</v>
      </c>
      <c r="L209" s="205"/>
      <c r="M209" s="206"/>
      <c r="N209" s="27">
        <f>'Order Details Apr25 - Mar26'!F209*'Order Details Apr25 - Mar26'!N209</f>
        <v>309733.2</v>
      </c>
      <c r="O209" s="25"/>
      <c r="P209" s="22"/>
      <c r="Q209" s="26"/>
      <c r="R209" s="82">
        <v>7</v>
      </c>
      <c r="S209" s="22"/>
      <c r="T209" s="142"/>
      <c r="U209" s="138"/>
      <c r="V209" s="51"/>
    </row>
    <row r="210" spans="1:22" ht="20.100000000000001" customHeight="1" x14ac:dyDescent="0.3">
      <c r="A210" s="44">
        <v>202</v>
      </c>
      <c r="B210" s="22">
        <f>+'Order Details Apr25 - Mar26'!P210</f>
        <v>45966</v>
      </c>
      <c r="C210" s="23"/>
      <c r="D210" s="118" t="str">
        <f>+'Order Details Apr25 - Mar26'!T210</f>
        <v>Supreme Vet Chem Pvt Ltd Secunderabad</v>
      </c>
      <c r="E210" s="25"/>
      <c r="F210" s="183" t="str">
        <f>+'Order Details Apr25 - Mar26'!D210</f>
        <v>ANICHOL-60 (Jubilant)</v>
      </c>
      <c r="G210" s="184"/>
      <c r="H210" s="119">
        <f>+'Order Details Apr25 - Mar26'!H210</f>
        <v>700</v>
      </c>
      <c r="I210" s="120" t="str">
        <f>+'Order Details Apr25 - Mar26'!I210</f>
        <v>Kg</v>
      </c>
      <c r="J210" s="28"/>
      <c r="K210" s="204" t="str">
        <f>+'Order Details Apr25 - Mar26'!R210</f>
        <v>PO / NBF / 051125/ 103</v>
      </c>
      <c r="L210" s="205"/>
      <c r="M210" s="206"/>
      <c r="N210" s="27">
        <f>'Order Details Apr25 - Mar26'!F210*'Order Details Apr25 - Mar26'!N210</f>
        <v>77000</v>
      </c>
      <c r="O210" s="25"/>
      <c r="P210" s="22"/>
      <c r="Q210" s="26"/>
      <c r="R210" s="82">
        <v>0</v>
      </c>
      <c r="S210" s="22"/>
      <c r="T210" s="142"/>
      <c r="U210" s="138"/>
      <c r="V210" s="51"/>
    </row>
    <row r="211" spans="1:22" ht="20.100000000000001" customHeight="1" x14ac:dyDescent="0.3">
      <c r="A211" s="44">
        <v>203</v>
      </c>
      <c r="B211" s="22">
        <f>+'Order Details Apr25 - Mar26'!P211</f>
        <v>45983</v>
      </c>
      <c r="C211" s="23"/>
      <c r="D211" s="118" t="str">
        <f>+'Order Details Apr25 - Mar26'!T211</f>
        <v>Das Drug Centre Pvt Ltd, Habra</v>
      </c>
      <c r="E211" s="25"/>
      <c r="F211" s="183" t="str">
        <f>+'Order Details Apr25 - Mar26'!D211</f>
        <v>AMBIPLEX (Brihans)</v>
      </c>
      <c r="G211" s="184"/>
      <c r="H211" s="119">
        <f>+'Order Details Apr25 - Mar26'!H211</f>
        <v>100</v>
      </c>
      <c r="I211" s="120" t="str">
        <f>+'Order Details Apr25 - Mar26'!I211</f>
        <v>Ltr</v>
      </c>
      <c r="J211" s="28"/>
      <c r="K211" s="204" t="str">
        <f>+'Order Details Apr25 - Mar26'!R211</f>
        <v>PO / NBF / 221125/ 104</v>
      </c>
      <c r="L211" s="205"/>
      <c r="M211" s="206"/>
      <c r="N211" s="27">
        <f>'Order Details Apr25 - Mar26'!F211*'Order Details Apr25 - Mar26'!N211</f>
        <v>10300</v>
      </c>
      <c r="O211" s="25"/>
      <c r="P211" s="22"/>
      <c r="Q211" s="26"/>
      <c r="R211" s="82">
        <v>45</v>
      </c>
      <c r="S211" s="22"/>
      <c r="T211" s="142"/>
      <c r="U211" s="138"/>
      <c r="V211" s="51"/>
    </row>
    <row r="212" spans="1:22" ht="20.100000000000001" customHeight="1" x14ac:dyDescent="0.3">
      <c r="A212" s="44">
        <v>204</v>
      </c>
      <c r="B212" s="22">
        <f>+'Order Details Apr25 - Mar26'!P212</f>
        <v>45983</v>
      </c>
      <c r="C212" s="23"/>
      <c r="D212" s="118" t="str">
        <f>+'Order Details Apr25 - Mar26'!T212</f>
        <v>Das Drug Centre Pvt Ltd, Habra</v>
      </c>
      <c r="E212" s="25"/>
      <c r="F212" s="183" t="str">
        <f>+'Order Details Apr25 - Mar26'!D212</f>
        <v>FAMITONE (Zenex-AH)</v>
      </c>
      <c r="G212" s="184"/>
      <c r="H212" s="119">
        <f>+'Order Details Apr25 - Mar26'!H212</f>
        <v>96</v>
      </c>
      <c r="I212" s="120" t="str">
        <f>+'Order Details Apr25 - Mar26'!I212</f>
        <v>Ltr</v>
      </c>
      <c r="J212" s="28"/>
      <c r="K212" s="204" t="str">
        <f>+'Order Details Apr25 - Mar26'!R212</f>
        <v>PO / NBF / 221125/ 104</v>
      </c>
      <c r="L212" s="205"/>
      <c r="M212" s="206"/>
      <c r="N212" s="27">
        <f>'Order Details Apr25 - Mar26'!F212*'Order Details Apr25 - Mar26'!N212</f>
        <v>55680</v>
      </c>
      <c r="O212" s="25"/>
      <c r="P212" s="22"/>
      <c r="Q212" s="26"/>
      <c r="R212" s="82">
        <v>45</v>
      </c>
      <c r="S212" s="22"/>
      <c r="T212" s="142"/>
      <c r="U212" s="138"/>
      <c r="V212" s="51"/>
    </row>
    <row r="213" spans="1:22" ht="20.100000000000001" customHeight="1" x14ac:dyDescent="0.3">
      <c r="A213" s="44">
        <v>205</v>
      </c>
      <c r="B213" s="22">
        <f>+'Order Details Apr25 - Mar26'!P213</f>
        <v>45983</v>
      </c>
      <c r="C213" s="23"/>
      <c r="D213" s="118" t="str">
        <f>+'Order Details Apr25 - Mar26'!T213</f>
        <v>Izda Healthcare Ambala Cantonment</v>
      </c>
      <c r="E213" s="25"/>
      <c r="F213" s="183" t="str">
        <f>+'Order Details Apr25 - Mar26'!D213</f>
        <v>Deforce Injection (Izda Healthcare)</v>
      </c>
      <c r="G213" s="184"/>
      <c r="H213" s="119">
        <f>+'Order Details Apr25 - Mar26'!H213</f>
        <v>500</v>
      </c>
      <c r="I213" s="120" t="str">
        <f>+'Order Details Apr25 - Mar26'!I213</f>
        <v>Ml</v>
      </c>
      <c r="J213" s="28"/>
      <c r="K213" s="204" t="str">
        <f>+'Order Details Apr25 - Mar26'!R213</f>
        <v>PO / NBF / 221125/ 105</v>
      </c>
      <c r="L213" s="205"/>
      <c r="M213" s="206"/>
      <c r="N213" s="27">
        <f>'Order Details Apr25 - Mar26'!F213*'Order Details Apr25 - Mar26'!N213</f>
        <v>39375</v>
      </c>
      <c r="O213" s="25"/>
      <c r="P213" s="22"/>
      <c r="Q213" s="26"/>
      <c r="R213" s="82">
        <v>45</v>
      </c>
      <c r="S213" s="22"/>
      <c r="T213" s="142"/>
      <c r="U213" s="138"/>
      <c r="V213" s="51"/>
    </row>
    <row r="214" spans="1:22" ht="20.100000000000001" customHeight="1" x14ac:dyDescent="0.3">
      <c r="A214" s="44">
        <v>206</v>
      </c>
      <c r="B214" s="22">
        <f>+'Order Details Apr25 - Mar26'!P214</f>
        <v>45983</v>
      </c>
      <c r="C214" s="23"/>
      <c r="D214" s="118" t="str">
        <f>+'Order Details Apr25 - Mar26'!T214</f>
        <v>New Neela Traders Hyderabad</v>
      </c>
      <c r="E214" s="25"/>
      <c r="F214" s="183" t="str">
        <f>+'Order Details Apr25 - Mar26'!D214</f>
        <v>TOXI CARE PLUS (AY Herbocare)</v>
      </c>
      <c r="G214" s="184"/>
      <c r="H214" s="119">
        <f>+'Order Details Apr25 - Mar26'!H214</f>
        <v>100</v>
      </c>
      <c r="I214" s="120" t="str">
        <f>+'Order Details Apr25 - Mar26'!I214</f>
        <v>Ltr</v>
      </c>
      <c r="J214" s="28"/>
      <c r="K214" s="204" t="str">
        <f>+'Order Details Apr25 - Mar26'!R214</f>
        <v>PO / NBF / 221125/ 106</v>
      </c>
      <c r="L214" s="205"/>
      <c r="M214" s="206"/>
      <c r="N214" s="27">
        <f>'Order Details Apr25 - Mar26'!F214*'Order Details Apr25 - Mar26'!N214</f>
        <v>19000</v>
      </c>
      <c r="O214" s="25"/>
      <c r="P214" s="22"/>
      <c r="Q214" s="26"/>
      <c r="R214" s="82">
        <v>3</v>
      </c>
      <c r="S214" s="22"/>
      <c r="T214" s="142"/>
      <c r="U214" s="138"/>
      <c r="V214" s="51"/>
    </row>
    <row r="215" spans="1:22" ht="20.100000000000001" customHeight="1" x14ac:dyDescent="0.3">
      <c r="A215" s="44">
        <v>207</v>
      </c>
      <c r="B215" s="22">
        <f>+'Order Details Apr25 - Mar26'!P215</f>
        <v>45983</v>
      </c>
      <c r="C215" s="23"/>
      <c r="D215" s="118" t="str">
        <f>+'Order Details Apr25 - Mar26'!T215</f>
        <v>We Care Animal Health Bengal</v>
      </c>
      <c r="E215" s="25"/>
      <c r="F215" s="183" t="str">
        <f>+'Order Details Apr25 - Mar26'!D215</f>
        <v>FLYVIN (We Care Animal Health)</v>
      </c>
      <c r="G215" s="184"/>
      <c r="H215" s="119">
        <f>+'Order Details Apr25 - Mar26'!H215</f>
        <v>100</v>
      </c>
      <c r="I215" s="120" t="str">
        <f>+'Order Details Apr25 - Mar26'!I215</f>
        <v>Kg</v>
      </c>
      <c r="J215" s="28"/>
      <c r="K215" s="204" t="str">
        <f>+'Order Details Apr25 - Mar26'!R215</f>
        <v>PO / NBF / 221125/ 107</v>
      </c>
      <c r="L215" s="205"/>
      <c r="M215" s="206"/>
      <c r="N215" s="27">
        <f>'Order Details Apr25 - Mar26'!F215*'Order Details Apr25 - Mar26'!N215</f>
        <v>72000</v>
      </c>
      <c r="O215" s="25"/>
      <c r="P215" s="22"/>
      <c r="Q215" s="26"/>
      <c r="R215" s="82">
        <v>7</v>
      </c>
      <c r="S215" s="22"/>
      <c r="T215" s="142"/>
      <c r="U215" s="138"/>
      <c r="V215" s="51"/>
    </row>
    <row r="216" spans="1:22" ht="20.100000000000001" customHeight="1" x14ac:dyDescent="0.3">
      <c r="A216" s="44">
        <v>208</v>
      </c>
      <c r="B216" s="22">
        <f>+'Order Details Apr25 - Mar26'!P216</f>
        <v>45985</v>
      </c>
      <c r="C216" s="23"/>
      <c r="D216" s="118" t="str">
        <f>+'Order Details Apr25 - Mar26'!T216</f>
        <v>Hester Biosciences Ltd Hyderabad</v>
      </c>
      <c r="E216" s="25"/>
      <c r="F216" s="183" t="str">
        <f>+'Order Details Apr25 - Mar26'!D216</f>
        <v>Inactivated Pullet ND (LPAI) VAC</v>
      </c>
      <c r="G216" s="184"/>
      <c r="H216" s="119">
        <f>+'Order Details Apr25 - Mar26'!H216</f>
        <v>39000</v>
      </c>
      <c r="I216" s="120" t="str">
        <f>+'Order Details Apr25 - Mar26'!I216</f>
        <v>Dose</v>
      </c>
      <c r="J216" s="28"/>
      <c r="K216" s="204" t="str">
        <f>+'Order Details Apr25 - Mar26'!R216</f>
        <v>PO / NBF / 241125/ 108</v>
      </c>
      <c r="L216" s="205"/>
      <c r="M216" s="206"/>
      <c r="N216" s="27">
        <f>'Order Details Apr25 - Mar26'!F216*'Order Details Apr25 - Mar26'!N216</f>
        <v>36855.78</v>
      </c>
      <c r="O216" s="25"/>
      <c r="P216" s="22"/>
      <c r="Q216" s="26"/>
      <c r="R216" s="82">
        <v>7</v>
      </c>
      <c r="S216" s="22"/>
      <c r="T216" s="142"/>
      <c r="U216" s="138"/>
      <c r="V216" s="51"/>
    </row>
    <row r="217" spans="1:22" ht="20.100000000000001" customHeight="1" x14ac:dyDescent="0.3">
      <c r="A217" s="44">
        <v>209</v>
      </c>
      <c r="B217" s="22">
        <f>+'Order Details Apr25 - Mar26'!P217</f>
        <v>45985</v>
      </c>
      <c r="C217" s="23"/>
      <c r="D217" s="118" t="str">
        <f>+'Order Details Apr25 - Mar26'!T217</f>
        <v>Venkateshwara Hatcheries Ltd</v>
      </c>
      <c r="E217" s="25"/>
      <c r="F217" s="183" t="str">
        <f>+'Order Details Apr25 - Mar26'!D217</f>
        <v>ND (Lasota) Live Vaccine</v>
      </c>
      <c r="G217" s="184"/>
      <c r="H217" s="119">
        <f>+'Order Details Apr25 - Mar26'!H217</f>
        <v>200000</v>
      </c>
      <c r="I217" s="120" t="str">
        <f>+'Order Details Apr25 - Mar26'!I217</f>
        <v>Dose</v>
      </c>
      <c r="J217" s="28"/>
      <c r="K217" s="204" t="str">
        <f>+'Order Details Apr25 - Mar26'!R217</f>
        <v>PO / NBF / 241125/ 109</v>
      </c>
      <c r="L217" s="205"/>
      <c r="M217" s="206"/>
      <c r="N217" s="27">
        <f>'Order Details Apr25 - Mar26'!F217*'Order Details Apr25 - Mar26'!N217</f>
        <v>12600</v>
      </c>
      <c r="O217" s="25"/>
      <c r="P217" s="22"/>
      <c r="Q217" s="26"/>
      <c r="R217" s="82">
        <v>7</v>
      </c>
      <c r="S217" s="22"/>
      <c r="T217" s="142"/>
      <c r="U217" s="138"/>
      <c r="V217" s="51"/>
    </row>
    <row r="218" spans="1:22" ht="20.100000000000001" customHeight="1" x14ac:dyDescent="0.3">
      <c r="A218" s="44">
        <v>210</v>
      </c>
      <c r="B218" s="22">
        <f>+'Order Details Apr25 - Mar26'!P218</f>
        <v>45985</v>
      </c>
      <c r="C218" s="23"/>
      <c r="D218" s="118" t="str">
        <f>+'Order Details Apr25 - Mar26'!T218</f>
        <v>Venkateshwara Hatcheries Ltd</v>
      </c>
      <c r="E218" s="25"/>
      <c r="F218" s="183" t="str">
        <f>+'Order Details Apr25 - Mar26'!D218</f>
        <v>Sterile Diluent for Live Vaccine</v>
      </c>
      <c r="G218" s="184"/>
      <c r="H218" s="119">
        <f>+'Order Details Apr25 - Mar26'!H218</f>
        <v>6000</v>
      </c>
      <c r="I218" s="120" t="str">
        <f>+'Order Details Apr25 - Mar26'!I218</f>
        <v>Ml</v>
      </c>
      <c r="J218" s="28"/>
      <c r="K218" s="204" t="str">
        <f>+'Order Details Apr25 - Mar26'!R218</f>
        <v>PO / NBF / 241125/ 109</v>
      </c>
      <c r="L218" s="205"/>
      <c r="M218" s="206"/>
      <c r="N218" s="27">
        <f>'Order Details Apr25 - Mar26'!F218*'Order Details Apr25 - Mar26'!N218</f>
        <v>367.5</v>
      </c>
      <c r="O218" s="25"/>
      <c r="P218" s="22"/>
      <c r="Q218" s="26"/>
      <c r="R218" s="82">
        <v>7</v>
      </c>
      <c r="S218" s="22"/>
      <c r="T218" s="142"/>
      <c r="U218" s="138"/>
      <c r="V218" s="51"/>
    </row>
    <row r="219" spans="1:22" ht="20.100000000000001" customHeight="1" x14ac:dyDescent="0.3">
      <c r="A219" s="44">
        <v>211</v>
      </c>
      <c r="B219" s="22">
        <f>+'Order Details Apr25 - Mar26'!P219</f>
        <v>45985</v>
      </c>
      <c r="C219" s="23"/>
      <c r="D219" s="118" t="str">
        <f>+'Order Details Apr25 - Mar26'!T219</f>
        <v>Venkateshwara Marketing Hyd</v>
      </c>
      <c r="E219" s="25"/>
      <c r="F219" s="183" t="str">
        <f>+'Order Details Apr25 - Mar26'!D219</f>
        <v>Nobilis IB MA-5 Live Vaccine (MSD)</v>
      </c>
      <c r="G219" s="184"/>
      <c r="H219" s="119">
        <f>+'Order Details Apr25 - Mar26'!H219</f>
        <v>100000</v>
      </c>
      <c r="I219" s="120" t="str">
        <f>+'Order Details Apr25 - Mar26'!I219</f>
        <v>Dose</v>
      </c>
      <c r="J219" s="28"/>
      <c r="K219" s="204" t="str">
        <f>+'Order Details Apr25 - Mar26'!R219</f>
        <v>PO / NBF / 241125/ 110</v>
      </c>
      <c r="L219" s="205"/>
      <c r="M219" s="206"/>
      <c r="N219" s="27">
        <f>'Order Details Apr25 - Mar26'!F219*'Order Details Apr25 - Mar26'!N219</f>
        <v>50400</v>
      </c>
      <c r="O219" s="25"/>
      <c r="P219" s="22"/>
      <c r="Q219" s="26"/>
      <c r="R219" s="82">
        <v>7</v>
      </c>
      <c r="S219" s="22"/>
      <c r="T219" s="142"/>
      <c r="U219" s="138"/>
      <c r="V219" s="51"/>
    </row>
    <row r="220" spans="1:22" ht="20.100000000000001" customHeight="1" x14ac:dyDescent="0.3">
      <c r="A220" s="44">
        <v>212</v>
      </c>
      <c r="B220" s="22">
        <f>+'Order Details Apr25 - Mar26'!P220</f>
        <v>45985</v>
      </c>
      <c r="C220" s="23"/>
      <c r="D220" s="118" t="str">
        <f>+'Order Details Apr25 - Mar26'!T220</f>
        <v>Venkys India Limited - AHP Division</v>
      </c>
      <c r="E220" s="25"/>
      <c r="F220" s="183" t="str">
        <f>+'Order Details Apr25 - Mar26'!D220</f>
        <v>RESPOTYL-62.5% (AHP Division)</v>
      </c>
      <c r="G220" s="184"/>
      <c r="H220" s="119">
        <f>+'Order Details Apr25 - Mar26'!H220</f>
        <v>12000</v>
      </c>
      <c r="I220" s="120" t="str">
        <f>+'Order Details Apr25 - Mar26'!I220</f>
        <v>Gram</v>
      </c>
      <c r="J220" s="28"/>
      <c r="K220" s="204" t="str">
        <f>+'Order Details Apr25 - Mar26'!R220</f>
        <v>PO / NBF / 241125/ 111</v>
      </c>
      <c r="L220" s="205"/>
      <c r="M220" s="206"/>
      <c r="N220" s="27">
        <f>'Order Details Apr25 - Mar26'!F220*'Order Details Apr25 - Mar26'!N220</f>
        <v>206488.80000000002</v>
      </c>
      <c r="O220" s="25"/>
      <c r="P220" s="22"/>
      <c r="Q220" s="26"/>
      <c r="R220" s="82">
        <v>7</v>
      </c>
      <c r="S220" s="22"/>
      <c r="T220" s="142"/>
      <c r="U220" s="138"/>
      <c r="V220" s="51"/>
    </row>
    <row r="221" spans="1:22" ht="20.100000000000001" customHeight="1" x14ac:dyDescent="0.3">
      <c r="A221" s="44">
        <v>213</v>
      </c>
      <c r="B221" s="22">
        <f>+'Order Details Apr25 - Mar26'!P221</f>
        <v>45995</v>
      </c>
      <c r="C221" s="23"/>
      <c r="D221" s="118" t="str">
        <f>+'Order Details Apr25 - Mar26'!T221</f>
        <v>Trouw Nutrition India Pvt Ltd</v>
      </c>
      <c r="E221" s="25"/>
      <c r="F221" s="183" t="str">
        <f>+'Order Details Apr25 - Mar26'!D221</f>
        <v>BDR MIN HTF(Inorganic Trace Mineral)</v>
      </c>
      <c r="G221" s="184"/>
      <c r="H221" s="119">
        <f>+'Order Details Apr25 - Mar26'!H221</f>
        <v>1000</v>
      </c>
      <c r="I221" s="120" t="str">
        <f>+'Order Details Apr25 - Mar26'!I221</f>
        <v xml:space="preserve"> Kg </v>
      </c>
      <c r="J221" s="28"/>
      <c r="K221" s="204" t="str">
        <f>+'Order Details Apr25 - Mar26'!R221</f>
        <v>PO / NBF / 041225/ 112</v>
      </c>
      <c r="L221" s="205"/>
      <c r="M221" s="206"/>
      <c r="N221" s="27">
        <f>'Order Details Apr25 - Mar26'!F221*'Order Details Apr25 - Mar26'!N221</f>
        <v>116000</v>
      </c>
      <c r="O221" s="25"/>
      <c r="P221" s="22"/>
      <c r="Q221" s="26"/>
      <c r="R221" s="82">
        <v>45</v>
      </c>
      <c r="S221" s="22"/>
      <c r="T221" s="142"/>
      <c r="U221" s="138"/>
      <c r="V221" s="51"/>
    </row>
    <row r="222" spans="1:22" ht="20.100000000000001" customHeight="1" x14ac:dyDescent="0.3">
      <c r="A222" s="44">
        <v>214</v>
      </c>
      <c r="B222" s="22">
        <f>+'Order Details Apr25 - Mar26'!P222</f>
        <v>45995</v>
      </c>
      <c r="C222" s="23"/>
      <c r="D222" s="118" t="str">
        <f>+'Order Details Apr25 - Mar26'!T222</f>
        <v>Varsha Multitech Bangalore</v>
      </c>
      <c r="E222" s="25"/>
      <c r="F222" s="183" t="str">
        <f>+'Order Details Apr25 - Mar26'!D222</f>
        <v>HEPATOCARE PREMIX (Varsha)</v>
      </c>
      <c r="G222" s="184"/>
      <c r="H222" s="119">
        <f>+'Order Details Apr25 - Mar26'!H222</f>
        <v>1000</v>
      </c>
      <c r="I222" s="120" t="str">
        <f>+'Order Details Apr25 - Mar26'!I222</f>
        <v>Kg</v>
      </c>
      <c r="J222" s="28"/>
      <c r="K222" s="204" t="str">
        <f>+'Order Details Apr25 - Mar26'!R222</f>
        <v>PO / NBF / 041225/ 113</v>
      </c>
      <c r="L222" s="205"/>
      <c r="M222" s="206"/>
      <c r="N222" s="27">
        <f>'Order Details Apr25 - Mar26'!F222*'Order Details Apr25 - Mar26'!N222</f>
        <v>60000</v>
      </c>
      <c r="O222" s="25"/>
      <c r="P222" s="22"/>
      <c r="Q222" s="26"/>
      <c r="R222" s="82">
        <v>45</v>
      </c>
      <c r="S222" s="22"/>
      <c r="T222" s="142"/>
      <c r="U222" s="138"/>
      <c r="V222" s="51"/>
    </row>
    <row r="223" spans="1:22" ht="20.100000000000001" customHeight="1" x14ac:dyDescent="0.3">
      <c r="A223" s="44">
        <v>215</v>
      </c>
      <c r="B223" s="22">
        <f>+'Order Details Apr25 - Mar26'!P223</f>
        <v>46008</v>
      </c>
      <c r="C223" s="23"/>
      <c r="D223" s="118" t="str">
        <f>+'Order Details Apr25 - Mar26'!T223</f>
        <v>Bengal Agrovet Pvt Ltd Kolkata</v>
      </c>
      <c r="E223" s="25"/>
      <c r="F223" s="183" t="str">
        <f>+'Order Details Apr25 - Mar26'!D223</f>
        <v>SAF MANANS (Phileo)</v>
      </c>
      <c r="G223" s="184"/>
      <c r="H223" s="119">
        <f>+'Order Details Apr25 - Mar26'!H223</f>
        <v>150</v>
      </c>
      <c r="I223" s="120" t="str">
        <f>+'Order Details Apr25 - Mar26'!I223</f>
        <v>Kg</v>
      </c>
      <c r="J223" s="28"/>
      <c r="K223" s="204" t="str">
        <f>+'Order Details Apr25 - Mar26'!R223</f>
        <v>PO / NBF / 171225/ 114</v>
      </c>
      <c r="L223" s="205"/>
      <c r="M223" s="206"/>
      <c r="N223" s="27">
        <f>'Order Details Apr25 - Mar26'!F223*'Order Details Apr25 - Mar26'!N223</f>
        <v>63000</v>
      </c>
      <c r="O223" s="25"/>
      <c r="P223" s="22"/>
      <c r="Q223" s="26"/>
      <c r="R223" s="82">
        <v>7</v>
      </c>
      <c r="S223" s="22"/>
      <c r="T223" s="142"/>
      <c r="U223" s="138"/>
      <c r="V223" s="51"/>
    </row>
    <row r="224" spans="1:22" ht="20.100000000000001" customHeight="1" x14ac:dyDescent="0.3">
      <c r="A224" s="44">
        <v>216</v>
      </c>
      <c r="B224" s="22">
        <f>+'Order Details Apr25 - Mar26'!P224</f>
        <v>46008</v>
      </c>
      <c r="C224" s="23"/>
      <c r="D224" s="118" t="str">
        <f>+'Order Details Apr25 - Mar26'!T224</f>
        <v>Global Chemicals Ltd Kolkata</v>
      </c>
      <c r="E224" s="25"/>
      <c r="F224" s="183" t="str">
        <f>+'Order Details Apr25 - Mar26'!D224</f>
        <v>ROVIMIX OVN BREEDER Hy-D VP (DSM)</v>
      </c>
      <c r="G224" s="184"/>
      <c r="H224" s="119">
        <f>+'Order Details Apr25 - Mar26'!H224</f>
        <v>1000</v>
      </c>
      <c r="I224" s="120" t="str">
        <f>+'Order Details Apr25 - Mar26'!I224</f>
        <v>Kg</v>
      </c>
      <c r="J224" s="28"/>
      <c r="K224" s="204" t="str">
        <f>+'Order Details Apr25 - Mar26'!R224</f>
        <v>PO / NBF / 171225/ 115</v>
      </c>
      <c r="L224" s="205"/>
      <c r="M224" s="206"/>
      <c r="N224" s="27">
        <f>'Order Details Apr25 - Mar26'!F224*'Order Details Apr25 - Mar26'!N224</f>
        <v>820000</v>
      </c>
      <c r="O224" s="25"/>
      <c r="P224" s="22"/>
      <c r="Q224" s="26"/>
      <c r="R224" s="82">
        <v>15</v>
      </c>
      <c r="S224" s="22"/>
      <c r="T224" s="142"/>
      <c r="U224" s="138"/>
      <c r="V224" s="51"/>
    </row>
    <row r="225" spans="1:22" ht="20.100000000000001" customHeight="1" x14ac:dyDescent="0.3">
      <c r="A225" s="44">
        <v>217</v>
      </c>
      <c r="B225" s="22">
        <f>+'Order Details Apr25 - Mar26'!P225</f>
        <v>46008</v>
      </c>
      <c r="C225" s="23"/>
      <c r="D225" s="118" t="str">
        <f>+'Order Details Apr25 - Mar26'!T225</f>
        <v>Kemin Industries South Asia</v>
      </c>
      <c r="E225" s="25"/>
      <c r="F225" s="183" t="str">
        <f>+'Order Details Apr25 - Mar26'!D225</f>
        <v>BUTI PEARL (Kemin)</v>
      </c>
      <c r="G225" s="184"/>
      <c r="H225" s="119">
        <f>+'Order Details Apr25 - Mar26'!H225</f>
        <v>600</v>
      </c>
      <c r="I225" s="120" t="str">
        <f>+'Order Details Apr25 - Mar26'!I225</f>
        <v>Kg</v>
      </c>
      <c r="J225" s="28"/>
      <c r="K225" s="204" t="str">
        <f>+'Order Details Apr25 - Mar26'!R225</f>
        <v>PO / NBF / 171225/ 116</v>
      </c>
      <c r="L225" s="205"/>
      <c r="M225" s="206"/>
      <c r="N225" s="27">
        <f>'Order Details Apr25 - Mar26'!F225*'Order Details Apr25 - Mar26'!N225</f>
        <v>234000</v>
      </c>
      <c r="O225" s="25"/>
      <c r="P225" s="22"/>
      <c r="Q225" s="26"/>
      <c r="R225" s="82">
        <v>30</v>
      </c>
      <c r="S225" s="22"/>
      <c r="T225" s="142"/>
      <c r="U225" s="138"/>
      <c r="V225" s="51"/>
    </row>
    <row r="226" spans="1:22" ht="20.100000000000001" customHeight="1" x14ac:dyDescent="0.3">
      <c r="A226" s="44">
        <v>218</v>
      </c>
      <c r="B226" s="22">
        <f>+'Order Details Apr25 - Mar26'!P226</f>
        <v>46008</v>
      </c>
      <c r="C226" s="23"/>
      <c r="D226" s="118" t="str">
        <f>+'Order Details Apr25 - Mar26'!T226</f>
        <v>Kemin Industries South Asia</v>
      </c>
      <c r="E226" s="25"/>
      <c r="F226" s="183" t="str">
        <f>+'Order Details Apr25 - Mar26'!D226</f>
        <v>ENDOX-T DRY (Kemin)</v>
      </c>
      <c r="G226" s="184"/>
      <c r="H226" s="119">
        <f>+'Order Details Apr25 - Mar26'!H226</f>
        <v>250</v>
      </c>
      <c r="I226" s="120" t="str">
        <f>+'Order Details Apr25 - Mar26'!I226</f>
        <v>Kg</v>
      </c>
      <c r="J226" s="28"/>
      <c r="K226" s="204" t="str">
        <f>+'Order Details Apr25 - Mar26'!R226</f>
        <v>PO / NBF / 171225/ 116</v>
      </c>
      <c r="L226" s="205"/>
      <c r="M226" s="206"/>
      <c r="N226" s="27">
        <f>'Order Details Apr25 - Mar26'!F226*'Order Details Apr25 - Mar26'!N226</f>
        <v>26250</v>
      </c>
      <c r="O226" s="25"/>
      <c r="P226" s="22"/>
      <c r="Q226" s="26"/>
      <c r="R226" s="82">
        <v>30</v>
      </c>
      <c r="S226" s="22"/>
      <c r="T226" s="142"/>
      <c r="U226" s="138"/>
      <c r="V226" s="51"/>
    </row>
    <row r="227" spans="1:22" ht="20.100000000000001" customHeight="1" x14ac:dyDescent="0.3">
      <c r="A227" s="44">
        <v>219</v>
      </c>
      <c r="B227" s="22">
        <f>+'Order Details Apr25 - Mar26'!P227</f>
        <v>46008</v>
      </c>
      <c r="C227" s="23"/>
      <c r="D227" s="118" t="str">
        <f>+'Order Details Apr25 - Mar26'!T227</f>
        <v>Kemin Industries South Asia</v>
      </c>
      <c r="E227" s="25"/>
      <c r="F227" s="183" t="str">
        <f>+'Order Details Apr25 - Mar26'!D227</f>
        <v>KEMTRACE SUPREME (Kemin)</v>
      </c>
      <c r="G227" s="184"/>
      <c r="H227" s="119">
        <f>+'Order Details Apr25 - Mar26'!H227</f>
        <v>1000</v>
      </c>
      <c r="I227" s="120" t="str">
        <f>+'Order Details Apr25 - Mar26'!I227</f>
        <v>Kg</v>
      </c>
      <c r="J227" s="28"/>
      <c r="K227" s="204" t="str">
        <f>+'Order Details Apr25 - Mar26'!R227</f>
        <v>PO / NBF / 171225/ 116</v>
      </c>
      <c r="L227" s="205"/>
      <c r="M227" s="206"/>
      <c r="N227" s="27">
        <f>'Order Details Apr25 - Mar26'!F227*'Order Details Apr25 - Mar26'!N227</f>
        <v>260000</v>
      </c>
      <c r="O227" s="25"/>
      <c r="P227" s="22"/>
      <c r="Q227" s="26"/>
      <c r="R227" s="82">
        <v>30</v>
      </c>
      <c r="S227" s="22"/>
      <c r="T227" s="142"/>
      <c r="U227" s="138"/>
      <c r="V227" s="51"/>
    </row>
    <row r="228" spans="1:22" ht="20.100000000000001" customHeight="1" x14ac:dyDescent="0.3">
      <c r="A228" s="44">
        <v>220</v>
      </c>
      <c r="B228" s="22">
        <f>+'Order Details Apr25 - Mar26'!P228</f>
        <v>46008</v>
      </c>
      <c r="C228" s="23"/>
      <c r="D228" s="118" t="str">
        <f>+'Order Details Apr25 - Mar26'!T228</f>
        <v>Kemin Industries South Asia</v>
      </c>
      <c r="E228" s="25"/>
      <c r="F228" s="183" t="str">
        <f>+'Order Details Apr25 - Mar26'!D228</f>
        <v>KEMZYME PROTEASE (Kemin)</v>
      </c>
      <c r="G228" s="184"/>
      <c r="H228" s="119">
        <f>+'Order Details Apr25 - Mar26'!H228</f>
        <v>300</v>
      </c>
      <c r="I228" s="120" t="str">
        <f>+'Order Details Apr25 - Mar26'!I228</f>
        <v>Kg</v>
      </c>
      <c r="J228" s="28"/>
      <c r="K228" s="204" t="str">
        <f>+'Order Details Apr25 - Mar26'!R228</f>
        <v>PO / NBF / 171225/ 116</v>
      </c>
      <c r="L228" s="205"/>
      <c r="M228" s="206"/>
      <c r="N228" s="27">
        <f>'Order Details Apr25 - Mar26'!F228*'Order Details Apr25 - Mar26'!N228</f>
        <v>135000</v>
      </c>
      <c r="O228" s="25"/>
      <c r="P228" s="22"/>
      <c r="Q228" s="26"/>
      <c r="R228" s="82">
        <v>30</v>
      </c>
      <c r="S228" s="22"/>
      <c r="T228" s="142"/>
      <c r="U228" s="138"/>
      <c r="V228" s="51"/>
    </row>
    <row r="229" spans="1:22" ht="20.100000000000001" customHeight="1" x14ac:dyDescent="0.3">
      <c r="A229" s="44">
        <v>221</v>
      </c>
      <c r="B229" s="22">
        <f>+'Order Details Apr25 - Mar26'!P229</f>
        <v>46008</v>
      </c>
      <c r="C229" s="23"/>
      <c r="D229" s="118" t="str">
        <f>+'Order Details Apr25 - Mar26'!T229</f>
        <v>Kemin Industries South Asia</v>
      </c>
      <c r="E229" s="25"/>
      <c r="F229" s="183" t="str">
        <f>+'Order Details Apr25 - Mar26'!D229</f>
        <v>PHYGEST-10000 (Kemin)</v>
      </c>
      <c r="G229" s="184"/>
      <c r="H229" s="119">
        <f>+'Order Details Apr25 - Mar26'!H229</f>
        <v>100</v>
      </c>
      <c r="I229" s="120" t="str">
        <f>+'Order Details Apr25 - Mar26'!I229</f>
        <v>Kg</v>
      </c>
      <c r="J229" s="28"/>
      <c r="K229" s="204" t="str">
        <f>+'Order Details Apr25 - Mar26'!R229</f>
        <v>PO / NBF / 171225/ 116</v>
      </c>
      <c r="L229" s="205"/>
      <c r="M229" s="206"/>
      <c r="N229" s="27">
        <f>'Order Details Apr25 - Mar26'!F229*'Order Details Apr25 - Mar26'!N229</f>
        <v>45000</v>
      </c>
      <c r="O229" s="25"/>
      <c r="P229" s="22"/>
      <c r="Q229" s="26"/>
      <c r="R229" s="82">
        <v>30</v>
      </c>
      <c r="S229" s="22"/>
      <c r="T229" s="142"/>
      <c r="U229" s="138"/>
      <c r="V229" s="51"/>
    </row>
    <row r="230" spans="1:22" ht="20.100000000000001" customHeight="1" x14ac:dyDescent="0.3">
      <c r="A230" s="44">
        <v>222</v>
      </c>
      <c r="B230" s="22">
        <f>+'Order Details Apr25 - Mar26'!P230</f>
        <v>46008</v>
      </c>
      <c r="C230" s="23"/>
      <c r="D230" s="118" t="str">
        <f>+'Order Details Apr25 - Mar26'!T230</f>
        <v>Kemin Industries South Asia</v>
      </c>
      <c r="E230" s="25"/>
      <c r="F230" s="183" t="str">
        <f>+'Order Details Apr25 - Mar26'!D230</f>
        <v>TOXFIN-360 DRY (Kemin)</v>
      </c>
      <c r="G230" s="184"/>
      <c r="H230" s="119">
        <f>+'Order Details Apr25 - Mar26'!H230</f>
        <v>1500</v>
      </c>
      <c r="I230" s="120" t="str">
        <f>+'Order Details Apr25 - Mar26'!I230</f>
        <v>Kg</v>
      </c>
      <c r="J230" s="28"/>
      <c r="K230" s="204" t="str">
        <f>+'Order Details Apr25 - Mar26'!R230</f>
        <v>PO / NBF / 171225/ 116</v>
      </c>
      <c r="L230" s="205"/>
      <c r="M230" s="206"/>
      <c r="N230" s="27">
        <f>'Order Details Apr25 - Mar26'!F230*'Order Details Apr25 - Mar26'!N230</f>
        <v>202500</v>
      </c>
      <c r="O230" s="25"/>
      <c r="P230" s="22"/>
      <c r="Q230" s="26"/>
      <c r="R230" s="82">
        <v>30</v>
      </c>
      <c r="S230" s="22"/>
      <c r="T230" s="142"/>
      <c r="U230" s="138"/>
      <c r="V230" s="51"/>
    </row>
    <row r="231" spans="1:22" ht="20.100000000000001" customHeight="1" x14ac:dyDescent="0.3">
      <c r="A231" s="44">
        <v>223</v>
      </c>
      <c r="B231" s="22">
        <f>+'Order Details Apr25 - Mar26'!P231</f>
        <v>46008</v>
      </c>
      <c r="C231" s="23"/>
      <c r="D231" s="118" t="str">
        <f>+'Order Details Apr25 - Mar26'!T231</f>
        <v>More Than Solutions Pvt Ltd HYD</v>
      </c>
      <c r="E231" s="25"/>
      <c r="F231" s="183" t="str">
        <f>+'Order Details Apr25 - Mar26'!D231</f>
        <v>AMINO GABA-20% (CP Bio)</v>
      </c>
      <c r="G231" s="184"/>
      <c r="H231" s="119">
        <f>+'Order Details Apr25 - Mar26'!H231</f>
        <v>350</v>
      </c>
      <c r="I231" s="120" t="str">
        <f>+'Order Details Apr25 - Mar26'!I231</f>
        <v>Kg</v>
      </c>
      <c r="J231" s="28"/>
      <c r="K231" s="204" t="str">
        <f>+'Order Details Apr25 - Mar26'!R231</f>
        <v>PO / NBF / 171225/ 117</v>
      </c>
      <c r="L231" s="205"/>
      <c r="M231" s="206"/>
      <c r="N231" s="27">
        <f>'Order Details Apr25 - Mar26'!F231*'Order Details Apr25 - Mar26'!N231</f>
        <v>126000</v>
      </c>
      <c r="O231" s="25"/>
      <c r="P231" s="22"/>
      <c r="Q231" s="26"/>
      <c r="R231" s="82">
        <v>7</v>
      </c>
      <c r="S231" s="22"/>
      <c r="T231" s="142"/>
      <c r="U231" s="138"/>
      <c r="V231" s="51"/>
    </row>
    <row r="232" spans="1:22" ht="20.100000000000001" customHeight="1" x14ac:dyDescent="0.3">
      <c r="A232" s="44">
        <v>224</v>
      </c>
      <c r="B232" s="22">
        <f>+'Order Details Apr25 - Mar26'!P232</f>
        <v>46008</v>
      </c>
      <c r="C232" s="23"/>
      <c r="D232" s="118" t="str">
        <f>+'Order Details Apr25 - Mar26'!T232</f>
        <v>More Than Solutions Pvt Ltd HYD</v>
      </c>
      <c r="E232" s="25"/>
      <c r="F232" s="183" t="str">
        <f>+'Order Details Apr25 - Mar26'!D232</f>
        <v>CITIFAC (Chlortetracyclin-15%)</v>
      </c>
      <c r="G232" s="184"/>
      <c r="H232" s="119">
        <f>+'Order Details Apr25 - Mar26'!H232</f>
        <v>375</v>
      </c>
      <c r="I232" s="120" t="str">
        <f>+'Order Details Apr25 - Mar26'!I232</f>
        <v>Kg</v>
      </c>
      <c r="J232" s="28"/>
      <c r="K232" s="204" t="str">
        <f>+'Order Details Apr25 - Mar26'!R232</f>
        <v>PO / NBF / 171225/ 117</v>
      </c>
      <c r="L232" s="205"/>
      <c r="M232" s="206"/>
      <c r="N232" s="27">
        <f>'Order Details Apr25 - Mar26'!F232*'Order Details Apr25 - Mar26'!N232</f>
        <v>87375</v>
      </c>
      <c r="O232" s="25"/>
      <c r="P232" s="22"/>
      <c r="Q232" s="26"/>
      <c r="R232" s="82">
        <v>7</v>
      </c>
      <c r="S232" s="22"/>
      <c r="T232" s="142"/>
      <c r="U232" s="138"/>
      <c r="V232" s="51"/>
    </row>
    <row r="233" spans="1:22" ht="20.100000000000001" customHeight="1" x14ac:dyDescent="0.3">
      <c r="A233" s="44">
        <v>225</v>
      </c>
      <c r="B233" s="22">
        <f>+'Order Details Apr25 - Mar26'!P233</f>
        <v>46008</v>
      </c>
      <c r="C233" s="23"/>
      <c r="D233" s="118" t="str">
        <f>+'Order Details Apr25 - Mar26'!T233</f>
        <v>Ravioza Biotech, Indore MP</v>
      </c>
      <c r="E233" s="25"/>
      <c r="F233" s="183" t="str">
        <f>+'Order Details Apr25 - Mar26'!D233</f>
        <v>NEOLINC (Lincomycin+Neomycin-10%)</v>
      </c>
      <c r="G233" s="184"/>
      <c r="H233" s="119">
        <f>+'Order Details Apr25 - Mar26'!H233</f>
        <v>250</v>
      </c>
      <c r="I233" s="120" t="str">
        <f>+'Order Details Apr25 - Mar26'!I233</f>
        <v>Kg</v>
      </c>
      <c r="J233" s="28"/>
      <c r="K233" s="204" t="str">
        <f>+'Order Details Apr25 - Mar26'!R233</f>
        <v>PO / NBF / 171225/ 118</v>
      </c>
      <c r="L233" s="205"/>
      <c r="M233" s="206"/>
      <c r="N233" s="27">
        <f>'Order Details Apr25 - Mar26'!F233*'Order Details Apr25 - Mar26'!N233</f>
        <v>212500</v>
      </c>
      <c r="O233" s="25"/>
      <c r="P233" s="22"/>
      <c r="Q233" s="26"/>
      <c r="R233" s="82">
        <v>1</v>
      </c>
      <c r="S233" s="22"/>
      <c r="T233" s="142"/>
      <c r="U233" s="138"/>
      <c r="V233" s="51"/>
    </row>
    <row r="234" spans="1:22" ht="20.100000000000001" customHeight="1" x14ac:dyDescent="0.3">
      <c r="A234" s="44">
        <v>226</v>
      </c>
      <c r="B234" s="22">
        <f>+'Order Details Apr25 - Mar26'!P234</f>
        <v>46008</v>
      </c>
      <c r="C234" s="23"/>
      <c r="D234" s="118" t="str">
        <f>+'Order Details Apr25 - Mar26'!T234</f>
        <v>Supreme Vet Chem Pvt Ltd Secunderabad</v>
      </c>
      <c r="E234" s="25"/>
      <c r="F234" s="183" t="str">
        <f>+'Order Details Apr25 - Mar26'!D234</f>
        <v>ANICHOL-60 (Jubilant)</v>
      </c>
      <c r="G234" s="184"/>
      <c r="H234" s="119">
        <f>+'Order Details Apr25 - Mar26'!H234</f>
        <v>1500</v>
      </c>
      <c r="I234" s="120" t="str">
        <f>+'Order Details Apr25 - Mar26'!I234</f>
        <v>Kg</v>
      </c>
      <c r="J234" s="28"/>
      <c r="K234" s="204" t="str">
        <f>+'Order Details Apr25 - Mar26'!R234</f>
        <v>PO / NBF / 171225/ 119</v>
      </c>
      <c r="L234" s="205"/>
      <c r="M234" s="206"/>
      <c r="N234" s="27">
        <f>'Order Details Apr25 - Mar26'!F234*'Order Details Apr25 - Mar26'!N234</f>
        <v>165000</v>
      </c>
      <c r="O234" s="25"/>
      <c r="P234" s="22"/>
      <c r="Q234" s="26"/>
      <c r="R234" s="82">
        <v>0</v>
      </c>
      <c r="S234" s="22"/>
      <c r="T234" s="142"/>
      <c r="U234" s="138"/>
      <c r="V234" s="51"/>
    </row>
    <row r="235" spans="1:22" ht="20.100000000000001" customHeight="1" x14ac:dyDescent="0.3">
      <c r="A235" s="44">
        <v>227</v>
      </c>
      <c r="B235" s="22">
        <f>+'Order Details Apr25 - Mar26'!P235</f>
        <v>46009</v>
      </c>
      <c r="C235" s="23"/>
      <c r="D235" s="118" t="str">
        <f>+'Order Details Apr25 - Mar26'!T235</f>
        <v>Jeco Nutri Products Pvt Ltd Kolkata</v>
      </c>
      <c r="E235" s="25"/>
      <c r="F235" s="183" t="str">
        <f>+'Order Details Apr25 - Mar26'!D235</f>
        <v>MICROVIT-C 35% (Adisseo)</v>
      </c>
      <c r="G235" s="184"/>
      <c r="H235" s="119">
        <f>+'Order Details Apr25 - Mar26'!H235</f>
        <v>250</v>
      </c>
      <c r="I235" s="120" t="str">
        <f>+'Order Details Apr25 - Mar26'!I235</f>
        <v>Kg</v>
      </c>
      <c r="J235" s="28"/>
      <c r="K235" s="204" t="str">
        <f>+'Order Details Apr25 - Mar26'!R235</f>
        <v>PO / NBF / 181225/ 120</v>
      </c>
      <c r="L235" s="205"/>
      <c r="M235" s="206"/>
      <c r="N235" s="27">
        <f>'Order Details Apr25 - Mar26'!F235*'Order Details Apr25 - Mar26'!N235</f>
        <v>75000</v>
      </c>
      <c r="O235" s="25"/>
      <c r="P235" s="22"/>
      <c r="Q235" s="26"/>
      <c r="R235" s="82">
        <v>45</v>
      </c>
      <c r="S235" s="22"/>
      <c r="T235" s="142"/>
      <c r="U235" s="138"/>
      <c r="V235" s="51"/>
    </row>
    <row r="236" spans="1:22" ht="20.100000000000001" customHeight="1" x14ac:dyDescent="0.3">
      <c r="A236" s="44">
        <v>228</v>
      </c>
      <c r="B236" s="22">
        <f>+'Order Details Apr25 - Mar26'!P236</f>
        <v>46021</v>
      </c>
      <c r="C236" s="23"/>
      <c r="D236" s="118" t="str">
        <f>+'Order Details Apr25 - Mar26'!T236</f>
        <v>B V Biocrop - Hitech Division</v>
      </c>
      <c r="E236" s="25"/>
      <c r="F236" s="183" t="str">
        <f>+'Order Details Apr25 - Mar26'!D236</f>
        <v>AQUAMAX (BV Biocrop)</v>
      </c>
      <c r="G236" s="184"/>
      <c r="H236" s="119">
        <f>+'Order Details Apr25 - Mar26'!H236</f>
        <v>100</v>
      </c>
      <c r="I236" s="120" t="str">
        <f>+'Order Details Apr25 - Mar26'!I236</f>
        <v>Ltr</v>
      </c>
      <c r="J236" s="28"/>
      <c r="K236" s="204" t="str">
        <f>+'Order Details Apr25 - Mar26'!R236</f>
        <v>PO / NBF / 301225/ 121</v>
      </c>
      <c r="L236" s="205"/>
      <c r="M236" s="206"/>
      <c r="N236" s="27">
        <f>'Order Details Apr25 - Mar26'!F236*'Order Details Apr25 - Mar26'!N236</f>
        <v>10785.2</v>
      </c>
      <c r="O236" s="25"/>
      <c r="P236" s="22"/>
      <c r="Q236" s="26"/>
      <c r="R236" s="82">
        <v>7</v>
      </c>
      <c r="S236" s="22"/>
      <c r="T236" s="142"/>
      <c r="U236" s="138"/>
      <c r="V236" s="51"/>
    </row>
    <row r="237" spans="1:22" ht="20.100000000000001" customHeight="1" x14ac:dyDescent="0.3">
      <c r="A237" s="44">
        <v>229</v>
      </c>
      <c r="B237" s="22">
        <f>+'Order Details Apr25 - Mar26'!P237</f>
        <v>46021</v>
      </c>
      <c r="C237" s="23"/>
      <c r="D237" s="118" t="str">
        <f>+'Order Details Apr25 - Mar26'!T237</f>
        <v>B V Biocrop - Hitech Division</v>
      </c>
      <c r="E237" s="25"/>
      <c r="F237" s="183" t="str">
        <f>+'Order Details Apr25 - Mar26'!D237</f>
        <v>B-904 (BV Biocrop)</v>
      </c>
      <c r="G237" s="184"/>
      <c r="H237" s="119">
        <f>+'Order Details Apr25 - Mar26'!H237</f>
        <v>100</v>
      </c>
      <c r="I237" s="120" t="str">
        <f>+'Order Details Apr25 - Mar26'!I237</f>
        <v>Ltr</v>
      </c>
      <c r="J237" s="28"/>
      <c r="K237" s="204" t="str">
        <f>+'Order Details Apr25 - Mar26'!R237</f>
        <v>PO / NBF / 301225/ 121</v>
      </c>
      <c r="L237" s="205"/>
      <c r="M237" s="206"/>
      <c r="N237" s="27">
        <f>'Order Details Apr25 - Mar26'!F237*'Order Details Apr25 - Mar26'!N237</f>
        <v>77242.8</v>
      </c>
      <c r="O237" s="25"/>
      <c r="P237" s="22"/>
      <c r="Q237" s="26"/>
      <c r="R237" s="82">
        <v>7</v>
      </c>
      <c r="S237" s="22"/>
      <c r="T237" s="142"/>
      <c r="U237" s="138"/>
      <c r="V237" s="51"/>
    </row>
    <row r="238" spans="1:22" ht="20.100000000000001" customHeight="1" x14ac:dyDescent="0.3">
      <c r="A238" s="44">
        <v>230</v>
      </c>
      <c r="B238" s="22">
        <f>+'Order Details Apr25 - Mar26'!P238</f>
        <v>46021</v>
      </c>
      <c r="C238" s="23"/>
      <c r="D238" s="118" t="str">
        <f>+'Order Details Apr25 - Mar26'!T238</f>
        <v>B V Biocrop - Hitech Division</v>
      </c>
      <c r="E238" s="25"/>
      <c r="F238" s="183" t="str">
        <f>+'Order Details Apr25 - Mar26'!D238</f>
        <v>BIO BUSTER PLUS (BV Biocrop)</v>
      </c>
      <c r="G238" s="184"/>
      <c r="H238" s="119">
        <f>+'Order Details Apr25 - Mar26'!H238</f>
        <v>48000</v>
      </c>
      <c r="I238" s="120" t="str">
        <f>+'Order Details Apr25 - Mar26'!I238</f>
        <v>Gram</v>
      </c>
      <c r="J238" s="28"/>
      <c r="K238" s="204" t="str">
        <f>+'Order Details Apr25 - Mar26'!R238</f>
        <v>PO / NBF / 301225/ 121</v>
      </c>
      <c r="L238" s="205"/>
      <c r="M238" s="206"/>
      <c r="N238" s="27">
        <f>'Order Details Apr25 - Mar26'!F238*'Order Details Apr25 - Mar26'!N238</f>
        <v>45878.399999999994</v>
      </c>
      <c r="O238" s="25"/>
      <c r="P238" s="22"/>
      <c r="Q238" s="26"/>
      <c r="R238" s="82">
        <v>7</v>
      </c>
      <c r="S238" s="22"/>
      <c r="T238" s="142"/>
      <c r="U238" s="138"/>
      <c r="V238" s="51"/>
    </row>
    <row r="239" spans="1:22" ht="20.100000000000001" customHeight="1" x14ac:dyDescent="0.3">
      <c r="A239" s="44">
        <v>231</v>
      </c>
      <c r="B239" s="22">
        <f>+'Order Details Apr25 - Mar26'!P239</f>
        <v>46021</v>
      </c>
      <c r="C239" s="23"/>
      <c r="D239" s="118" t="str">
        <f>+'Order Details Apr25 - Mar26'!T239</f>
        <v>B V Biocrop - Hitech Division</v>
      </c>
      <c r="E239" s="25"/>
      <c r="F239" s="183" t="str">
        <f>+'Order Details Apr25 - Mar26'!D239</f>
        <v>SAFEGARD (BV Biocrop)</v>
      </c>
      <c r="G239" s="184"/>
      <c r="H239" s="119">
        <f>+'Order Details Apr25 - Mar26'!H239</f>
        <v>100</v>
      </c>
      <c r="I239" s="120" t="str">
        <f>+'Order Details Apr25 - Mar26'!I239</f>
        <v>Ltr</v>
      </c>
      <c r="J239" s="28"/>
      <c r="K239" s="204" t="str">
        <f>+'Order Details Apr25 - Mar26'!R239</f>
        <v>PO / NBF / 301225/ 121</v>
      </c>
      <c r="L239" s="205"/>
      <c r="M239" s="206"/>
      <c r="N239" s="27">
        <f>'Order Details Apr25 - Mar26'!F239*'Order Details Apr25 - Mar26'!N239</f>
        <v>27659.200000000001</v>
      </c>
      <c r="O239" s="25"/>
      <c r="P239" s="22"/>
      <c r="Q239" s="26"/>
      <c r="R239" s="82">
        <v>7</v>
      </c>
      <c r="S239" s="22"/>
      <c r="T239" s="142"/>
      <c r="U239" s="138"/>
      <c r="V239" s="51"/>
    </row>
    <row r="240" spans="1:22" ht="20.100000000000001" customHeight="1" x14ac:dyDescent="0.3">
      <c r="A240" s="44">
        <v>232</v>
      </c>
      <c r="B240" s="22">
        <f>+'Order Details Apr25 - Mar26'!P240</f>
        <v>46021</v>
      </c>
      <c r="C240" s="23"/>
      <c r="D240" s="118" t="str">
        <f>+'Order Details Apr25 - Mar26'!T240</f>
        <v>B V Biocrop - Hitech Division</v>
      </c>
      <c r="E240" s="25"/>
      <c r="F240" s="183" t="str">
        <f>+'Order Details Apr25 - Mar26'!D240</f>
        <v>BV-CLO2 (10 Gram) TAB</v>
      </c>
      <c r="G240" s="184"/>
      <c r="H240" s="119">
        <f>+'Order Details Apr25 - Mar26'!H240</f>
        <v>1000</v>
      </c>
      <c r="I240" s="120" t="str">
        <f>+'Order Details Apr25 - Mar26'!I240</f>
        <v>Pcs</v>
      </c>
      <c r="J240" s="28"/>
      <c r="K240" s="204" t="str">
        <f>+'Order Details Apr25 - Mar26'!R240</f>
        <v>PO / NBF / 301225/ 121</v>
      </c>
      <c r="L240" s="205"/>
      <c r="M240" s="206"/>
      <c r="N240" s="27">
        <f>'Order Details Apr25 - Mar26'!F240*'Order Details Apr25 - Mar26'!N240</f>
        <v>23600</v>
      </c>
      <c r="O240" s="25"/>
      <c r="P240" s="22"/>
      <c r="Q240" s="26"/>
      <c r="R240" s="82">
        <v>7</v>
      </c>
      <c r="S240" s="22"/>
      <c r="T240" s="142"/>
      <c r="U240" s="138"/>
      <c r="V240" s="51"/>
    </row>
    <row r="241" spans="1:22" ht="20.100000000000001" customHeight="1" x14ac:dyDescent="0.3">
      <c r="A241" s="44">
        <v>233</v>
      </c>
      <c r="B241" s="22">
        <f>+'Order Details Apr25 - Mar26'!P241</f>
        <v>46021</v>
      </c>
      <c r="C241" s="23"/>
      <c r="D241" s="118" t="str">
        <f>+'Order Details Apr25 - Mar26'!T241</f>
        <v>B V Biocrop - Hitech Division</v>
      </c>
      <c r="E241" s="25"/>
      <c r="F241" s="183" t="str">
        <f>+'Order Details Apr25 - Mar26'!D241</f>
        <v>VAC-SURE (20 Gram) TAB</v>
      </c>
      <c r="G241" s="184"/>
      <c r="H241" s="119">
        <f>+'Order Details Apr25 - Mar26'!H241</f>
        <v>500</v>
      </c>
      <c r="I241" s="120" t="str">
        <f>+'Order Details Apr25 - Mar26'!I241</f>
        <v>Pcs</v>
      </c>
      <c r="J241" s="28"/>
      <c r="K241" s="204" t="str">
        <f>+'Order Details Apr25 - Mar26'!R241</f>
        <v>PO / NBF / 301225/ 121</v>
      </c>
      <c r="L241" s="205"/>
      <c r="M241" s="206"/>
      <c r="N241" s="27">
        <f>'Order Details Apr25 - Mar26'!F241*'Order Details Apr25 - Mar26'!N241</f>
        <v>33235</v>
      </c>
      <c r="O241" s="25"/>
      <c r="P241" s="22"/>
      <c r="Q241" s="26"/>
      <c r="R241" s="82">
        <v>7</v>
      </c>
      <c r="S241" s="22"/>
      <c r="T241" s="142"/>
      <c r="U241" s="138"/>
      <c r="V241" s="51"/>
    </row>
    <row r="242" spans="1:22" ht="20.100000000000001" customHeight="1" x14ac:dyDescent="0.3">
      <c r="A242" s="44">
        <v>234</v>
      </c>
      <c r="B242" s="22">
        <f>+'Order Details Apr25 - Mar26'!P242</f>
        <v>46021</v>
      </c>
      <c r="C242" s="23"/>
      <c r="D242" s="118" t="str">
        <f>+'Order Details Apr25 - Mar26'!T242</f>
        <v>Venkateshwara Hatcheries Ltd</v>
      </c>
      <c r="E242" s="25"/>
      <c r="F242" s="183" t="str">
        <f>+'Order Details Apr25 - Mar26'!D242</f>
        <v>ND (Lasota) Live Vaccine</v>
      </c>
      <c r="G242" s="184"/>
      <c r="H242" s="119">
        <f>+'Order Details Apr25 - Mar26'!H242</f>
        <v>300000</v>
      </c>
      <c r="I242" s="120" t="str">
        <f>+'Order Details Apr25 - Mar26'!I242</f>
        <v>Dose</v>
      </c>
      <c r="J242" s="28"/>
      <c r="K242" s="204" t="str">
        <f>+'Order Details Apr25 - Mar26'!R242</f>
        <v>PO / NBF / 301225/ 122</v>
      </c>
      <c r="L242" s="205"/>
      <c r="M242" s="206"/>
      <c r="N242" s="27">
        <f>'Order Details Apr25 - Mar26'!F242*'Order Details Apr25 - Mar26'!N242</f>
        <v>18900</v>
      </c>
      <c r="O242" s="25"/>
      <c r="P242" s="22"/>
      <c r="Q242" s="26"/>
      <c r="R242" s="82">
        <v>7</v>
      </c>
      <c r="S242" s="22"/>
      <c r="T242" s="142"/>
      <c r="U242" s="138"/>
      <c r="V242" s="51"/>
    </row>
    <row r="243" spans="1:22" ht="20.100000000000001" customHeight="1" x14ac:dyDescent="0.3">
      <c r="A243" s="44">
        <v>235</v>
      </c>
      <c r="B243" s="22">
        <f>+'Order Details Apr25 - Mar26'!P243</f>
        <v>46021</v>
      </c>
      <c r="C243" s="23"/>
      <c r="D243" s="118" t="str">
        <f>+'Order Details Apr25 - Mar26'!T243</f>
        <v>Venkateshwara Hatcheries Ltd</v>
      </c>
      <c r="E243" s="25"/>
      <c r="F243" s="183" t="str">
        <f>+'Order Details Apr25 - Mar26'!D243</f>
        <v>Sterile Diluent for Live Vaccine</v>
      </c>
      <c r="G243" s="184"/>
      <c r="H243" s="119">
        <f>+'Order Details Apr25 - Mar26'!H243</f>
        <v>9000</v>
      </c>
      <c r="I243" s="120" t="str">
        <f>+'Order Details Apr25 - Mar26'!I243</f>
        <v>Ml</v>
      </c>
      <c r="J243" s="28"/>
      <c r="K243" s="204" t="str">
        <f>+'Order Details Apr25 - Mar26'!R243</f>
        <v>PO / NBF / 301225/ 122</v>
      </c>
      <c r="L243" s="205"/>
      <c r="M243" s="206"/>
      <c r="N243" s="27">
        <f>'Order Details Apr25 - Mar26'!F243*'Order Details Apr25 - Mar26'!N243</f>
        <v>315</v>
      </c>
      <c r="O243" s="25"/>
      <c r="P243" s="22"/>
      <c r="Q243" s="26"/>
      <c r="R243" s="82">
        <v>7</v>
      </c>
      <c r="S243" s="22"/>
      <c r="T243" s="142"/>
      <c r="U243" s="138"/>
      <c r="V243" s="51"/>
    </row>
    <row r="244" spans="1:22" ht="20.100000000000001" customHeight="1" x14ac:dyDescent="0.3">
      <c r="A244" s="44">
        <v>236</v>
      </c>
      <c r="B244" s="22">
        <f>+'Order Details Apr25 - Mar26'!P244</f>
        <v>46021</v>
      </c>
      <c r="C244" s="23"/>
      <c r="D244" s="118" t="str">
        <f>+'Order Details Apr25 - Mar26'!T244</f>
        <v>Venkys India Limited - AHP Division</v>
      </c>
      <c r="E244" s="25"/>
      <c r="F244" s="183" t="str">
        <f>+'Order Details Apr25 - Mar26'!D244</f>
        <v>RESPOTYL-62.5% (AHP Division)</v>
      </c>
      <c r="G244" s="184"/>
      <c r="H244" s="119">
        <f>+'Order Details Apr25 - Mar26'!H244</f>
        <v>18000</v>
      </c>
      <c r="I244" s="120" t="str">
        <f>+'Order Details Apr25 - Mar26'!I244</f>
        <v>Gram</v>
      </c>
      <c r="J244" s="28"/>
      <c r="K244" s="204" t="str">
        <f>+'Order Details Apr25 - Mar26'!R244</f>
        <v>PO / NBF / 301225/ 123</v>
      </c>
      <c r="L244" s="205"/>
      <c r="M244" s="206"/>
      <c r="N244" s="27">
        <f>'Order Details Apr25 - Mar26'!F244*'Order Details Apr25 - Mar26'!N244</f>
        <v>309733.2</v>
      </c>
      <c r="O244" s="25"/>
      <c r="P244" s="22"/>
      <c r="Q244" s="26"/>
      <c r="R244" s="82">
        <v>7</v>
      </c>
      <c r="S244" s="22"/>
      <c r="T244" s="142"/>
      <c r="U244" s="138"/>
      <c r="V244" s="51"/>
    </row>
    <row r="245" spans="1:22" ht="20.100000000000001" customHeight="1" x14ac:dyDescent="0.3">
      <c r="A245" s="44">
        <v>237</v>
      </c>
      <c r="B245" s="22">
        <f>+'Order Details Apr25 - Mar26'!P245</f>
        <v>46032</v>
      </c>
      <c r="C245" s="23"/>
      <c r="D245" s="118" t="str">
        <f>+'Order Details Apr25 - Mar26'!T245</f>
        <v>Agrioma Life Sciences Kolkata</v>
      </c>
      <c r="E245" s="25"/>
      <c r="F245" s="183" t="str">
        <f>+'Order Details Apr25 - Mar26'!D245</f>
        <v>OREGOSTIM-1X (Saife Vet)</v>
      </c>
      <c r="G245" s="184"/>
      <c r="H245" s="119">
        <f>+'Order Details Apr25 - Mar26'!H245</f>
        <v>200</v>
      </c>
      <c r="I245" s="120" t="str">
        <f>+'Order Details Apr25 - Mar26'!I245</f>
        <v>Kg</v>
      </c>
      <c r="J245" s="28"/>
      <c r="K245" s="204" t="str">
        <f>+'Order Details Apr25 - Mar26'!R245</f>
        <v>PO / NBF / 100126 / 124</v>
      </c>
      <c r="L245" s="205"/>
      <c r="M245" s="206"/>
      <c r="N245" s="27">
        <f>'Order Details Apr25 - Mar26'!F245*'Order Details Apr25 - Mar26'!N245</f>
        <v>190000</v>
      </c>
      <c r="O245" s="25"/>
      <c r="P245" s="22"/>
      <c r="Q245" s="26"/>
      <c r="R245" s="82">
        <v>7</v>
      </c>
      <c r="S245" s="22"/>
      <c r="T245" s="142"/>
      <c r="U245" s="138"/>
      <c r="V245" s="51"/>
    </row>
    <row r="246" spans="1:22" ht="20.100000000000001" customHeight="1" x14ac:dyDescent="0.3">
      <c r="A246" s="44">
        <v>238</v>
      </c>
      <c r="B246" s="22">
        <f>+'Order Details Apr25 - Mar26'!P246</f>
        <v>46032</v>
      </c>
      <c r="C246" s="23"/>
      <c r="D246" s="118" t="str">
        <f>+'Order Details Apr25 - Mar26'!T246</f>
        <v>Das Drug Centre Pvt Ltd, Habra</v>
      </c>
      <c r="E246" s="25"/>
      <c r="F246" s="183" t="str">
        <f>+'Order Details Apr25 - Mar26'!D246</f>
        <v>KOHRSOLIN-TH (Virbac)</v>
      </c>
      <c r="G246" s="184"/>
      <c r="H246" s="119">
        <f>+'Order Details Apr25 - Mar26'!H246</f>
        <v>100</v>
      </c>
      <c r="I246" s="120" t="str">
        <f>+'Order Details Apr25 - Mar26'!I246</f>
        <v>Ltr</v>
      </c>
      <c r="J246" s="28"/>
      <c r="K246" s="204" t="str">
        <f>+'Order Details Apr25 - Mar26'!R246</f>
        <v>PO / NBF / 100126 / 125</v>
      </c>
      <c r="L246" s="205"/>
      <c r="M246" s="206"/>
      <c r="N246" s="27">
        <f>'Order Details Apr25 - Mar26'!F246*'Order Details Apr25 - Mar26'!N246</f>
        <v>116348</v>
      </c>
      <c r="O246" s="25"/>
      <c r="P246" s="22"/>
      <c r="Q246" s="26"/>
      <c r="R246" s="82">
        <v>45</v>
      </c>
      <c r="S246" s="22"/>
      <c r="T246" s="142"/>
      <c r="U246" s="138"/>
      <c r="V246" s="51"/>
    </row>
    <row r="247" spans="1:22" ht="20.100000000000001" customHeight="1" x14ac:dyDescent="0.3">
      <c r="A247" s="44">
        <v>239</v>
      </c>
      <c r="B247" s="22">
        <f>+'Order Details Apr25 - Mar26'!P247</f>
        <v>46032</v>
      </c>
      <c r="C247" s="23"/>
      <c r="D247" s="118" t="str">
        <f>+'Order Details Apr25 - Mar26'!T247</f>
        <v>Jeco Nutri Products Pvt Ltd Kolkata</v>
      </c>
      <c r="E247" s="25"/>
      <c r="F247" s="183" t="str">
        <f>+'Order Details Apr25 - Mar26'!D247</f>
        <v>MICROVIT-E 50% (Adisseo)</v>
      </c>
      <c r="G247" s="184"/>
      <c r="H247" s="119">
        <f>+'Order Details Apr25 - Mar26'!H247</f>
        <v>200</v>
      </c>
      <c r="I247" s="120" t="str">
        <f>+'Order Details Apr25 - Mar26'!I247</f>
        <v>Kg</v>
      </c>
      <c r="J247" s="28"/>
      <c r="K247" s="204" t="str">
        <f>+'Order Details Apr25 - Mar26'!R247</f>
        <v>PO / NBF / 100126 / 126</v>
      </c>
      <c r="L247" s="205"/>
      <c r="M247" s="206"/>
      <c r="N247" s="27">
        <f>'Order Details Apr25 - Mar26'!F247*'Order Details Apr25 - Mar26'!N247</f>
        <v>150000</v>
      </c>
      <c r="O247" s="25"/>
      <c r="P247" s="22"/>
      <c r="Q247" s="26"/>
      <c r="R247" s="82">
        <v>45</v>
      </c>
      <c r="S247" s="22"/>
      <c r="T247" s="142"/>
      <c r="U247" s="138"/>
      <c r="V247" s="51"/>
    </row>
    <row r="248" spans="1:22" ht="20.100000000000001" customHeight="1" x14ac:dyDescent="0.3">
      <c r="A248" s="44">
        <v>240</v>
      </c>
      <c r="B248" s="22">
        <f>+'Order Details Apr25 - Mar26'!P248</f>
        <v>46032</v>
      </c>
      <c r="C248" s="23"/>
      <c r="D248" s="118" t="str">
        <f>+'Order Details Apr25 - Mar26'!T248</f>
        <v>We Care Animal Health Bengal</v>
      </c>
      <c r="E248" s="25"/>
      <c r="F248" s="183" t="str">
        <f>+'Order Details Apr25 - Mar26'!D248</f>
        <v>FLYVIN (We Care Animal Health)</v>
      </c>
      <c r="G248" s="184"/>
      <c r="H248" s="119">
        <f>+'Order Details Apr25 - Mar26'!H248</f>
        <v>100</v>
      </c>
      <c r="I248" s="120" t="str">
        <f>+'Order Details Apr25 - Mar26'!I248</f>
        <v>Kg</v>
      </c>
      <c r="J248" s="28"/>
      <c r="K248" s="204" t="str">
        <f>+'Order Details Apr25 - Mar26'!R248</f>
        <v>PO / NBF / 100126 / 127</v>
      </c>
      <c r="L248" s="205"/>
      <c r="M248" s="206"/>
      <c r="N248" s="27">
        <f>'Order Details Apr25 - Mar26'!F248*'Order Details Apr25 - Mar26'!N248</f>
        <v>72000</v>
      </c>
      <c r="O248" s="25"/>
      <c r="P248" s="22"/>
      <c r="Q248" s="26"/>
      <c r="R248" s="82">
        <v>7</v>
      </c>
      <c r="S248" s="22"/>
      <c r="T248" s="142"/>
      <c r="U248" s="138"/>
      <c r="V248" s="51"/>
    </row>
    <row r="249" spans="1:22" ht="20.100000000000001" customHeight="1" x14ac:dyDescent="0.3">
      <c r="A249" s="44">
        <v>241</v>
      </c>
      <c r="B249" s="22">
        <f>+'Order Details Apr25 - Mar26'!P249</f>
        <v>46035</v>
      </c>
      <c r="C249" s="23"/>
      <c r="D249" s="118" t="str">
        <f>+'Order Details Apr25 - Mar26'!T249</f>
        <v>Trouw Nutrition India Pvt Ltd</v>
      </c>
      <c r="E249" s="25"/>
      <c r="F249" s="183" t="str">
        <f>+'Order Details Apr25 - Mar26'!D249</f>
        <v>BDR MIN HTF(Inorganic Trace Mineral)</v>
      </c>
      <c r="G249" s="184"/>
      <c r="H249" s="119">
        <f>+'Order Details Apr25 - Mar26'!H249</f>
        <v>1000</v>
      </c>
      <c r="I249" s="120" t="str">
        <f>+'Order Details Apr25 - Mar26'!I249</f>
        <v xml:space="preserve"> Kg </v>
      </c>
      <c r="J249" s="28"/>
      <c r="K249" s="204" t="str">
        <f>+'Order Details Apr25 - Mar26'!R249</f>
        <v>PO / NBF / 130126 / 128</v>
      </c>
      <c r="L249" s="205"/>
      <c r="M249" s="206"/>
      <c r="N249" s="27">
        <f>'Order Details Apr25 - Mar26'!F249*'Order Details Apr25 - Mar26'!N249</f>
        <v>118000</v>
      </c>
      <c r="O249" s="25"/>
      <c r="P249" s="22"/>
      <c r="Q249" s="26"/>
      <c r="R249" s="82">
        <v>7</v>
      </c>
      <c r="S249" s="22"/>
      <c r="T249" s="142"/>
      <c r="U249" s="138"/>
      <c r="V249" s="51"/>
    </row>
    <row r="250" spans="1:22" ht="20.100000000000001" customHeight="1" x14ac:dyDescent="0.3">
      <c r="A250" s="44">
        <v>242</v>
      </c>
      <c r="B250" s="22">
        <f>+'Order Details Apr25 - Mar26'!P250</f>
        <v>46052</v>
      </c>
      <c r="C250" s="23"/>
      <c r="D250" s="118" t="str">
        <f>+'Order Details Apr25 - Mar26'!T250</f>
        <v>Bhabani Bio Security Orisha</v>
      </c>
      <c r="E250" s="25"/>
      <c r="F250" s="183" t="str">
        <f>+'Order Details Apr25 - Mar26'!D250</f>
        <v>BB - EVEECT- 8 (Bhabani Bio)</v>
      </c>
      <c r="G250" s="184"/>
      <c r="H250" s="119">
        <f>+'Order Details Apr25 - Mar26'!H250</f>
        <v>600</v>
      </c>
      <c r="I250" s="120" t="str">
        <f>+'Order Details Apr25 - Mar26'!I250</f>
        <v>Ltr</v>
      </c>
      <c r="J250" s="28"/>
      <c r="K250" s="204" t="str">
        <f>+'Order Details Apr25 - Mar26'!R250</f>
        <v>PO / NBF / 300126 / 129</v>
      </c>
      <c r="L250" s="205"/>
      <c r="M250" s="206"/>
      <c r="N250" s="27">
        <f>'Order Details Apr25 - Mar26'!F250*'Order Details Apr25 - Mar26'!N250</f>
        <v>117600</v>
      </c>
      <c r="O250" s="25"/>
      <c r="P250" s="22"/>
      <c r="Q250" s="26"/>
      <c r="R250" s="82">
        <v>45</v>
      </c>
      <c r="S250" s="22"/>
      <c r="T250" s="142"/>
      <c r="U250" s="138"/>
      <c r="V250" s="51"/>
    </row>
    <row r="251" spans="1:22" ht="20.100000000000001" customHeight="1" x14ac:dyDescent="0.3">
      <c r="A251" s="44">
        <v>243</v>
      </c>
      <c r="B251" s="22">
        <f>+'Order Details Apr25 - Mar26'!P251</f>
        <v>46052</v>
      </c>
      <c r="C251" s="23"/>
      <c r="D251" s="118" t="str">
        <f>+'Order Details Apr25 - Mar26'!T251</f>
        <v>Hester Biosciences Ltd Hyderabad</v>
      </c>
      <c r="E251" s="25"/>
      <c r="F251" s="183" t="str">
        <f>+'Order Details Apr25 - Mar26'!D251</f>
        <v>Inactivated Pullet ND (LPAI) VAC</v>
      </c>
      <c r="G251" s="184"/>
      <c r="H251" s="119">
        <f>+'Order Details Apr25 - Mar26'!H251</f>
        <v>39000</v>
      </c>
      <c r="I251" s="120" t="str">
        <f>+'Order Details Apr25 - Mar26'!I251</f>
        <v>Dose</v>
      </c>
      <c r="J251" s="28"/>
      <c r="K251" s="204" t="str">
        <f>+'Order Details Apr25 - Mar26'!R251</f>
        <v>PO / NBF / 300126 / 130</v>
      </c>
      <c r="L251" s="205"/>
      <c r="M251" s="206"/>
      <c r="N251" s="27">
        <f>'Order Details Apr25 - Mar26'!F251*'Order Details Apr25 - Mar26'!N251</f>
        <v>38698.568999999996</v>
      </c>
      <c r="O251" s="25"/>
      <c r="P251" s="22"/>
      <c r="Q251" s="26"/>
      <c r="R251" s="82">
        <v>7</v>
      </c>
      <c r="S251" s="22"/>
      <c r="T251" s="142"/>
      <c r="U251" s="138"/>
      <c r="V251" s="51"/>
    </row>
    <row r="252" spans="1:22" ht="20.100000000000001" customHeight="1" x14ac:dyDescent="0.3">
      <c r="A252" s="44">
        <v>244</v>
      </c>
      <c r="B252" s="22">
        <f>+'Order Details Apr25 - Mar26'!P252</f>
        <v>46052</v>
      </c>
      <c r="C252" s="23"/>
      <c r="D252" s="118" t="str">
        <f>+'Order Details Apr25 - Mar26'!T252</f>
        <v>Hester Biosciences Ltd Hyderabad</v>
      </c>
      <c r="E252" s="25"/>
      <c r="F252" s="183" t="str">
        <f>+'Order Details Apr25 - Mar26'!D252</f>
        <v>Inactivated Pullet ND (HPAI) VAC</v>
      </c>
      <c r="G252" s="184"/>
      <c r="H252" s="119">
        <f>+'Order Details Apr25 - Mar26'!H252</f>
        <v>39000</v>
      </c>
      <c r="I252" s="120" t="str">
        <f>+'Order Details Apr25 - Mar26'!I252</f>
        <v>Dose</v>
      </c>
      <c r="J252" s="28"/>
      <c r="K252" s="204" t="str">
        <f>+'Order Details Apr25 - Mar26'!R252</f>
        <v>PO / NBF / 300126 / 130</v>
      </c>
      <c r="L252" s="205"/>
      <c r="M252" s="206"/>
      <c r="N252" s="27">
        <f>'Order Details Apr25 - Mar26'!F252*'Order Details Apr25 - Mar26'!N252</f>
        <v>102334.04999999999</v>
      </c>
      <c r="O252" s="25"/>
      <c r="P252" s="22"/>
      <c r="Q252" s="26"/>
      <c r="R252" s="82">
        <v>7</v>
      </c>
      <c r="S252" s="22"/>
      <c r="T252" s="142"/>
      <c r="U252" s="138"/>
      <c r="V252" s="51"/>
    </row>
    <row r="253" spans="1:22" ht="20.100000000000001" customHeight="1" x14ac:dyDescent="0.3">
      <c r="A253" s="44">
        <v>245</v>
      </c>
      <c r="B253" s="22">
        <f>+'Order Details Apr25 - Mar26'!P253</f>
        <v>46052</v>
      </c>
      <c r="C253" s="23"/>
      <c r="D253" s="118" t="str">
        <f>+'Order Details Apr25 - Mar26'!T253</f>
        <v>Venkateshwara Hatcheries Ltd</v>
      </c>
      <c r="E253" s="25"/>
      <c r="F253" s="183" t="str">
        <f>+'Order Details Apr25 - Mar26'!D253</f>
        <v>IBH (VH-HPEA) KILLED VAC</v>
      </c>
      <c r="G253" s="184"/>
      <c r="H253" s="119">
        <f>+'Order Details Apr25 - Mar26'!H253</f>
        <v>77000</v>
      </c>
      <c r="I253" s="120" t="str">
        <f>+'Order Details Apr25 - Mar26'!I253</f>
        <v>Dose</v>
      </c>
      <c r="J253" s="28"/>
      <c r="K253" s="204" t="str">
        <f>+'Order Details Apr25 - Mar26'!R253</f>
        <v>PO / NBF / 300126 / 131</v>
      </c>
      <c r="L253" s="205"/>
      <c r="M253" s="206"/>
      <c r="N253" s="27">
        <f>'Order Details Apr25 - Mar26'!F253*'Order Details Apr25 - Mar26'!N253</f>
        <v>177870</v>
      </c>
      <c r="O253" s="25"/>
      <c r="P253" s="22"/>
      <c r="Q253" s="26"/>
      <c r="R253" s="82">
        <v>7</v>
      </c>
      <c r="S253" s="22"/>
      <c r="T253" s="142"/>
      <c r="U253" s="138"/>
      <c r="V253" s="51"/>
    </row>
    <row r="254" spans="1:22" ht="20.100000000000001" customHeight="1" x14ac:dyDescent="0.3">
      <c r="A254" s="44">
        <v>246</v>
      </c>
      <c r="B254" s="22">
        <f>+'Order Details Apr25 - Mar26'!P254</f>
        <v>46052</v>
      </c>
      <c r="C254" s="23"/>
      <c r="D254" s="118" t="str">
        <f>+'Order Details Apr25 - Mar26'!T254</f>
        <v>Venkateshwara Hatcheries Ltd</v>
      </c>
      <c r="E254" s="25"/>
      <c r="F254" s="183" t="str">
        <f>+'Order Details Apr25 - Mar26'!D254</f>
        <v>ND+IBD KILLED VAC</v>
      </c>
      <c r="G254" s="184"/>
      <c r="H254" s="119">
        <f>+'Order Details Apr25 - Mar26'!H254</f>
        <v>43000</v>
      </c>
      <c r="I254" s="120" t="str">
        <f>+'Order Details Apr25 - Mar26'!I254</f>
        <v>Dose</v>
      </c>
      <c r="J254" s="28"/>
      <c r="K254" s="204" t="str">
        <f>+'Order Details Apr25 - Mar26'!R254</f>
        <v>PO / NBF / 300126 / 131</v>
      </c>
      <c r="L254" s="205"/>
      <c r="M254" s="206"/>
      <c r="N254" s="27">
        <f>'Order Details Apr25 - Mar26'!F254*'Order Details Apr25 - Mar26'!N254</f>
        <v>129445.05</v>
      </c>
      <c r="O254" s="25"/>
      <c r="P254" s="22"/>
      <c r="Q254" s="26"/>
      <c r="R254" s="82">
        <v>7</v>
      </c>
      <c r="S254" s="22"/>
      <c r="T254" s="142"/>
      <c r="U254" s="138"/>
      <c r="V254" s="51"/>
    </row>
    <row r="255" spans="1:22" ht="20.100000000000001" customHeight="1" x14ac:dyDescent="0.3">
      <c r="A255" s="44">
        <v>247</v>
      </c>
      <c r="B255" s="22">
        <f>+'Order Details Apr25 - Mar26'!P255</f>
        <v>46052</v>
      </c>
      <c r="C255" s="23"/>
      <c r="D255" s="118" t="str">
        <f>+'Order Details Apr25 - Mar26'!T255</f>
        <v>Venkateshwara Hatcheries Ltd</v>
      </c>
      <c r="E255" s="25"/>
      <c r="F255" s="183" t="str">
        <f>+'Order Details Apr25 - Mar26'!D255</f>
        <v>VH V- 4K (4way) KILLED VAC</v>
      </c>
      <c r="G255" s="184"/>
      <c r="H255" s="119">
        <f>+'Order Details Apr25 - Mar26'!H255</f>
        <v>78000</v>
      </c>
      <c r="I255" s="120" t="str">
        <f>+'Order Details Apr25 - Mar26'!I255</f>
        <v>Dose</v>
      </c>
      <c r="J255" s="28"/>
      <c r="K255" s="204" t="str">
        <f>+'Order Details Apr25 - Mar26'!R255</f>
        <v>PO / NBF / 300126 / 131</v>
      </c>
      <c r="L255" s="205"/>
      <c r="M255" s="206"/>
      <c r="N255" s="27">
        <f>'Order Details Apr25 - Mar26'!F255*'Order Details Apr25 - Mar26'!N255</f>
        <v>434397.6</v>
      </c>
      <c r="O255" s="25"/>
      <c r="P255" s="22"/>
      <c r="Q255" s="26"/>
      <c r="R255" s="82">
        <v>7</v>
      </c>
      <c r="S255" s="22"/>
      <c r="T255" s="142"/>
      <c r="U255" s="138"/>
      <c r="V255" s="51"/>
    </row>
    <row r="256" spans="1:22" ht="20.100000000000001" customHeight="1" x14ac:dyDescent="0.3">
      <c r="A256" s="44">
        <v>248</v>
      </c>
      <c r="B256" s="22">
        <f>+'Order Details Apr25 - Mar26'!P256</f>
        <v>46052</v>
      </c>
      <c r="C256" s="23"/>
      <c r="D256" s="118" t="str">
        <f>+'Order Details Apr25 - Mar26'!T256</f>
        <v>Venkateshwara Marketing Hyd</v>
      </c>
      <c r="E256" s="25"/>
      <c r="F256" s="183" t="str">
        <f>+'Order Details Apr25 - Mar26'!D256</f>
        <v>Nobilis IB MA-5 Live Vaccine (MSD)</v>
      </c>
      <c r="G256" s="184"/>
      <c r="H256" s="119">
        <f>+'Order Details Apr25 - Mar26'!H256</f>
        <v>150000</v>
      </c>
      <c r="I256" s="120" t="str">
        <f>+'Order Details Apr25 - Mar26'!I256</f>
        <v>Dose</v>
      </c>
      <c r="J256" s="28"/>
      <c r="K256" s="204" t="str">
        <f>+'Order Details Apr25 - Mar26'!R256</f>
        <v>PO / NBF / 300126 / 132</v>
      </c>
      <c r="L256" s="205"/>
      <c r="M256" s="206"/>
      <c r="N256" s="27">
        <f>'Order Details Apr25 - Mar26'!F256*'Order Details Apr25 - Mar26'!N256</f>
        <v>49455</v>
      </c>
      <c r="O256" s="25"/>
      <c r="P256" s="22"/>
      <c r="Q256" s="26"/>
      <c r="R256" s="82">
        <v>45</v>
      </c>
      <c r="S256" s="22"/>
      <c r="T256" s="142"/>
      <c r="U256" s="138"/>
      <c r="V256" s="51"/>
    </row>
    <row r="257" spans="1:22" ht="20.100000000000001" customHeight="1" x14ac:dyDescent="0.3">
      <c r="A257" s="44">
        <v>249</v>
      </c>
      <c r="B257" s="22">
        <f>+'Order Details Apr25 - Mar26'!P257</f>
        <v>46052</v>
      </c>
      <c r="C257" s="23"/>
      <c r="D257" s="118" t="str">
        <f>+'Order Details Apr25 - Mar26'!T257</f>
        <v>We Care Animal Health Bengal</v>
      </c>
      <c r="E257" s="25"/>
      <c r="F257" s="183" t="str">
        <f>+'Order Details Apr25 - Mar26'!D257</f>
        <v>FLYVIN (We Care Animal Health)</v>
      </c>
      <c r="G257" s="184"/>
      <c r="H257" s="119">
        <f>+'Order Details Apr25 - Mar26'!H257</f>
        <v>100</v>
      </c>
      <c r="I257" s="120" t="str">
        <f>+'Order Details Apr25 - Mar26'!I257</f>
        <v>Kg</v>
      </c>
      <c r="J257" s="28"/>
      <c r="K257" s="204" t="str">
        <f>+'Order Details Apr25 - Mar26'!R257</f>
        <v>PO / NBF / 300126 / 133</v>
      </c>
      <c r="L257" s="205"/>
      <c r="M257" s="206"/>
      <c r="N257" s="27">
        <f>'Order Details Apr25 - Mar26'!F257*'Order Details Apr25 - Mar26'!N257</f>
        <v>72000</v>
      </c>
      <c r="O257" s="25"/>
      <c r="P257" s="22"/>
      <c r="Q257" s="26"/>
      <c r="R257" s="82">
        <v>7</v>
      </c>
      <c r="S257" s="22"/>
      <c r="T257" s="142"/>
      <c r="U257" s="138"/>
      <c r="V257" s="51"/>
    </row>
    <row r="258" spans="1:22" ht="20.100000000000001" customHeight="1" x14ac:dyDescent="0.3">
      <c r="A258" s="44">
        <v>250</v>
      </c>
      <c r="B258" s="22">
        <f>+'Order Details Apr25 - Mar26'!P258</f>
        <v>46059</v>
      </c>
      <c r="C258" s="23"/>
      <c r="D258" s="118" t="str">
        <f>+'Order Details Apr25 - Mar26'!T258</f>
        <v>Elanco India Pvt Ltd, Vijayawada</v>
      </c>
      <c r="E258" s="25"/>
      <c r="F258" s="183" t="str">
        <f>+'Order Details Apr25 - Mar26'!D258</f>
        <v>LARVADEX (Elanco)</v>
      </c>
      <c r="G258" s="184"/>
      <c r="H258" s="119">
        <f>+'Order Details Apr25 - Mar26'!H258</f>
        <v>500</v>
      </c>
      <c r="I258" s="120" t="str">
        <f>+'Order Details Apr25 - Mar26'!I258</f>
        <v>Kg</v>
      </c>
      <c r="J258" s="28"/>
      <c r="K258" s="204" t="str">
        <f>+'Order Details Apr25 - Mar26'!R258</f>
        <v>PO / NBF / 060226 / 134</v>
      </c>
      <c r="L258" s="205"/>
      <c r="M258" s="206"/>
      <c r="N258" s="27">
        <f>'Order Details Apr25 - Mar26'!F258*'Order Details Apr25 - Mar26'!N258</f>
        <v>70000</v>
      </c>
      <c r="O258" s="25"/>
      <c r="P258" s="22"/>
      <c r="Q258" s="26"/>
      <c r="R258" s="82">
        <v>45</v>
      </c>
      <c r="S258" s="22"/>
      <c r="T258" s="142"/>
      <c r="U258" s="138"/>
      <c r="V258" s="51"/>
    </row>
    <row r="259" spans="1:22" ht="20.100000000000001" customHeight="1" x14ac:dyDescent="0.3">
      <c r="A259" s="44">
        <v>251</v>
      </c>
      <c r="B259" s="22">
        <f>+'Order Details Apr25 - Mar26'!P259</f>
        <v>46086</v>
      </c>
      <c r="C259" s="23"/>
      <c r="D259" s="118" t="str">
        <f>+'Order Details Apr25 - Mar26'!T259</f>
        <v>Das Drug Centre Pvt Ltd, Habra</v>
      </c>
      <c r="E259" s="25"/>
      <c r="F259" s="183" t="str">
        <f>+'Order Details Apr25 - Mar26'!D259</f>
        <v>Oxytetracycline-LA Injection (Zenex-AH)</v>
      </c>
      <c r="G259" s="184"/>
      <c r="H259" s="119">
        <f>+'Order Details Apr25 - Mar26'!H259</f>
        <v>20000</v>
      </c>
      <c r="I259" s="120" t="str">
        <f>+'Order Details Apr25 - Mar26'!I259</f>
        <v>Ml</v>
      </c>
      <c r="J259" s="28"/>
      <c r="K259" s="204" t="str">
        <f>+'Order Details Apr25 - Mar26'!R259</f>
        <v>PO / NBF / 050226 / 135</v>
      </c>
      <c r="L259" s="205"/>
      <c r="M259" s="206"/>
      <c r="N259" s="27">
        <f>'Order Details Apr25 - Mar26'!F259*'Order Details Apr25 - Mar26'!N259</f>
        <v>48720</v>
      </c>
      <c r="O259" s="25"/>
      <c r="P259" s="22"/>
      <c r="Q259" s="26"/>
      <c r="R259" s="82">
        <v>45</v>
      </c>
      <c r="S259" s="22"/>
      <c r="T259" s="142"/>
      <c r="U259" s="138"/>
      <c r="V259" s="51"/>
    </row>
    <row r="260" spans="1:22" ht="20.100000000000001" customHeight="1" x14ac:dyDescent="0.3">
      <c r="A260" s="44">
        <v>252</v>
      </c>
      <c r="B260" s="22">
        <f>+'Order Details Apr25 - Mar26'!P260</f>
        <v>46086</v>
      </c>
      <c r="C260" s="23"/>
      <c r="D260" s="118" t="str">
        <f>+'Order Details Apr25 - Mar26'!T260</f>
        <v>Das Drug Centre Pvt Ltd, Habra</v>
      </c>
      <c r="E260" s="25"/>
      <c r="F260" s="183" t="str">
        <f>+'Order Details Apr25 - Mar26'!D260</f>
        <v>VIRKON's (Zoetis)</v>
      </c>
      <c r="G260" s="184"/>
      <c r="H260" s="119">
        <f>+'Order Details Apr25 - Mar26'!H260</f>
        <v>100</v>
      </c>
      <c r="I260" s="120" t="str">
        <f>+'Order Details Apr25 - Mar26'!I260</f>
        <v>Kg</v>
      </c>
      <c r="J260" s="28"/>
      <c r="K260" s="204" t="str">
        <f>+'Order Details Apr25 - Mar26'!R260</f>
        <v>PO / NBF / 050226 / 135</v>
      </c>
      <c r="L260" s="205"/>
      <c r="M260" s="206"/>
      <c r="N260" s="27">
        <f>'Order Details Apr25 - Mar26'!F260*'Order Details Apr25 - Mar26'!N260</f>
        <v>206264</v>
      </c>
      <c r="O260" s="25"/>
      <c r="P260" s="22"/>
      <c r="Q260" s="26"/>
      <c r="R260" s="82">
        <v>45</v>
      </c>
      <c r="S260" s="22"/>
      <c r="T260" s="142"/>
      <c r="U260" s="138"/>
      <c r="V260" s="51"/>
    </row>
    <row r="261" spans="1:22" ht="20.100000000000001" customHeight="1" x14ac:dyDescent="0.3">
      <c r="A261" s="44">
        <v>253</v>
      </c>
      <c r="B261" s="22">
        <f>+'Order Details Apr25 - Mar26'!P261</f>
        <v>46086</v>
      </c>
      <c r="C261" s="23"/>
      <c r="D261" s="118" t="str">
        <f>+'Order Details Apr25 - Mar26'!T261</f>
        <v>More Than Solutions Pvt Ltd HYD</v>
      </c>
      <c r="E261" s="25"/>
      <c r="F261" s="183" t="str">
        <f>+'Order Details Apr25 - Mar26'!D261</f>
        <v>AMINO GABA-20% (CP Bio)</v>
      </c>
      <c r="G261" s="184"/>
      <c r="H261" s="119">
        <f>+'Order Details Apr25 - Mar26'!H261</f>
        <v>200</v>
      </c>
      <c r="I261" s="120" t="str">
        <f>+'Order Details Apr25 - Mar26'!I261</f>
        <v>Kg</v>
      </c>
      <c r="J261" s="28"/>
      <c r="K261" s="204" t="str">
        <f>+'Order Details Apr25 - Mar26'!R261</f>
        <v>PO / NBF / 050226 / 136</v>
      </c>
      <c r="L261" s="205"/>
      <c r="M261" s="206"/>
      <c r="N261" s="27">
        <f>'Order Details Apr25 - Mar26'!F261*'Order Details Apr25 - Mar26'!N261</f>
        <v>72000</v>
      </c>
      <c r="O261" s="25"/>
      <c r="P261" s="22"/>
      <c r="Q261" s="26"/>
      <c r="R261" s="82">
        <v>7</v>
      </c>
      <c r="S261" s="22"/>
      <c r="T261" s="142"/>
      <c r="U261" s="138"/>
      <c r="V261" s="51"/>
    </row>
    <row r="262" spans="1:22" ht="20.100000000000001" customHeight="1" x14ac:dyDescent="0.3">
      <c r="A262" s="44">
        <v>254</v>
      </c>
      <c r="B262" s="22">
        <f>+'Order Details Apr25 - Mar26'!P262</f>
        <v>46086</v>
      </c>
      <c r="C262" s="23"/>
      <c r="D262" s="118" t="str">
        <f>+'Order Details Apr25 - Mar26'!T262</f>
        <v>More Than Solutions Pvt Ltd HYD</v>
      </c>
      <c r="E262" s="25"/>
      <c r="F262" s="183" t="str">
        <f>+'Order Details Apr25 - Mar26'!D262</f>
        <v>CITIFAC (Chlortetracyclin-15%)</v>
      </c>
      <c r="G262" s="184"/>
      <c r="H262" s="119">
        <f>+'Order Details Apr25 - Mar26'!H262</f>
        <v>600</v>
      </c>
      <c r="I262" s="120" t="str">
        <f>+'Order Details Apr25 - Mar26'!I262</f>
        <v>Kg</v>
      </c>
      <c r="J262" s="28"/>
      <c r="K262" s="204" t="str">
        <f>+'Order Details Apr25 - Mar26'!R262</f>
        <v>PO / NBF / 050226 / 136</v>
      </c>
      <c r="L262" s="205"/>
      <c r="M262" s="206"/>
      <c r="N262" s="27">
        <f>'Order Details Apr25 - Mar26'!F262*'Order Details Apr25 - Mar26'!N262</f>
        <v>139800</v>
      </c>
      <c r="O262" s="25"/>
      <c r="P262" s="22"/>
      <c r="Q262" s="26"/>
      <c r="R262" s="82">
        <v>7</v>
      </c>
      <c r="S262" s="22"/>
      <c r="T262" s="142"/>
      <c r="U262" s="138"/>
      <c r="V262" s="51"/>
    </row>
    <row r="263" spans="1:22" ht="20.100000000000001" customHeight="1" x14ac:dyDescent="0.3">
      <c r="A263" s="44">
        <v>255</v>
      </c>
      <c r="B263" s="22">
        <f>+'Order Details Apr25 - Mar26'!P263</f>
        <v>46086</v>
      </c>
      <c r="C263" s="23"/>
      <c r="D263" s="118" t="str">
        <f>+'Order Details Apr25 - Mar26'!T263</f>
        <v>Agrioma Life Sciences Kolkata</v>
      </c>
      <c r="E263" s="25"/>
      <c r="F263" s="183" t="str">
        <f>+'Order Details Apr25 - Mar26'!D263</f>
        <v>OREGOSTIM-1X (Saife Vet)</v>
      </c>
      <c r="G263" s="184"/>
      <c r="H263" s="119">
        <f>+'Order Details Apr25 - Mar26'!H263</f>
        <v>250</v>
      </c>
      <c r="I263" s="120" t="str">
        <f>+'Order Details Apr25 - Mar26'!I263</f>
        <v>Kg</v>
      </c>
      <c r="J263" s="28"/>
      <c r="K263" s="204" t="str">
        <f>+'Order Details Apr25 - Mar26'!R263</f>
        <v>PO / NBF / 050226 / 137</v>
      </c>
      <c r="L263" s="205"/>
      <c r="M263" s="206"/>
      <c r="N263" s="27">
        <f>'Order Details Apr25 - Mar26'!F263*'Order Details Apr25 - Mar26'!N263</f>
        <v>237500</v>
      </c>
      <c r="O263" s="25"/>
      <c r="P263" s="22"/>
      <c r="Q263" s="26"/>
      <c r="R263" s="82">
        <v>7</v>
      </c>
      <c r="S263" s="22"/>
      <c r="T263" s="142"/>
      <c r="U263" s="138"/>
      <c r="V263" s="51"/>
    </row>
    <row r="264" spans="1:22" ht="20.100000000000001" customHeight="1" x14ac:dyDescent="0.3">
      <c r="A264" s="44">
        <v>256</v>
      </c>
      <c r="B264" s="22">
        <f>+'Order Details Apr25 - Mar26'!P264</f>
        <v>46086</v>
      </c>
      <c r="C264" s="23"/>
      <c r="D264" s="118" t="str">
        <f>+'Order Details Apr25 - Mar26'!T264</f>
        <v>Bengal Agrovet Pvt Ltd Kolkata</v>
      </c>
      <c r="E264" s="25"/>
      <c r="F264" s="183" t="str">
        <f>+'Order Details Apr25 - Mar26'!D264</f>
        <v>SAF MANANS (Phileo)</v>
      </c>
      <c r="G264" s="184"/>
      <c r="H264" s="119">
        <f>+'Order Details Apr25 - Mar26'!H264</f>
        <v>200</v>
      </c>
      <c r="I264" s="120" t="str">
        <f>+'Order Details Apr25 - Mar26'!I264</f>
        <v>Kg</v>
      </c>
      <c r="J264" s="28"/>
      <c r="K264" s="204" t="str">
        <f>+'Order Details Apr25 - Mar26'!R264</f>
        <v>PO / NBF / 050226 / 138</v>
      </c>
      <c r="L264" s="205"/>
      <c r="M264" s="206"/>
      <c r="N264" s="27">
        <f>'Order Details Apr25 - Mar26'!F264*'Order Details Apr25 - Mar26'!N264</f>
        <v>84000</v>
      </c>
      <c r="O264" s="25"/>
      <c r="P264" s="22"/>
      <c r="Q264" s="26"/>
      <c r="R264" s="82">
        <v>7</v>
      </c>
      <c r="S264" s="22"/>
      <c r="T264" s="142"/>
      <c r="U264" s="138"/>
      <c r="V264" s="51"/>
    </row>
    <row r="265" spans="1:22" ht="20.100000000000001" customHeight="1" x14ac:dyDescent="0.3">
      <c r="A265" s="44">
        <v>257</v>
      </c>
      <c r="B265" s="22">
        <f>+'Order Details Apr25 - Mar26'!P265</f>
        <v>46086</v>
      </c>
      <c r="C265" s="23"/>
      <c r="D265" s="118" t="str">
        <f>+'Order Details Apr25 - Mar26'!T265</f>
        <v>Kemin Industries South Asia</v>
      </c>
      <c r="E265" s="25"/>
      <c r="F265" s="183" t="str">
        <f>+'Order Details Apr25 - Mar26'!D265</f>
        <v>BUTI PEARL (Kemin)</v>
      </c>
      <c r="G265" s="184"/>
      <c r="H265" s="119">
        <f>+'Order Details Apr25 - Mar26'!H265</f>
        <v>550</v>
      </c>
      <c r="I265" s="120" t="str">
        <f>+'Order Details Apr25 - Mar26'!I265</f>
        <v>Kg</v>
      </c>
      <c r="J265" s="28"/>
      <c r="K265" s="204" t="str">
        <f>+'Order Details Apr25 - Mar26'!R265</f>
        <v>PO / NBF / 050226 / 139</v>
      </c>
      <c r="L265" s="205"/>
      <c r="M265" s="206"/>
      <c r="N265" s="27">
        <f>'Order Details Apr25 - Mar26'!F265*'Order Details Apr25 - Mar26'!N265</f>
        <v>214500</v>
      </c>
      <c r="O265" s="25"/>
      <c r="P265" s="22"/>
      <c r="Q265" s="26"/>
      <c r="R265" s="82">
        <v>30</v>
      </c>
      <c r="S265" s="22"/>
      <c r="T265" s="142"/>
      <c r="U265" s="138"/>
      <c r="V265" s="51"/>
    </row>
    <row r="266" spans="1:22" ht="20.100000000000001" customHeight="1" x14ac:dyDescent="0.3">
      <c r="A266" s="44">
        <v>258</v>
      </c>
      <c r="B266" s="22">
        <f>+'Order Details Apr25 - Mar26'!P266</f>
        <v>46086</v>
      </c>
      <c r="C266" s="23"/>
      <c r="D266" s="118" t="str">
        <f>+'Order Details Apr25 - Mar26'!T266</f>
        <v>Kemin Industries South Asia</v>
      </c>
      <c r="E266" s="25"/>
      <c r="F266" s="183" t="str">
        <f>+'Order Details Apr25 - Mar26'!D266</f>
        <v>ENDOX-T DRY (Kemin)</v>
      </c>
      <c r="G266" s="184"/>
      <c r="H266" s="119">
        <f>+'Order Details Apr25 - Mar26'!H266</f>
        <v>125</v>
      </c>
      <c r="I266" s="120" t="str">
        <f>+'Order Details Apr25 - Mar26'!I266</f>
        <v>Kg</v>
      </c>
      <c r="J266" s="28"/>
      <c r="K266" s="204" t="str">
        <f>+'Order Details Apr25 - Mar26'!R266</f>
        <v>PO / NBF / 050226 / 139</v>
      </c>
      <c r="L266" s="205"/>
      <c r="M266" s="206"/>
      <c r="N266" s="27">
        <f>'Order Details Apr25 - Mar26'!F266*'Order Details Apr25 - Mar26'!N266</f>
        <v>13125</v>
      </c>
      <c r="O266" s="25"/>
      <c r="P266" s="22"/>
      <c r="Q266" s="26"/>
      <c r="R266" s="82">
        <v>30</v>
      </c>
      <c r="S266" s="22"/>
      <c r="T266" s="142"/>
      <c r="U266" s="138"/>
      <c r="V266" s="51"/>
    </row>
    <row r="267" spans="1:22" ht="20.100000000000001" customHeight="1" x14ac:dyDescent="0.3">
      <c r="A267" s="44">
        <v>259</v>
      </c>
      <c r="B267" s="22">
        <f>+'Order Details Apr25 - Mar26'!P267</f>
        <v>46086</v>
      </c>
      <c r="C267" s="23"/>
      <c r="D267" s="118" t="str">
        <f>+'Order Details Apr25 - Mar26'!T267</f>
        <v>Kemin Industries South Asia</v>
      </c>
      <c r="E267" s="25"/>
      <c r="F267" s="183" t="str">
        <f>+'Order Details Apr25 - Mar26'!D267</f>
        <v>KEMTRACE SUPREME (Kemin)</v>
      </c>
      <c r="G267" s="184"/>
      <c r="H267" s="119">
        <f>+'Order Details Apr25 - Mar26'!H267</f>
        <v>750</v>
      </c>
      <c r="I267" s="120" t="str">
        <f>+'Order Details Apr25 - Mar26'!I267</f>
        <v>Kg</v>
      </c>
      <c r="J267" s="28"/>
      <c r="K267" s="204" t="str">
        <f>+'Order Details Apr25 - Mar26'!R267</f>
        <v>PO / NBF / 050226 / 139</v>
      </c>
      <c r="L267" s="205"/>
      <c r="M267" s="206"/>
      <c r="N267" s="27">
        <f>'Order Details Apr25 - Mar26'!F267*'Order Details Apr25 - Mar26'!N267</f>
        <v>195000</v>
      </c>
      <c r="O267" s="25"/>
      <c r="P267" s="22"/>
      <c r="Q267" s="26"/>
      <c r="R267" s="82">
        <v>30</v>
      </c>
      <c r="S267" s="22"/>
      <c r="T267" s="142"/>
      <c r="U267" s="138"/>
      <c r="V267" s="51"/>
    </row>
    <row r="268" spans="1:22" ht="20.100000000000001" customHeight="1" x14ac:dyDescent="0.3">
      <c r="A268" s="44">
        <v>260</v>
      </c>
      <c r="B268" s="22">
        <f>+'Order Details Apr25 - Mar26'!P268</f>
        <v>46086</v>
      </c>
      <c r="C268" s="23"/>
      <c r="D268" s="118" t="str">
        <f>+'Order Details Apr25 - Mar26'!T268</f>
        <v>Kemin Industries South Asia</v>
      </c>
      <c r="E268" s="25"/>
      <c r="F268" s="183" t="str">
        <f>+'Order Details Apr25 - Mar26'!D268</f>
        <v>KEMZYME PROTEASE (Kemin)</v>
      </c>
      <c r="G268" s="184"/>
      <c r="H268" s="119">
        <f>+'Order Details Apr25 - Mar26'!H268</f>
        <v>250</v>
      </c>
      <c r="I268" s="120" t="str">
        <f>+'Order Details Apr25 - Mar26'!I268</f>
        <v>Kg</v>
      </c>
      <c r="J268" s="28"/>
      <c r="K268" s="204" t="str">
        <f>+'Order Details Apr25 - Mar26'!R268</f>
        <v>PO / NBF / 050226 / 139</v>
      </c>
      <c r="L268" s="205"/>
      <c r="M268" s="206"/>
      <c r="N268" s="27">
        <f>'Order Details Apr25 - Mar26'!F268*'Order Details Apr25 - Mar26'!N268</f>
        <v>112500</v>
      </c>
      <c r="O268" s="25"/>
      <c r="P268" s="22"/>
      <c r="Q268" s="26"/>
      <c r="R268" s="82">
        <v>30</v>
      </c>
      <c r="S268" s="22"/>
      <c r="T268" s="142"/>
      <c r="U268" s="138"/>
      <c r="V268" s="51"/>
    </row>
    <row r="269" spans="1:22" ht="20.100000000000001" customHeight="1" x14ac:dyDescent="0.3">
      <c r="A269" s="44">
        <v>261</v>
      </c>
      <c r="B269" s="22">
        <f>+'Order Details Apr25 - Mar26'!P269</f>
        <v>46086</v>
      </c>
      <c r="C269" s="23"/>
      <c r="D269" s="118" t="str">
        <f>+'Order Details Apr25 - Mar26'!T269</f>
        <v>Kemin Industries South Asia</v>
      </c>
      <c r="E269" s="25"/>
      <c r="F269" s="183" t="str">
        <f>+'Order Details Apr25 - Mar26'!D269</f>
        <v>PHYGEST-10000 (Kemin)</v>
      </c>
      <c r="G269" s="184"/>
      <c r="H269" s="119">
        <f>+'Order Details Apr25 - Mar26'!H269</f>
        <v>75</v>
      </c>
      <c r="I269" s="120" t="str">
        <f>+'Order Details Apr25 - Mar26'!I269</f>
        <v>Kg</v>
      </c>
      <c r="J269" s="28"/>
      <c r="K269" s="204" t="str">
        <f>+'Order Details Apr25 - Mar26'!R269</f>
        <v>PO / NBF / 050226 / 139</v>
      </c>
      <c r="L269" s="205"/>
      <c r="M269" s="206"/>
      <c r="N269" s="27">
        <f>'Order Details Apr25 - Mar26'!F269*'Order Details Apr25 - Mar26'!N269</f>
        <v>33750</v>
      </c>
      <c r="O269" s="25"/>
      <c r="P269" s="22"/>
      <c r="Q269" s="26"/>
      <c r="R269" s="82">
        <v>30</v>
      </c>
      <c r="S269" s="22"/>
      <c r="T269" s="142"/>
      <c r="U269" s="138"/>
      <c r="V269" s="51"/>
    </row>
    <row r="270" spans="1:22" ht="20.100000000000001" customHeight="1" x14ac:dyDescent="0.3">
      <c r="A270" s="44">
        <v>262</v>
      </c>
      <c r="B270" s="22">
        <f>+'Order Details Apr25 - Mar26'!P270</f>
        <v>46086</v>
      </c>
      <c r="C270" s="23"/>
      <c r="D270" s="118" t="str">
        <f>+'Order Details Apr25 - Mar26'!T270</f>
        <v>Kemin Industries South Asia</v>
      </c>
      <c r="E270" s="25"/>
      <c r="F270" s="183" t="str">
        <f>+'Order Details Apr25 - Mar26'!D270</f>
        <v>TOXFIN-360 DRY (Kemin)</v>
      </c>
      <c r="G270" s="184"/>
      <c r="H270" s="119">
        <f>+'Order Details Apr25 - Mar26'!H270</f>
        <v>1400</v>
      </c>
      <c r="I270" s="120" t="str">
        <f>+'Order Details Apr25 - Mar26'!I270</f>
        <v>Kg</v>
      </c>
      <c r="J270" s="28"/>
      <c r="K270" s="204" t="str">
        <f>+'Order Details Apr25 - Mar26'!R270</f>
        <v>PO / NBF / 050226 / 139</v>
      </c>
      <c r="L270" s="205"/>
      <c r="M270" s="206"/>
      <c r="N270" s="27">
        <f>'Order Details Apr25 - Mar26'!F270*'Order Details Apr25 - Mar26'!N270</f>
        <v>189000</v>
      </c>
      <c r="O270" s="25"/>
      <c r="P270" s="22"/>
      <c r="Q270" s="26"/>
      <c r="R270" s="82">
        <v>30</v>
      </c>
      <c r="S270" s="22"/>
      <c r="T270" s="142"/>
      <c r="U270" s="138"/>
      <c r="V270" s="51"/>
    </row>
    <row r="271" spans="1:22" ht="20.100000000000001" customHeight="1" x14ac:dyDescent="0.3">
      <c r="A271" s="44">
        <v>263</v>
      </c>
      <c r="B271" s="22">
        <f>+'Order Details Apr25 - Mar26'!P271</f>
        <v>46087</v>
      </c>
      <c r="C271" s="23"/>
      <c r="D271" s="118" t="str">
        <f>+'Order Details Apr25 - Mar26'!T271</f>
        <v>We Care Animal Health Bengal</v>
      </c>
      <c r="E271" s="25"/>
      <c r="F271" s="183" t="str">
        <f>+'Order Details Apr25 - Mar26'!D271</f>
        <v>FLYVIN (We Care Animal Health)</v>
      </c>
      <c r="G271" s="184"/>
      <c r="H271" s="119">
        <f>+'Order Details Apr25 - Mar26'!H271</f>
        <v>100</v>
      </c>
      <c r="I271" s="120" t="str">
        <f>+'Order Details Apr25 - Mar26'!I271</f>
        <v>Kg</v>
      </c>
      <c r="J271" s="28"/>
      <c r="K271" s="204" t="str">
        <f>+'Order Details Apr25 - Mar26'!R271</f>
        <v>PO / NBF / 060226 / 140</v>
      </c>
      <c r="L271" s="205"/>
      <c r="M271" s="206"/>
      <c r="N271" s="27">
        <f>'Order Details Apr25 - Mar26'!F271*'Order Details Apr25 - Mar26'!N271</f>
        <v>72000</v>
      </c>
      <c r="O271" s="25"/>
      <c r="P271" s="22"/>
      <c r="Q271" s="26"/>
      <c r="R271" s="82">
        <v>7</v>
      </c>
      <c r="S271" s="22"/>
      <c r="T271" s="142"/>
      <c r="U271" s="138"/>
      <c r="V271" s="51"/>
    </row>
    <row r="272" spans="1:22" ht="20.100000000000001" customHeight="1" x14ac:dyDescent="0.3">
      <c r="A272" s="44">
        <v>264</v>
      </c>
      <c r="B272" s="22">
        <f>+'Order Details Apr25 - Mar26'!P272</f>
        <v>46087</v>
      </c>
      <c r="C272" s="23"/>
      <c r="D272" s="118" t="str">
        <f>+'Order Details Apr25 - Mar26'!T272</f>
        <v>Jeco Nutri Products Pvt Ltd Kolkata</v>
      </c>
      <c r="E272" s="25"/>
      <c r="F272" s="183" t="str">
        <f>+'Order Details Apr25 - Mar26'!D272</f>
        <v>MICROVIT-C 35% (Adisseo)</v>
      </c>
      <c r="G272" s="184"/>
      <c r="H272" s="119">
        <f>+'Order Details Apr25 - Mar26'!H272</f>
        <v>250</v>
      </c>
      <c r="I272" s="120" t="str">
        <f>+'Order Details Apr25 - Mar26'!I272</f>
        <v>Kg</v>
      </c>
      <c r="J272" s="28"/>
      <c r="K272" s="204" t="str">
        <f>+'Order Details Apr25 - Mar26'!R272</f>
        <v>PO / NBF / 060226 / 141</v>
      </c>
      <c r="L272" s="205"/>
      <c r="M272" s="206"/>
      <c r="N272" s="27">
        <f>'Order Details Apr25 - Mar26'!F272*'Order Details Apr25 - Mar26'!N272</f>
        <v>81250</v>
      </c>
      <c r="O272" s="25"/>
      <c r="P272" s="22"/>
      <c r="Q272" s="26"/>
      <c r="R272" s="82">
        <v>45</v>
      </c>
      <c r="S272" s="22"/>
      <c r="T272" s="142"/>
      <c r="U272" s="138"/>
      <c r="V272" s="51"/>
    </row>
    <row r="273" spans="1:22" ht="20.100000000000001" customHeight="1" x14ac:dyDescent="0.3">
      <c r="A273" s="44">
        <v>265</v>
      </c>
      <c r="B273" s="22">
        <f>+'Order Details Apr25 - Mar26'!P273</f>
        <v>46091</v>
      </c>
      <c r="C273" s="23"/>
      <c r="D273" s="118" t="str">
        <f>+'Order Details Apr25 - Mar26'!T273</f>
        <v>Elanco India Pvt Ltd, Vijayawada</v>
      </c>
      <c r="E273" s="25"/>
      <c r="F273" s="183" t="str">
        <f>+'Order Details Apr25 - Mar26'!D273</f>
        <v>EKTOMIN-100 EC (Elanco)</v>
      </c>
      <c r="G273" s="184"/>
      <c r="H273" s="119">
        <f>+'Order Details Apr25 - Mar26'!H273</f>
        <v>50</v>
      </c>
      <c r="I273" s="120" t="str">
        <f>+'Order Details Apr25 - Mar26'!I273</f>
        <v>Ltr</v>
      </c>
      <c r="J273" s="28"/>
      <c r="K273" s="204" t="str">
        <f>+'Order Details Apr25 - Mar26'!R273</f>
        <v>PO / NBF / 100226 / 142</v>
      </c>
      <c r="L273" s="205"/>
      <c r="M273" s="206"/>
      <c r="N273" s="27">
        <f>'Order Details Apr25 - Mar26'!F273*'Order Details Apr25 - Mar26'!N273</f>
        <v>36750</v>
      </c>
      <c r="O273" s="25"/>
      <c r="P273" s="22"/>
      <c r="Q273" s="26"/>
      <c r="R273" s="82">
        <v>3</v>
      </c>
      <c r="S273" s="22"/>
      <c r="T273" s="142"/>
      <c r="U273" s="138"/>
      <c r="V273" s="51"/>
    </row>
    <row r="274" spans="1:22" ht="20.100000000000001" customHeight="1" x14ac:dyDescent="0.3">
      <c r="A274" s="44">
        <v>266</v>
      </c>
      <c r="B274" s="22">
        <f>+'Order Details Apr25 - Mar26'!P274</f>
        <v>46091</v>
      </c>
      <c r="C274" s="23"/>
      <c r="D274" s="118" t="str">
        <f>+'Order Details Apr25 - Mar26'!T274</f>
        <v>Trouw Nutrition India Pvt Ltd</v>
      </c>
      <c r="E274" s="25"/>
      <c r="F274" s="183" t="str">
        <f>+'Order Details Apr25 - Mar26'!D274</f>
        <v>BDR MIN HTF(Inorganic Trace Mineral)</v>
      </c>
      <c r="G274" s="184"/>
      <c r="H274" s="119">
        <f>+'Order Details Apr25 - Mar26'!H274</f>
        <v>1000</v>
      </c>
      <c r="I274" s="120" t="str">
        <f>+'Order Details Apr25 - Mar26'!I274</f>
        <v xml:space="preserve"> Kg </v>
      </c>
      <c r="J274" s="28"/>
      <c r="K274" s="204" t="str">
        <f>+'Order Details Apr25 - Mar26'!R274</f>
        <v>PO / NBF / 100226 / 143</v>
      </c>
      <c r="L274" s="205"/>
      <c r="M274" s="206"/>
      <c r="N274" s="27">
        <f>'Order Details Apr25 - Mar26'!F274*'Order Details Apr25 - Mar26'!N274</f>
        <v>187500</v>
      </c>
      <c r="O274" s="25"/>
      <c r="P274" s="22"/>
      <c r="Q274" s="26"/>
      <c r="R274" s="82">
        <v>7</v>
      </c>
      <c r="S274" s="22"/>
      <c r="T274" s="142"/>
      <c r="U274" s="138"/>
      <c r="V274" s="51"/>
    </row>
    <row r="275" spans="1:22" ht="20.100000000000001" customHeight="1" x14ac:dyDescent="0.3">
      <c r="A275" s="44">
        <v>267</v>
      </c>
      <c r="B275" s="22">
        <f>+'Order Details Apr25 - Mar26'!P275</f>
        <v>46091</v>
      </c>
      <c r="C275" s="23"/>
      <c r="D275" s="118" t="str">
        <f>+'Order Details Apr25 - Mar26'!T275</f>
        <v>Global Chemicals Ltd Kolkata</v>
      </c>
      <c r="E275" s="25"/>
      <c r="F275" s="183" t="str">
        <f>+'Order Details Apr25 - Mar26'!D275</f>
        <v>ROVIMIX OVN BREEDER Hy-D VP (DSM)</v>
      </c>
      <c r="G275" s="184"/>
      <c r="H275" s="119">
        <f>+'Order Details Apr25 - Mar26'!H275</f>
        <v>1200</v>
      </c>
      <c r="I275" s="120" t="str">
        <f>+'Order Details Apr25 - Mar26'!I275</f>
        <v>Kg</v>
      </c>
      <c r="J275" s="28"/>
      <c r="K275" s="204" t="str">
        <f>+'Order Details Apr25 - Mar26'!R275</f>
        <v>PO / NBF / 100226 / 144</v>
      </c>
      <c r="L275" s="205"/>
      <c r="M275" s="206"/>
      <c r="N275" s="27">
        <f>'Order Details Apr25 - Mar26'!F275*'Order Details Apr25 - Mar26'!N275</f>
        <v>900000</v>
      </c>
      <c r="O275" s="25"/>
      <c r="P275" s="22"/>
      <c r="Q275" s="26"/>
      <c r="R275" s="82">
        <v>15</v>
      </c>
      <c r="S275" s="22"/>
      <c r="T275" s="142"/>
      <c r="U275" s="138"/>
      <c r="V275" s="51"/>
    </row>
    <row r="276" spans="1:22" ht="20.100000000000001" customHeight="1" x14ac:dyDescent="0.3">
      <c r="A276" s="44">
        <v>268</v>
      </c>
      <c r="B276" s="22">
        <f>+'Order Details Apr25 - Mar26'!P276</f>
        <v>46093</v>
      </c>
      <c r="C276" s="23"/>
      <c r="D276" s="118" t="str">
        <f>+'Order Details Apr25 - Mar26'!T276</f>
        <v>Supreme Vet Chem Pvt Ltd Secunderabad</v>
      </c>
      <c r="E276" s="25"/>
      <c r="F276" s="183" t="str">
        <f>+'Order Details Apr25 - Mar26'!D276</f>
        <v>ANICHOL-60 (Jubilant)</v>
      </c>
      <c r="G276" s="184"/>
      <c r="H276" s="119">
        <f>+'Order Details Apr25 - Mar26'!H276</f>
        <v>1500</v>
      </c>
      <c r="I276" s="120" t="str">
        <f>+'Order Details Apr25 - Mar26'!I276</f>
        <v>Kg</v>
      </c>
      <c r="J276" s="28"/>
      <c r="K276" s="204" t="str">
        <f>+'Order Details Apr25 - Mar26'!R276</f>
        <v>PO / NBF / 120226 / 145</v>
      </c>
      <c r="L276" s="205"/>
      <c r="M276" s="206"/>
      <c r="N276" s="27">
        <f>'Order Details Apr25 - Mar26'!F276*'Order Details Apr25 - Mar26'!N276</f>
        <v>165000</v>
      </c>
      <c r="O276" s="25"/>
      <c r="P276" s="22"/>
      <c r="Q276" s="26"/>
      <c r="R276" s="82">
        <v>0</v>
      </c>
      <c r="S276" s="22"/>
      <c r="T276" s="142"/>
      <c r="U276" s="138"/>
      <c r="V276" s="51"/>
    </row>
    <row r="277" spans="1:22" ht="20.100000000000001" customHeight="1" x14ac:dyDescent="0.3">
      <c r="A277" s="44">
        <v>269</v>
      </c>
      <c r="B277" s="22">
        <f>+'Order Details Apr25 - Mar26'!P277</f>
        <v>46099</v>
      </c>
      <c r="C277" s="23"/>
      <c r="D277" s="118" t="str">
        <f>+'Order Details Apr25 - Mar26'!T277</f>
        <v>Bhabani Bio Security Orisha</v>
      </c>
      <c r="E277" s="25"/>
      <c r="F277" s="183" t="str">
        <f>+'Order Details Apr25 - Mar26'!D277</f>
        <v>BB EVEECT (Bhabani Bio)</v>
      </c>
      <c r="G277" s="184"/>
      <c r="H277" s="119">
        <f>+'Order Details Apr25 - Mar26'!H277</f>
        <v>600</v>
      </c>
      <c r="I277" s="120" t="str">
        <f>+'Order Details Apr25 - Mar26'!I277</f>
        <v>Ltr</v>
      </c>
      <c r="J277" s="28"/>
      <c r="K277" s="204" t="str">
        <f>+'Order Details Apr25 - Mar26'!R277</f>
        <v>PO / NBF / 180226 / 146</v>
      </c>
      <c r="L277" s="205"/>
      <c r="M277" s="206"/>
      <c r="N277" s="27">
        <f>'Order Details Apr25 - Mar26'!F277*'Order Details Apr25 - Mar26'!N277</f>
        <v>117600</v>
      </c>
      <c r="O277" s="25"/>
      <c r="P277" s="22"/>
      <c r="Q277" s="26"/>
      <c r="R277" s="82">
        <v>45</v>
      </c>
      <c r="S277" s="22"/>
      <c r="T277" s="142"/>
      <c r="U277" s="138"/>
      <c r="V277" s="51"/>
    </row>
    <row r="278" spans="1:22" ht="20.100000000000001" customHeight="1" x14ac:dyDescent="0.3">
      <c r="A278" s="44">
        <v>270</v>
      </c>
      <c r="B278" s="22">
        <f>+'Order Details Apr25 - Mar26'!P278</f>
        <v>46099</v>
      </c>
      <c r="C278" s="23"/>
      <c r="D278" s="118" t="str">
        <f>+'Order Details Apr25 - Mar26'!T278</f>
        <v>B V Biocrop - Hitech Division</v>
      </c>
      <c r="E278" s="25"/>
      <c r="F278" s="183" t="str">
        <f>+'Order Details Apr25 - Mar26'!D278</f>
        <v>AQUAMAX (BV Biocrop)</v>
      </c>
      <c r="G278" s="184"/>
      <c r="H278" s="119">
        <f>+'Order Details Apr25 - Mar26'!H278</f>
        <v>200</v>
      </c>
      <c r="I278" s="120" t="str">
        <f>+'Order Details Apr25 - Mar26'!I278</f>
        <v>Ltr</v>
      </c>
      <c r="J278" s="28"/>
      <c r="K278" s="204" t="str">
        <f>+'Order Details Apr25 - Mar26'!R278</f>
        <v>PO / NBF / 180226 / 147</v>
      </c>
      <c r="L278" s="205"/>
      <c r="M278" s="206"/>
      <c r="N278" s="27">
        <f>'Order Details Apr25 - Mar26'!F278*'Order Details Apr25 - Mar26'!N278</f>
        <v>21570.400000000001</v>
      </c>
      <c r="O278" s="25"/>
      <c r="P278" s="22"/>
      <c r="Q278" s="26"/>
      <c r="R278" s="82">
        <v>7</v>
      </c>
      <c r="S278" s="22"/>
      <c r="T278" s="142"/>
      <c r="U278" s="138"/>
      <c r="V278" s="51"/>
    </row>
    <row r="279" spans="1:22" ht="20.100000000000001" customHeight="1" x14ac:dyDescent="0.3">
      <c r="A279" s="44">
        <v>271</v>
      </c>
      <c r="B279" s="22">
        <f>+'Order Details Apr25 - Mar26'!P279</f>
        <v>46099</v>
      </c>
      <c r="C279" s="23"/>
      <c r="D279" s="118" t="str">
        <f>+'Order Details Apr25 - Mar26'!T279</f>
        <v>B V Biocrop - Hitech Division</v>
      </c>
      <c r="E279" s="25"/>
      <c r="F279" s="183" t="str">
        <f>+'Order Details Apr25 - Mar26'!D279</f>
        <v>SAFEGARD (BV Biocrop)</v>
      </c>
      <c r="G279" s="184"/>
      <c r="H279" s="119">
        <f>+'Order Details Apr25 - Mar26'!H279</f>
        <v>100</v>
      </c>
      <c r="I279" s="120" t="str">
        <f>+'Order Details Apr25 - Mar26'!I279</f>
        <v>Ltr</v>
      </c>
      <c r="J279" s="28"/>
      <c r="K279" s="204" t="str">
        <f>+'Order Details Apr25 - Mar26'!R279</f>
        <v>PO / NBF / 180226 / 147</v>
      </c>
      <c r="L279" s="205"/>
      <c r="M279" s="206"/>
      <c r="N279" s="27">
        <f>'Order Details Apr25 - Mar26'!F279*'Order Details Apr25 - Mar26'!N279</f>
        <v>27659.200000000001</v>
      </c>
      <c r="O279" s="25"/>
      <c r="P279" s="22"/>
      <c r="Q279" s="26"/>
      <c r="R279" s="82">
        <v>7</v>
      </c>
      <c r="S279" s="22"/>
      <c r="T279" s="142"/>
      <c r="U279" s="138"/>
      <c r="V279" s="51"/>
    </row>
    <row r="280" spans="1:22" ht="20.100000000000001" customHeight="1" x14ac:dyDescent="0.3">
      <c r="A280" s="44">
        <v>272</v>
      </c>
      <c r="B280" s="22">
        <f>+'Order Details Apr25 - Mar26'!P280</f>
        <v>46099</v>
      </c>
      <c r="C280" s="23"/>
      <c r="D280" s="118" t="str">
        <f>+'Order Details Apr25 - Mar26'!T280</f>
        <v>Das Drug Centre Pvt Ltd, Habra</v>
      </c>
      <c r="E280" s="25"/>
      <c r="F280" s="183" t="str">
        <f>+'Order Details Apr25 - Mar26'!D280</f>
        <v>E CARE SE (Cargill)</v>
      </c>
      <c r="G280" s="184"/>
      <c r="H280" s="119">
        <f>+'Order Details Apr25 - Mar26'!H280</f>
        <v>20000</v>
      </c>
      <c r="I280" s="120" t="str">
        <f>+'Order Details Apr25 - Mar26'!I280</f>
        <v>Gram</v>
      </c>
      <c r="J280" s="28"/>
      <c r="K280" s="204" t="str">
        <f>+'Order Details Apr25 - Mar26'!R280</f>
        <v>PO / NBF / 180226 / 148</v>
      </c>
      <c r="L280" s="205"/>
      <c r="M280" s="206"/>
      <c r="N280" s="27">
        <f>'Order Details Apr25 - Mar26'!F280*'Order Details Apr25 - Mar26'!N280</f>
        <v>25600</v>
      </c>
      <c r="O280" s="25"/>
      <c r="P280" s="22"/>
      <c r="Q280" s="26"/>
      <c r="R280" s="82">
        <v>45</v>
      </c>
      <c r="S280" s="22"/>
      <c r="T280" s="142"/>
      <c r="U280" s="138"/>
      <c r="V280" s="51"/>
    </row>
    <row r="281" spans="1:22" ht="20.100000000000001" customHeight="1" x14ac:dyDescent="0.3">
      <c r="A281" s="44">
        <v>273</v>
      </c>
      <c r="B281" s="22">
        <f>+'Order Details Apr25 - Mar26'!P281</f>
        <v>46099</v>
      </c>
      <c r="C281" s="23"/>
      <c r="D281" s="118" t="str">
        <f>+'Order Details Apr25 - Mar26'!T281</f>
        <v>Das Drug Centre Pvt Ltd, Habra</v>
      </c>
      <c r="E281" s="25"/>
      <c r="F281" s="183" t="str">
        <f>+'Order Details Apr25 - Mar26'!D281</f>
        <v>FAMITONE (Zenex-AH)</v>
      </c>
      <c r="G281" s="184"/>
      <c r="H281" s="119">
        <f>+'Order Details Apr25 - Mar26'!H281</f>
        <v>108</v>
      </c>
      <c r="I281" s="120" t="str">
        <f>+'Order Details Apr25 - Mar26'!I281</f>
        <v>Ltr</v>
      </c>
      <c r="J281" s="28"/>
      <c r="K281" s="204" t="str">
        <f>+'Order Details Apr25 - Mar26'!R281</f>
        <v>PO / NBF / 180226 / 148</v>
      </c>
      <c r="L281" s="205"/>
      <c r="M281" s="206"/>
      <c r="N281" s="27">
        <f>'Order Details Apr25 - Mar26'!F281*'Order Details Apr25 - Mar26'!N281</f>
        <v>62640</v>
      </c>
      <c r="O281" s="25"/>
      <c r="P281" s="22"/>
      <c r="Q281" s="26"/>
      <c r="R281" s="82">
        <v>45</v>
      </c>
      <c r="S281" s="22"/>
      <c r="T281" s="142"/>
      <c r="U281" s="138"/>
      <c r="V281" s="51"/>
    </row>
    <row r="282" spans="1:22" ht="20.100000000000001" customHeight="1" x14ac:dyDescent="0.3">
      <c r="A282" s="44">
        <v>274</v>
      </c>
      <c r="B282" s="22">
        <f>+'Order Details Apr25 - Mar26'!P282</f>
        <v>46099</v>
      </c>
      <c r="C282" s="23"/>
      <c r="D282" s="118" t="str">
        <f>+'Order Details Apr25 - Mar26'!T282</f>
        <v>Venkys India Limited - AHP Division</v>
      </c>
      <c r="E282" s="25"/>
      <c r="F282" s="183" t="str">
        <f>+'Order Details Apr25 - Mar26'!D282</f>
        <v>BIOSPARK GOLD (AHP DIV)</v>
      </c>
      <c r="G282" s="184"/>
      <c r="H282" s="119">
        <f>+'Order Details Apr25 - Mar26'!H282</f>
        <v>200</v>
      </c>
      <c r="I282" s="120" t="str">
        <f>+'Order Details Apr25 - Mar26'!I282</f>
        <v>Kg</v>
      </c>
      <c r="J282" s="28"/>
      <c r="K282" s="204" t="str">
        <f>+'Order Details Apr25 - Mar26'!R282</f>
        <v>PO / NBF / 180226 / 149</v>
      </c>
      <c r="L282" s="205"/>
      <c r="M282" s="206"/>
      <c r="N282" s="27">
        <f>'Order Details Apr25 - Mar26'!F282*'Order Details Apr25 - Mar26'!N282</f>
        <v>92240</v>
      </c>
      <c r="O282" s="25"/>
      <c r="P282" s="22"/>
      <c r="Q282" s="26"/>
      <c r="R282" s="82">
        <v>7</v>
      </c>
      <c r="S282" s="22"/>
      <c r="T282" s="142"/>
      <c r="U282" s="138"/>
      <c r="V282" s="51"/>
    </row>
    <row r="283" spans="1:22" ht="20.100000000000001" customHeight="1" x14ac:dyDescent="0.3">
      <c r="A283" s="44">
        <v>275</v>
      </c>
      <c r="B283" s="22">
        <f>+'Order Details Apr25 - Mar26'!P283</f>
        <v>46099</v>
      </c>
      <c r="C283" s="23"/>
      <c r="D283" s="118" t="str">
        <f>+'Order Details Apr25 - Mar26'!T283</f>
        <v>Venkys India Limited - AHP Division</v>
      </c>
      <c r="E283" s="25"/>
      <c r="F283" s="183" t="str">
        <f>+'Order Details Apr25 - Mar26'!D283</f>
        <v>LAYVIT REGULAR (AHP DIV)</v>
      </c>
      <c r="G283" s="184"/>
      <c r="H283" s="119">
        <f>+'Order Details Apr25 - Mar26'!H283</f>
        <v>200</v>
      </c>
      <c r="I283" s="120" t="str">
        <f>+'Order Details Apr25 - Mar26'!I283</f>
        <v>Kg</v>
      </c>
      <c r="J283" s="28"/>
      <c r="K283" s="204" t="str">
        <f>+'Order Details Apr25 - Mar26'!R283</f>
        <v>PO / NBF / 180226 / 149</v>
      </c>
      <c r="L283" s="205"/>
      <c r="M283" s="206"/>
      <c r="N283" s="27">
        <f>'Order Details Apr25 - Mar26'!F283*'Order Details Apr25 - Mar26'!N283</f>
        <v>108600</v>
      </c>
      <c r="O283" s="25"/>
      <c r="P283" s="22"/>
      <c r="Q283" s="26"/>
      <c r="R283" s="82">
        <v>7</v>
      </c>
      <c r="S283" s="22"/>
      <c r="T283" s="142"/>
      <c r="U283" s="138"/>
      <c r="V283" s="51"/>
    </row>
    <row r="284" spans="1:22" ht="20.100000000000001" customHeight="1" x14ac:dyDescent="0.3">
      <c r="A284" s="44">
        <v>276</v>
      </c>
      <c r="B284" s="22">
        <f>+'Order Details Apr25 - Mar26'!P284</f>
        <v>46099</v>
      </c>
      <c r="C284" s="23"/>
      <c r="D284" s="118" t="str">
        <f>+'Order Details Apr25 - Mar26'!T284</f>
        <v>Venkys India Limited - AHP Division</v>
      </c>
      <c r="E284" s="25"/>
      <c r="F284" s="183" t="str">
        <f>+'Order Details Apr25 - Mar26'!D284</f>
        <v>SOLEX-M (AHP DIV)</v>
      </c>
      <c r="G284" s="184"/>
      <c r="H284" s="119">
        <f>+'Order Details Apr25 - Mar26'!H284</f>
        <v>15000</v>
      </c>
      <c r="I284" s="120" t="str">
        <f>+'Order Details Apr25 - Mar26'!I284</f>
        <v>Gram</v>
      </c>
      <c r="J284" s="28"/>
      <c r="K284" s="204" t="str">
        <f>+'Order Details Apr25 - Mar26'!R284</f>
        <v>PO / NBF / 180226 / 149</v>
      </c>
      <c r="L284" s="205"/>
      <c r="M284" s="206"/>
      <c r="N284" s="27">
        <f>'Order Details Apr25 - Mar26'!F284*'Order Details Apr25 - Mar26'!N284</f>
        <v>15150</v>
      </c>
      <c r="O284" s="25"/>
      <c r="P284" s="22"/>
      <c r="Q284" s="26"/>
      <c r="R284" s="82">
        <v>7</v>
      </c>
      <c r="S284" s="22"/>
      <c r="T284" s="142"/>
      <c r="U284" s="138"/>
      <c r="V284" s="51"/>
    </row>
    <row r="285" spans="1:22" ht="20.100000000000001" customHeight="1" x14ac:dyDescent="0.3">
      <c r="A285" s="44">
        <v>277</v>
      </c>
      <c r="B285" s="22">
        <f>+'Order Details Apr25 - Mar26'!P285</f>
        <v>46099</v>
      </c>
      <c r="C285" s="23"/>
      <c r="D285" s="118" t="str">
        <f>+'Order Details Apr25 - Mar26'!T285</f>
        <v>Venkys India Limited - AHP Division</v>
      </c>
      <c r="E285" s="25"/>
      <c r="F285" s="183" t="str">
        <f>+'Order Details Apr25 - Mar26'!D285</f>
        <v>VENTRIPLEX-M (AHP DIV)</v>
      </c>
      <c r="G285" s="184"/>
      <c r="H285" s="119">
        <f>+'Order Details Apr25 - Mar26'!H285</f>
        <v>100</v>
      </c>
      <c r="I285" s="120" t="str">
        <f>+'Order Details Apr25 - Mar26'!I285</f>
        <v>Ltr</v>
      </c>
      <c r="J285" s="28"/>
      <c r="K285" s="204" t="str">
        <f>+'Order Details Apr25 - Mar26'!R285</f>
        <v>PO / NBF / 180226 / 149</v>
      </c>
      <c r="L285" s="205"/>
      <c r="M285" s="206"/>
      <c r="N285" s="27">
        <f>'Order Details Apr25 - Mar26'!F285*'Order Details Apr25 - Mar26'!N285</f>
        <v>7240</v>
      </c>
      <c r="O285" s="25"/>
      <c r="P285" s="22"/>
      <c r="Q285" s="26"/>
      <c r="R285" s="82">
        <v>7</v>
      </c>
      <c r="S285" s="22"/>
      <c r="T285" s="142"/>
      <c r="U285" s="138"/>
      <c r="V285" s="51"/>
    </row>
    <row r="286" spans="1:22" ht="20.100000000000001" customHeight="1" x14ac:dyDescent="0.3">
      <c r="A286" s="44">
        <v>278</v>
      </c>
      <c r="B286" s="22">
        <f>+'Order Details Apr25 - Mar26'!P286</f>
        <v>46105</v>
      </c>
      <c r="C286" s="23"/>
      <c r="D286" s="118" t="str">
        <f>+'Order Details Apr25 - Mar26'!T286</f>
        <v>Das Drug Centre Pvt Ltd, Habra</v>
      </c>
      <c r="E286" s="25"/>
      <c r="F286" s="183" t="str">
        <f>+'Order Details Apr25 - Mar26'!D286</f>
        <v>Desofur Injection (Intas)</v>
      </c>
      <c r="G286" s="184"/>
      <c r="H286" s="119">
        <f>+'Order Details Apr25 - Mar26'!H286</f>
        <v>100</v>
      </c>
      <c r="I286" s="120" t="str">
        <f>+'Order Details Apr25 - Mar26'!I286</f>
        <v>Gram</v>
      </c>
      <c r="J286" s="28"/>
      <c r="K286" s="204" t="str">
        <f>+'Order Details Apr25 - Mar26'!R286</f>
        <v>PO / NBF / 240226 / 150</v>
      </c>
      <c r="L286" s="205"/>
      <c r="M286" s="206"/>
      <c r="N286" s="27">
        <f>'Order Details Apr25 - Mar26'!F286*'Order Details Apr25 - Mar26'!N286</f>
        <v>25593.75</v>
      </c>
      <c r="O286" s="25"/>
      <c r="P286" s="22"/>
      <c r="Q286" s="26"/>
      <c r="R286" s="82">
        <v>45</v>
      </c>
      <c r="S286" s="22"/>
      <c r="T286" s="142"/>
      <c r="U286" s="138"/>
      <c r="V286" s="51"/>
    </row>
    <row r="287" spans="1:22" ht="20.100000000000001" customHeight="1" x14ac:dyDescent="0.3">
      <c r="A287" s="44">
        <v>279</v>
      </c>
      <c r="B287" s="22">
        <f>+'Order Details Apr25 - Mar26'!P287</f>
        <v>46107</v>
      </c>
      <c r="C287" s="23"/>
      <c r="D287" s="118" t="str">
        <f>+'Order Details Apr25 - Mar26'!T287</f>
        <v>Global Chemicals Ltd Kolkata</v>
      </c>
      <c r="E287" s="25"/>
      <c r="F287" s="183" t="str">
        <f>+'Order Details Apr25 - Mar26'!D287</f>
        <v>ROVIMIX OVN BREEDER CBY (DSM)</v>
      </c>
      <c r="G287" s="184"/>
      <c r="H287" s="119">
        <f>+'Order Details Apr25 - Mar26'!H287</f>
        <v>100</v>
      </c>
      <c r="I287" s="120" t="str">
        <f>+'Order Details Apr25 - Mar26'!I287</f>
        <v>Kg</v>
      </c>
      <c r="J287" s="28"/>
      <c r="K287" s="204" t="str">
        <f>+'Order Details Apr25 - Mar26'!R287</f>
        <v>PO / NBF / 260226 / 151</v>
      </c>
      <c r="L287" s="205"/>
      <c r="M287" s="206"/>
      <c r="N287" s="27">
        <f>'Order Details Apr25 - Mar26'!F287*'Order Details Apr25 - Mar26'!N287</f>
        <v>384375</v>
      </c>
      <c r="O287" s="25"/>
      <c r="P287" s="22"/>
      <c r="Q287" s="26"/>
      <c r="R287" s="82">
        <v>15</v>
      </c>
      <c r="S287" s="22"/>
      <c r="T287" s="142"/>
      <c r="U287" s="138"/>
      <c r="V287" s="51"/>
    </row>
    <row r="288" spans="1:22" ht="20.100000000000001" customHeight="1" x14ac:dyDescent="0.3">
      <c r="A288" s="44">
        <v>280</v>
      </c>
      <c r="B288" s="22">
        <f>+'Order Details Apr25 - Mar26'!P288</f>
        <v>0</v>
      </c>
      <c r="C288" s="23"/>
      <c r="D288" s="118">
        <f>+'Order Details Apr25 - Mar26'!T288</f>
        <v>0</v>
      </c>
      <c r="E288" s="25"/>
      <c r="F288" s="183">
        <f>+'Order Details Apr25 - Mar26'!D288</f>
        <v>0</v>
      </c>
      <c r="G288" s="184"/>
      <c r="H288" s="119">
        <f>+'Order Details Apr25 - Mar26'!H288</f>
        <v>0</v>
      </c>
      <c r="I288" s="120">
        <f>+'Order Details Apr25 - Mar26'!I288</f>
        <v>0</v>
      </c>
      <c r="J288" s="28"/>
      <c r="K288" s="204">
        <f>+'Order Details Apr25 - Mar26'!R288</f>
        <v>0</v>
      </c>
      <c r="L288" s="205"/>
      <c r="M288" s="206"/>
      <c r="N288" s="27">
        <f>'Order Details Apr25 - Mar26'!F288*'Order Details Apr25 - Mar26'!N288</f>
        <v>0</v>
      </c>
      <c r="O288" s="25"/>
      <c r="P288" s="22"/>
      <c r="Q288" s="26"/>
      <c r="R288" s="82"/>
      <c r="S288" s="22"/>
      <c r="T288" s="142"/>
      <c r="U288" s="138"/>
      <c r="V288" s="51"/>
    </row>
    <row r="289" spans="1:22" ht="20.100000000000001" customHeight="1" x14ac:dyDescent="0.3">
      <c r="A289" s="44">
        <v>281</v>
      </c>
      <c r="B289" s="22">
        <f>+'Order Details Apr25 - Mar26'!P289</f>
        <v>0</v>
      </c>
      <c r="C289" s="23"/>
      <c r="D289" s="118">
        <f>+'Order Details Apr25 - Mar26'!T289</f>
        <v>0</v>
      </c>
      <c r="E289" s="25"/>
      <c r="F289" s="183">
        <f>+'Order Details Apr25 - Mar26'!D289</f>
        <v>0</v>
      </c>
      <c r="G289" s="184"/>
      <c r="H289" s="119">
        <f>+'Order Details Apr25 - Mar26'!H289</f>
        <v>0</v>
      </c>
      <c r="I289" s="120">
        <f>+'Order Details Apr25 - Mar26'!I289</f>
        <v>0</v>
      </c>
      <c r="J289" s="28"/>
      <c r="K289" s="204">
        <f>+'Order Details Apr25 - Mar26'!R289</f>
        <v>0</v>
      </c>
      <c r="L289" s="205"/>
      <c r="M289" s="206"/>
      <c r="N289" s="27">
        <f>'Order Details Apr25 - Mar26'!F289*'Order Details Apr25 - Mar26'!N289</f>
        <v>0</v>
      </c>
      <c r="O289" s="25"/>
      <c r="P289" s="22"/>
      <c r="Q289" s="26"/>
      <c r="R289" s="82"/>
      <c r="S289" s="22"/>
      <c r="T289" s="142"/>
      <c r="U289" s="138"/>
      <c r="V289" s="51"/>
    </row>
    <row r="290" spans="1:22" ht="20.100000000000001" customHeight="1" x14ac:dyDescent="0.3">
      <c r="A290" s="44">
        <v>282</v>
      </c>
      <c r="B290" s="22">
        <f>+'Order Details Apr25 - Mar26'!P290</f>
        <v>0</v>
      </c>
      <c r="C290" s="23"/>
      <c r="D290" s="118">
        <f>+'Order Details Apr25 - Mar26'!T290</f>
        <v>0</v>
      </c>
      <c r="E290" s="25"/>
      <c r="F290" s="183">
        <f>+'Order Details Apr25 - Mar26'!D290</f>
        <v>0</v>
      </c>
      <c r="G290" s="184"/>
      <c r="H290" s="119">
        <f>+'Order Details Apr25 - Mar26'!H290</f>
        <v>0</v>
      </c>
      <c r="I290" s="120">
        <f>+'Order Details Apr25 - Mar26'!I290</f>
        <v>0</v>
      </c>
      <c r="J290" s="28"/>
      <c r="K290" s="204">
        <f>+'Order Details Apr25 - Mar26'!R290</f>
        <v>0</v>
      </c>
      <c r="L290" s="205"/>
      <c r="M290" s="206"/>
      <c r="N290" s="27">
        <f>'Order Details Apr25 - Mar26'!F290*'Order Details Apr25 - Mar26'!N290</f>
        <v>0</v>
      </c>
      <c r="O290" s="25"/>
      <c r="P290" s="22"/>
      <c r="Q290" s="26"/>
      <c r="R290" s="82"/>
      <c r="S290" s="22"/>
      <c r="T290" s="142"/>
      <c r="U290" s="138"/>
      <c r="V290" s="51"/>
    </row>
    <row r="291" spans="1:22" ht="20.100000000000001" customHeight="1" x14ac:dyDescent="0.3">
      <c r="A291" s="44">
        <v>283</v>
      </c>
      <c r="B291" s="22">
        <f>+'Order Details Apr25 - Mar26'!P291</f>
        <v>0</v>
      </c>
      <c r="C291" s="23"/>
      <c r="D291" s="118">
        <f>+'Order Details Apr25 - Mar26'!T291</f>
        <v>0</v>
      </c>
      <c r="E291" s="25"/>
      <c r="F291" s="183">
        <f>+'Order Details Apr25 - Mar26'!D291</f>
        <v>0</v>
      </c>
      <c r="G291" s="184"/>
      <c r="H291" s="119">
        <f>+'Order Details Apr25 - Mar26'!H291</f>
        <v>0</v>
      </c>
      <c r="I291" s="120">
        <f>+'Order Details Apr25 - Mar26'!I291</f>
        <v>0</v>
      </c>
      <c r="J291" s="28"/>
      <c r="K291" s="204">
        <f>+'Order Details Apr25 - Mar26'!R291</f>
        <v>0</v>
      </c>
      <c r="L291" s="205"/>
      <c r="M291" s="206"/>
      <c r="N291" s="27">
        <f>'Order Details Apr25 - Mar26'!F291*'Order Details Apr25 - Mar26'!N291</f>
        <v>0</v>
      </c>
      <c r="O291" s="25"/>
      <c r="P291" s="22"/>
      <c r="Q291" s="26"/>
      <c r="R291" s="82"/>
      <c r="S291" s="22"/>
      <c r="T291" s="142"/>
      <c r="U291" s="138"/>
      <c r="V291" s="51"/>
    </row>
    <row r="292" spans="1:22" ht="20.100000000000001" customHeight="1" x14ac:dyDescent="0.3">
      <c r="A292" s="44">
        <v>284</v>
      </c>
      <c r="B292" s="22">
        <f>+'Order Details Apr25 - Mar26'!P292</f>
        <v>0</v>
      </c>
      <c r="C292" s="23"/>
      <c r="D292" s="118">
        <f>+'Order Details Apr25 - Mar26'!T292</f>
        <v>0</v>
      </c>
      <c r="E292" s="25"/>
      <c r="F292" s="183">
        <f>+'Order Details Apr25 - Mar26'!D292</f>
        <v>0</v>
      </c>
      <c r="G292" s="184"/>
      <c r="H292" s="119">
        <f>+'Order Details Apr25 - Mar26'!H292</f>
        <v>0</v>
      </c>
      <c r="I292" s="120">
        <f>+'Order Details Apr25 - Mar26'!I292</f>
        <v>0</v>
      </c>
      <c r="J292" s="28"/>
      <c r="K292" s="204">
        <f>+'Order Details Apr25 - Mar26'!R292</f>
        <v>0</v>
      </c>
      <c r="L292" s="205"/>
      <c r="M292" s="206"/>
      <c r="N292" s="27">
        <f>'Order Details Apr25 - Mar26'!F292*'Order Details Apr25 - Mar26'!N292</f>
        <v>0</v>
      </c>
      <c r="O292" s="25"/>
      <c r="P292" s="22"/>
      <c r="Q292" s="26"/>
      <c r="R292" s="82"/>
      <c r="S292" s="22"/>
      <c r="T292" s="142"/>
      <c r="U292" s="138"/>
      <c r="V292" s="51"/>
    </row>
    <row r="293" spans="1:22" ht="20.100000000000001" customHeight="1" x14ac:dyDescent="0.3">
      <c r="A293" s="44">
        <v>285</v>
      </c>
      <c r="B293" s="22">
        <f>+'Order Details Apr25 - Mar26'!P293</f>
        <v>0</v>
      </c>
      <c r="C293" s="23"/>
      <c r="D293" s="118">
        <f>+'Order Details Apr25 - Mar26'!T293</f>
        <v>0</v>
      </c>
      <c r="E293" s="25"/>
      <c r="F293" s="183">
        <f>+'Order Details Apr25 - Mar26'!D293</f>
        <v>0</v>
      </c>
      <c r="G293" s="184"/>
      <c r="H293" s="119">
        <f>+'Order Details Apr25 - Mar26'!H293</f>
        <v>0</v>
      </c>
      <c r="I293" s="120">
        <f>+'Order Details Apr25 - Mar26'!I293</f>
        <v>0</v>
      </c>
      <c r="J293" s="28"/>
      <c r="K293" s="204">
        <f>+'Order Details Apr25 - Mar26'!R293</f>
        <v>0</v>
      </c>
      <c r="L293" s="205"/>
      <c r="M293" s="206"/>
      <c r="N293" s="27">
        <f>'Order Details Apr25 - Mar26'!F293*'Order Details Apr25 - Mar26'!N293</f>
        <v>0</v>
      </c>
      <c r="O293" s="25"/>
      <c r="P293" s="22"/>
      <c r="Q293" s="26"/>
      <c r="R293" s="82"/>
      <c r="S293" s="22"/>
      <c r="T293" s="142"/>
      <c r="U293" s="138"/>
      <c r="V293" s="51"/>
    </row>
    <row r="294" spans="1:22" ht="20.100000000000001" customHeight="1" x14ac:dyDescent="0.3">
      <c r="A294" s="44">
        <v>286</v>
      </c>
      <c r="B294" s="22">
        <f>+'Order Details Apr25 - Mar26'!P294</f>
        <v>0</v>
      </c>
      <c r="C294" s="23"/>
      <c r="D294" s="118">
        <f>+'Order Details Apr25 - Mar26'!T294</f>
        <v>0</v>
      </c>
      <c r="E294" s="25"/>
      <c r="F294" s="183">
        <f>+'Order Details Apr25 - Mar26'!D294</f>
        <v>0</v>
      </c>
      <c r="G294" s="184"/>
      <c r="H294" s="119">
        <f>+'Order Details Apr25 - Mar26'!H294</f>
        <v>0</v>
      </c>
      <c r="I294" s="120">
        <f>+'Order Details Apr25 - Mar26'!I294</f>
        <v>0</v>
      </c>
      <c r="J294" s="28"/>
      <c r="K294" s="204">
        <f>+'Order Details Apr25 - Mar26'!R294</f>
        <v>0</v>
      </c>
      <c r="L294" s="205"/>
      <c r="M294" s="206"/>
      <c r="N294" s="27">
        <f>'Order Details Apr25 - Mar26'!F294*'Order Details Apr25 - Mar26'!N294</f>
        <v>0</v>
      </c>
      <c r="O294" s="25"/>
      <c r="P294" s="22"/>
      <c r="Q294" s="26"/>
      <c r="R294" s="82"/>
      <c r="S294" s="22"/>
      <c r="T294" s="142"/>
      <c r="U294" s="138"/>
      <c r="V294" s="51"/>
    </row>
    <row r="295" spans="1:22" ht="20.100000000000001" customHeight="1" x14ac:dyDescent="0.3">
      <c r="A295" s="44">
        <v>287</v>
      </c>
      <c r="B295" s="22">
        <f>+'Order Details Apr25 - Mar26'!P295</f>
        <v>0</v>
      </c>
      <c r="C295" s="23"/>
      <c r="D295" s="118">
        <f>+'Order Details Apr25 - Mar26'!T295</f>
        <v>0</v>
      </c>
      <c r="E295" s="25"/>
      <c r="F295" s="183">
        <f>+'Order Details Apr25 - Mar26'!D295</f>
        <v>0</v>
      </c>
      <c r="G295" s="184"/>
      <c r="H295" s="119">
        <f>+'Order Details Apr25 - Mar26'!H295</f>
        <v>0</v>
      </c>
      <c r="I295" s="120">
        <f>+'Order Details Apr25 - Mar26'!I295</f>
        <v>0</v>
      </c>
      <c r="J295" s="28"/>
      <c r="K295" s="204">
        <f>+'Order Details Apr25 - Mar26'!R295</f>
        <v>0</v>
      </c>
      <c r="L295" s="205"/>
      <c r="M295" s="206"/>
      <c r="N295" s="27">
        <f>'Order Details Apr25 - Mar26'!F295*'Order Details Apr25 - Mar26'!N295</f>
        <v>0</v>
      </c>
      <c r="O295" s="25"/>
      <c r="P295" s="22"/>
      <c r="Q295" s="26"/>
      <c r="R295" s="82"/>
      <c r="S295" s="22"/>
      <c r="T295" s="142"/>
      <c r="U295" s="138"/>
      <c r="V295" s="51"/>
    </row>
    <row r="296" spans="1:22" ht="20.100000000000001" customHeight="1" x14ac:dyDescent="0.3">
      <c r="A296" s="44">
        <v>288</v>
      </c>
      <c r="B296" s="22">
        <f>+'Order Details Apr25 - Mar26'!P296</f>
        <v>0</v>
      </c>
      <c r="C296" s="23"/>
      <c r="D296" s="118">
        <f>+'Order Details Apr25 - Mar26'!T296</f>
        <v>0</v>
      </c>
      <c r="E296" s="25"/>
      <c r="F296" s="183">
        <f>+'Order Details Apr25 - Mar26'!D296</f>
        <v>0</v>
      </c>
      <c r="G296" s="184"/>
      <c r="H296" s="119">
        <f>+'Order Details Apr25 - Mar26'!H296</f>
        <v>0</v>
      </c>
      <c r="I296" s="120">
        <f>+'Order Details Apr25 - Mar26'!I296</f>
        <v>0</v>
      </c>
      <c r="J296" s="28"/>
      <c r="K296" s="204">
        <f>+'Order Details Apr25 - Mar26'!R296</f>
        <v>0</v>
      </c>
      <c r="L296" s="205"/>
      <c r="M296" s="206"/>
      <c r="N296" s="27">
        <f>'Order Details Apr25 - Mar26'!F296*'Order Details Apr25 - Mar26'!N296</f>
        <v>0</v>
      </c>
      <c r="O296" s="25"/>
      <c r="P296" s="22"/>
      <c r="Q296" s="26"/>
      <c r="R296" s="82"/>
      <c r="S296" s="22"/>
      <c r="T296" s="142"/>
      <c r="U296" s="138"/>
      <c r="V296" s="51"/>
    </row>
    <row r="297" spans="1:22" ht="20.100000000000001" customHeight="1" x14ac:dyDescent="0.3">
      <c r="A297" s="44">
        <v>289</v>
      </c>
      <c r="B297" s="22">
        <f>+'Order Details Apr25 - Mar26'!P297</f>
        <v>0</v>
      </c>
      <c r="C297" s="23"/>
      <c r="D297" s="118">
        <f>+'Order Details Apr25 - Mar26'!T297</f>
        <v>0</v>
      </c>
      <c r="E297" s="25"/>
      <c r="F297" s="183">
        <f>+'Order Details Apr25 - Mar26'!D297</f>
        <v>0</v>
      </c>
      <c r="G297" s="184"/>
      <c r="H297" s="119">
        <f>+'Order Details Apr25 - Mar26'!H297</f>
        <v>0</v>
      </c>
      <c r="I297" s="120">
        <f>+'Order Details Apr25 - Mar26'!I297</f>
        <v>0</v>
      </c>
      <c r="J297" s="28"/>
      <c r="K297" s="204">
        <f>+'Order Details Apr25 - Mar26'!R297</f>
        <v>0</v>
      </c>
      <c r="L297" s="205"/>
      <c r="M297" s="206"/>
      <c r="N297" s="27">
        <f>'Order Details Apr25 - Mar26'!F297*'Order Details Apr25 - Mar26'!N297</f>
        <v>0</v>
      </c>
      <c r="O297" s="25"/>
      <c r="P297" s="22"/>
      <c r="Q297" s="26"/>
      <c r="R297" s="82"/>
      <c r="S297" s="22"/>
      <c r="T297" s="142"/>
      <c r="U297" s="138"/>
      <c r="V297" s="51"/>
    </row>
    <row r="298" spans="1:22" ht="20.100000000000001" customHeight="1" x14ac:dyDescent="0.3">
      <c r="A298" s="44">
        <v>290</v>
      </c>
      <c r="B298" s="22">
        <f>+'Order Details Apr25 - Mar26'!P298</f>
        <v>0</v>
      </c>
      <c r="C298" s="23"/>
      <c r="D298" s="118">
        <f>+'Order Details Apr25 - Mar26'!T298</f>
        <v>0</v>
      </c>
      <c r="E298" s="25"/>
      <c r="F298" s="183">
        <f>+'Order Details Apr25 - Mar26'!D298</f>
        <v>0</v>
      </c>
      <c r="G298" s="184"/>
      <c r="H298" s="119">
        <f>+'Order Details Apr25 - Mar26'!H298</f>
        <v>0</v>
      </c>
      <c r="I298" s="120">
        <f>+'Order Details Apr25 - Mar26'!I298</f>
        <v>0</v>
      </c>
      <c r="J298" s="28"/>
      <c r="K298" s="204">
        <f>+'Order Details Apr25 - Mar26'!R298</f>
        <v>0</v>
      </c>
      <c r="L298" s="205"/>
      <c r="M298" s="206"/>
      <c r="N298" s="27">
        <f>'Order Details Apr25 - Mar26'!F298*'Order Details Apr25 - Mar26'!N298</f>
        <v>0</v>
      </c>
      <c r="O298" s="25"/>
      <c r="P298" s="22"/>
      <c r="Q298" s="26"/>
      <c r="R298" s="82"/>
      <c r="S298" s="22"/>
      <c r="T298" s="142"/>
      <c r="U298" s="138"/>
      <c r="V298" s="51"/>
    </row>
    <row r="299" spans="1:22" ht="20.100000000000001" customHeight="1" x14ac:dyDescent="0.3">
      <c r="A299" s="44">
        <v>291</v>
      </c>
      <c r="B299" s="22">
        <f>+'Order Details Apr25 - Mar26'!P299</f>
        <v>0</v>
      </c>
      <c r="C299" s="23"/>
      <c r="D299" s="118">
        <f>+'Order Details Apr25 - Mar26'!T299</f>
        <v>0</v>
      </c>
      <c r="E299" s="25"/>
      <c r="F299" s="183">
        <f>+'Order Details Apr25 - Mar26'!D299</f>
        <v>0</v>
      </c>
      <c r="G299" s="184"/>
      <c r="H299" s="119">
        <f>+'Order Details Apr25 - Mar26'!H299</f>
        <v>0</v>
      </c>
      <c r="I299" s="120">
        <f>+'Order Details Apr25 - Mar26'!I299</f>
        <v>0</v>
      </c>
      <c r="J299" s="28"/>
      <c r="K299" s="204">
        <f>+'Order Details Apr25 - Mar26'!R299</f>
        <v>0</v>
      </c>
      <c r="L299" s="205"/>
      <c r="M299" s="206"/>
      <c r="N299" s="27">
        <f>'Order Details Apr25 - Mar26'!F299*'Order Details Apr25 - Mar26'!N299</f>
        <v>0</v>
      </c>
      <c r="O299" s="25"/>
      <c r="P299" s="22"/>
      <c r="Q299" s="26"/>
      <c r="R299" s="82"/>
      <c r="S299" s="22"/>
      <c r="T299" s="142"/>
      <c r="U299" s="138"/>
      <c r="V299" s="51"/>
    </row>
    <row r="300" spans="1:22" ht="20.100000000000001" customHeight="1" x14ac:dyDescent="0.3">
      <c r="A300" s="44">
        <v>292</v>
      </c>
      <c r="B300" s="22">
        <f>+'Order Details Apr25 - Mar26'!P300</f>
        <v>0</v>
      </c>
      <c r="C300" s="23"/>
      <c r="D300" s="118">
        <f>+'Order Details Apr25 - Mar26'!T300</f>
        <v>0</v>
      </c>
      <c r="E300" s="25"/>
      <c r="F300" s="183">
        <f>+'Order Details Apr25 - Mar26'!D300</f>
        <v>0</v>
      </c>
      <c r="G300" s="184"/>
      <c r="H300" s="119">
        <f>+'Order Details Apr25 - Mar26'!H300</f>
        <v>0</v>
      </c>
      <c r="I300" s="120">
        <f>+'Order Details Apr25 - Mar26'!I300</f>
        <v>0</v>
      </c>
      <c r="J300" s="28"/>
      <c r="K300" s="204">
        <f>+'Order Details Apr25 - Mar26'!R300</f>
        <v>0</v>
      </c>
      <c r="L300" s="205"/>
      <c r="M300" s="206"/>
      <c r="N300" s="27">
        <f>'Order Details Apr25 - Mar26'!F300*'Order Details Apr25 - Mar26'!N300</f>
        <v>0</v>
      </c>
      <c r="O300" s="25"/>
      <c r="P300" s="22"/>
      <c r="Q300" s="26"/>
      <c r="R300" s="82"/>
      <c r="S300" s="22"/>
      <c r="T300" s="142"/>
      <c r="U300" s="138"/>
      <c r="V300" s="51"/>
    </row>
  </sheetData>
  <autoFilter ref="D1:D209"/>
  <mergeCells count="591">
    <mergeCell ref="F296:G296"/>
    <mergeCell ref="K296:M296"/>
    <mergeCell ref="F297:G297"/>
    <mergeCell ref="K297:M297"/>
    <mergeCell ref="F298:G298"/>
    <mergeCell ref="K298:M298"/>
    <mergeCell ref="F299:G299"/>
    <mergeCell ref="K299:M299"/>
    <mergeCell ref="F300:G300"/>
    <mergeCell ref="K300:M300"/>
    <mergeCell ref="F291:G291"/>
    <mergeCell ref="K291:M291"/>
    <mergeCell ref="F292:G292"/>
    <mergeCell ref="K292:M292"/>
    <mergeCell ref="F293:G293"/>
    <mergeCell ref="K293:M293"/>
    <mergeCell ref="F294:G294"/>
    <mergeCell ref="K294:M294"/>
    <mergeCell ref="F295:G295"/>
    <mergeCell ref="K295:M295"/>
    <mergeCell ref="F286:G286"/>
    <mergeCell ref="K286:M286"/>
    <mergeCell ref="F287:G287"/>
    <mergeCell ref="K287:M287"/>
    <mergeCell ref="F288:G288"/>
    <mergeCell ref="K288:M288"/>
    <mergeCell ref="F289:G289"/>
    <mergeCell ref="K289:M289"/>
    <mergeCell ref="F290:G290"/>
    <mergeCell ref="K290:M290"/>
    <mergeCell ref="F281:G281"/>
    <mergeCell ref="K281:M281"/>
    <mergeCell ref="F282:G282"/>
    <mergeCell ref="K282:M282"/>
    <mergeCell ref="F283:G283"/>
    <mergeCell ref="K283:M283"/>
    <mergeCell ref="F284:G284"/>
    <mergeCell ref="K284:M284"/>
    <mergeCell ref="F285:G285"/>
    <mergeCell ref="K285:M285"/>
    <mergeCell ref="F276:G276"/>
    <mergeCell ref="K276:M276"/>
    <mergeCell ref="F277:G277"/>
    <mergeCell ref="K277:M277"/>
    <mergeCell ref="F278:G278"/>
    <mergeCell ref="K278:M278"/>
    <mergeCell ref="F279:G279"/>
    <mergeCell ref="K279:M279"/>
    <mergeCell ref="F280:G280"/>
    <mergeCell ref="K280:M280"/>
    <mergeCell ref="F271:G271"/>
    <mergeCell ref="K271:M271"/>
    <mergeCell ref="F272:G272"/>
    <mergeCell ref="K272:M272"/>
    <mergeCell ref="F273:G273"/>
    <mergeCell ref="K273:M273"/>
    <mergeCell ref="F274:G274"/>
    <mergeCell ref="K274:M274"/>
    <mergeCell ref="F275:G275"/>
    <mergeCell ref="K275:M275"/>
    <mergeCell ref="F266:G266"/>
    <mergeCell ref="K266:M266"/>
    <mergeCell ref="F267:G267"/>
    <mergeCell ref="K267:M267"/>
    <mergeCell ref="F268:G268"/>
    <mergeCell ref="K268:M268"/>
    <mergeCell ref="F269:G269"/>
    <mergeCell ref="K269:M269"/>
    <mergeCell ref="F270:G270"/>
    <mergeCell ref="K270:M270"/>
    <mergeCell ref="F261:G261"/>
    <mergeCell ref="K261:M261"/>
    <mergeCell ref="F262:G262"/>
    <mergeCell ref="K262:M262"/>
    <mergeCell ref="F263:G263"/>
    <mergeCell ref="K263:M263"/>
    <mergeCell ref="F264:G264"/>
    <mergeCell ref="K264:M264"/>
    <mergeCell ref="F265:G265"/>
    <mergeCell ref="K265:M265"/>
    <mergeCell ref="F256:G256"/>
    <mergeCell ref="K256:M256"/>
    <mergeCell ref="F257:G257"/>
    <mergeCell ref="K257:M257"/>
    <mergeCell ref="F258:G258"/>
    <mergeCell ref="K258:M258"/>
    <mergeCell ref="F259:G259"/>
    <mergeCell ref="K259:M259"/>
    <mergeCell ref="F260:G260"/>
    <mergeCell ref="K260:M260"/>
    <mergeCell ref="F251:G251"/>
    <mergeCell ref="K251:M251"/>
    <mergeCell ref="F252:G252"/>
    <mergeCell ref="K252:M252"/>
    <mergeCell ref="F253:G253"/>
    <mergeCell ref="K253:M253"/>
    <mergeCell ref="F254:G254"/>
    <mergeCell ref="K254:M254"/>
    <mergeCell ref="F255:G255"/>
    <mergeCell ref="K255:M255"/>
    <mergeCell ref="F207:G207"/>
    <mergeCell ref="K207:M207"/>
    <mergeCell ref="F208:G208"/>
    <mergeCell ref="K208:M208"/>
    <mergeCell ref="F204:G204"/>
    <mergeCell ref="K204:M204"/>
    <mergeCell ref="F205:G205"/>
    <mergeCell ref="K205:M205"/>
    <mergeCell ref="F206:G206"/>
    <mergeCell ref="K206:M206"/>
    <mergeCell ref="F201:G201"/>
    <mergeCell ref="K201:M201"/>
    <mergeCell ref="F202:G202"/>
    <mergeCell ref="K202:M202"/>
    <mergeCell ref="F203:G203"/>
    <mergeCell ref="K203:M203"/>
    <mergeCell ref="F198:G198"/>
    <mergeCell ref="K198:M198"/>
    <mergeCell ref="F199:G199"/>
    <mergeCell ref="K199:M199"/>
    <mergeCell ref="F200:G200"/>
    <mergeCell ref="K200:M200"/>
    <mergeCell ref="F195:G195"/>
    <mergeCell ref="K195:M195"/>
    <mergeCell ref="F196:G196"/>
    <mergeCell ref="K196:M196"/>
    <mergeCell ref="F197:G197"/>
    <mergeCell ref="K197:M197"/>
    <mergeCell ref="F192:G192"/>
    <mergeCell ref="K192:M192"/>
    <mergeCell ref="F193:G193"/>
    <mergeCell ref="K193:M193"/>
    <mergeCell ref="F194:G194"/>
    <mergeCell ref="K194:M194"/>
    <mergeCell ref="F189:G189"/>
    <mergeCell ref="K189:M189"/>
    <mergeCell ref="F190:G190"/>
    <mergeCell ref="K190:M190"/>
    <mergeCell ref="F191:G191"/>
    <mergeCell ref="K191:M191"/>
    <mergeCell ref="F186:G186"/>
    <mergeCell ref="K186:M186"/>
    <mergeCell ref="F187:G187"/>
    <mergeCell ref="K187:M187"/>
    <mergeCell ref="F188:G188"/>
    <mergeCell ref="K188:M188"/>
    <mergeCell ref="F183:G183"/>
    <mergeCell ref="K183:M183"/>
    <mergeCell ref="F184:G184"/>
    <mergeCell ref="K184:M184"/>
    <mergeCell ref="F185:G185"/>
    <mergeCell ref="K185:M185"/>
    <mergeCell ref="F180:G180"/>
    <mergeCell ref="K180:M180"/>
    <mergeCell ref="F181:G181"/>
    <mergeCell ref="K181:M181"/>
    <mergeCell ref="F182:G182"/>
    <mergeCell ref="K182:M182"/>
    <mergeCell ref="F177:G177"/>
    <mergeCell ref="K177:M177"/>
    <mergeCell ref="F178:G178"/>
    <mergeCell ref="K178:M178"/>
    <mergeCell ref="F179:G179"/>
    <mergeCell ref="K179:M179"/>
    <mergeCell ref="F174:G174"/>
    <mergeCell ref="K174:M174"/>
    <mergeCell ref="F175:G175"/>
    <mergeCell ref="K175:M175"/>
    <mergeCell ref="F176:G176"/>
    <mergeCell ref="K176:M176"/>
    <mergeCell ref="F171:G171"/>
    <mergeCell ref="K171:M171"/>
    <mergeCell ref="F172:G172"/>
    <mergeCell ref="K172:M172"/>
    <mergeCell ref="F173:G173"/>
    <mergeCell ref="K173:M173"/>
    <mergeCell ref="F168:G168"/>
    <mergeCell ref="K168:M168"/>
    <mergeCell ref="F169:G169"/>
    <mergeCell ref="K169:M169"/>
    <mergeCell ref="F170:G170"/>
    <mergeCell ref="K170:M170"/>
    <mergeCell ref="F165:G165"/>
    <mergeCell ref="K165:M165"/>
    <mergeCell ref="F166:G166"/>
    <mergeCell ref="K166:M166"/>
    <mergeCell ref="F167:G167"/>
    <mergeCell ref="K167:M167"/>
    <mergeCell ref="F162:G162"/>
    <mergeCell ref="K162:M162"/>
    <mergeCell ref="F163:G163"/>
    <mergeCell ref="K163:M163"/>
    <mergeCell ref="F164:G164"/>
    <mergeCell ref="K164:M164"/>
    <mergeCell ref="F159:G159"/>
    <mergeCell ref="K159:M159"/>
    <mergeCell ref="F160:G160"/>
    <mergeCell ref="K160:M160"/>
    <mergeCell ref="F161:G161"/>
    <mergeCell ref="K161:M161"/>
    <mergeCell ref="F156:G156"/>
    <mergeCell ref="K156:M156"/>
    <mergeCell ref="F157:G157"/>
    <mergeCell ref="K157:M157"/>
    <mergeCell ref="F158:G158"/>
    <mergeCell ref="K158:M158"/>
    <mergeCell ref="F153:G153"/>
    <mergeCell ref="K153:M153"/>
    <mergeCell ref="F154:G154"/>
    <mergeCell ref="K154:M154"/>
    <mergeCell ref="F155:G155"/>
    <mergeCell ref="K155:M155"/>
    <mergeCell ref="F150:G150"/>
    <mergeCell ref="K150:M150"/>
    <mergeCell ref="F151:G151"/>
    <mergeCell ref="K151:M151"/>
    <mergeCell ref="F152:G152"/>
    <mergeCell ref="K152:M152"/>
    <mergeCell ref="F147:G147"/>
    <mergeCell ref="K147:M147"/>
    <mergeCell ref="F148:G148"/>
    <mergeCell ref="K148:M148"/>
    <mergeCell ref="F149:G149"/>
    <mergeCell ref="K149:M149"/>
    <mergeCell ref="F144:G144"/>
    <mergeCell ref="K144:M144"/>
    <mergeCell ref="F145:G145"/>
    <mergeCell ref="K145:M145"/>
    <mergeCell ref="F146:G146"/>
    <mergeCell ref="K146:M146"/>
    <mergeCell ref="F141:G141"/>
    <mergeCell ref="K141:M141"/>
    <mergeCell ref="F142:G142"/>
    <mergeCell ref="K142:M142"/>
    <mergeCell ref="F143:G143"/>
    <mergeCell ref="K143:M143"/>
    <mergeCell ref="F138:G138"/>
    <mergeCell ref="K138:M138"/>
    <mergeCell ref="F139:G139"/>
    <mergeCell ref="K139:M139"/>
    <mergeCell ref="F140:G140"/>
    <mergeCell ref="K140:M140"/>
    <mergeCell ref="F135:G135"/>
    <mergeCell ref="K135:M135"/>
    <mergeCell ref="F136:G136"/>
    <mergeCell ref="K136:M136"/>
    <mergeCell ref="F137:G137"/>
    <mergeCell ref="K137:M137"/>
    <mergeCell ref="F132:G132"/>
    <mergeCell ref="K132:M132"/>
    <mergeCell ref="F133:G133"/>
    <mergeCell ref="K133:M133"/>
    <mergeCell ref="F134:G134"/>
    <mergeCell ref="K134:M134"/>
    <mergeCell ref="F129:G129"/>
    <mergeCell ref="K129:M129"/>
    <mergeCell ref="F130:G130"/>
    <mergeCell ref="K130:M130"/>
    <mergeCell ref="F131:G131"/>
    <mergeCell ref="K131:M131"/>
    <mergeCell ref="F126:G126"/>
    <mergeCell ref="K126:M126"/>
    <mergeCell ref="F127:G127"/>
    <mergeCell ref="K127:M127"/>
    <mergeCell ref="F128:G128"/>
    <mergeCell ref="K128:M128"/>
    <mergeCell ref="F123:G123"/>
    <mergeCell ref="K123:M123"/>
    <mergeCell ref="F124:G124"/>
    <mergeCell ref="K124:M124"/>
    <mergeCell ref="F125:G125"/>
    <mergeCell ref="K125:M125"/>
    <mergeCell ref="F120:G120"/>
    <mergeCell ref="K120:M120"/>
    <mergeCell ref="F121:G121"/>
    <mergeCell ref="K121:M121"/>
    <mergeCell ref="F122:G122"/>
    <mergeCell ref="K122:M122"/>
    <mergeCell ref="F117:G117"/>
    <mergeCell ref="K117:M117"/>
    <mergeCell ref="F118:G118"/>
    <mergeCell ref="K118:M118"/>
    <mergeCell ref="F119:G119"/>
    <mergeCell ref="K119:M119"/>
    <mergeCell ref="F114:G114"/>
    <mergeCell ref="K114:M114"/>
    <mergeCell ref="F115:G115"/>
    <mergeCell ref="K115:M115"/>
    <mergeCell ref="F116:G116"/>
    <mergeCell ref="K116:M116"/>
    <mergeCell ref="F111:G111"/>
    <mergeCell ref="K111:M111"/>
    <mergeCell ref="F112:G112"/>
    <mergeCell ref="K112:M112"/>
    <mergeCell ref="F113:G113"/>
    <mergeCell ref="K113:M113"/>
    <mergeCell ref="F108:G108"/>
    <mergeCell ref="K108:M108"/>
    <mergeCell ref="F109:G109"/>
    <mergeCell ref="K109:M109"/>
    <mergeCell ref="F110:G110"/>
    <mergeCell ref="K110:M110"/>
    <mergeCell ref="F105:G105"/>
    <mergeCell ref="K105:M105"/>
    <mergeCell ref="F106:G106"/>
    <mergeCell ref="K106:M106"/>
    <mergeCell ref="F107:G107"/>
    <mergeCell ref="K107:M107"/>
    <mergeCell ref="F102:G102"/>
    <mergeCell ref="K102:M102"/>
    <mergeCell ref="F103:G103"/>
    <mergeCell ref="K103:M103"/>
    <mergeCell ref="F104:G104"/>
    <mergeCell ref="K104:M104"/>
    <mergeCell ref="F99:G99"/>
    <mergeCell ref="K99:M99"/>
    <mergeCell ref="F100:G100"/>
    <mergeCell ref="K100:M100"/>
    <mergeCell ref="F101:G101"/>
    <mergeCell ref="K101:M101"/>
    <mergeCell ref="F96:G96"/>
    <mergeCell ref="K96:M96"/>
    <mergeCell ref="F97:G97"/>
    <mergeCell ref="K97:M97"/>
    <mergeCell ref="F98:G98"/>
    <mergeCell ref="K98:M98"/>
    <mergeCell ref="F93:G93"/>
    <mergeCell ref="K93:M93"/>
    <mergeCell ref="F94:G94"/>
    <mergeCell ref="K94:M94"/>
    <mergeCell ref="F95:G95"/>
    <mergeCell ref="K95:M95"/>
    <mergeCell ref="F90:G90"/>
    <mergeCell ref="K90:M90"/>
    <mergeCell ref="F91:G91"/>
    <mergeCell ref="K91:M91"/>
    <mergeCell ref="F92:G92"/>
    <mergeCell ref="K92:M92"/>
    <mergeCell ref="F87:G87"/>
    <mergeCell ref="K87:M87"/>
    <mergeCell ref="F88:G88"/>
    <mergeCell ref="K88:M88"/>
    <mergeCell ref="F89:G89"/>
    <mergeCell ref="K89:M89"/>
    <mergeCell ref="F84:G84"/>
    <mergeCell ref="K84:M84"/>
    <mergeCell ref="F85:G85"/>
    <mergeCell ref="K85:M85"/>
    <mergeCell ref="F86:G86"/>
    <mergeCell ref="K86:M86"/>
    <mergeCell ref="F81:G81"/>
    <mergeCell ref="K81:M81"/>
    <mergeCell ref="F82:G82"/>
    <mergeCell ref="K82:M82"/>
    <mergeCell ref="F83:G83"/>
    <mergeCell ref="K83:M83"/>
    <mergeCell ref="F78:G78"/>
    <mergeCell ref="K78:M78"/>
    <mergeCell ref="F79:G79"/>
    <mergeCell ref="K79:M79"/>
    <mergeCell ref="F80:G80"/>
    <mergeCell ref="K80:M80"/>
    <mergeCell ref="F75:G75"/>
    <mergeCell ref="K75:M75"/>
    <mergeCell ref="F76:G76"/>
    <mergeCell ref="K76:M76"/>
    <mergeCell ref="F77:G77"/>
    <mergeCell ref="K77:M77"/>
    <mergeCell ref="F72:G72"/>
    <mergeCell ref="K72:M72"/>
    <mergeCell ref="F73:G73"/>
    <mergeCell ref="K73:M73"/>
    <mergeCell ref="F74:G74"/>
    <mergeCell ref="K74:M74"/>
    <mergeCell ref="F69:G69"/>
    <mergeCell ref="K69:M69"/>
    <mergeCell ref="F70:G70"/>
    <mergeCell ref="K70:M70"/>
    <mergeCell ref="F71:G71"/>
    <mergeCell ref="K71:M71"/>
    <mergeCell ref="F66:G66"/>
    <mergeCell ref="K66:M66"/>
    <mergeCell ref="F67:G67"/>
    <mergeCell ref="K67:M67"/>
    <mergeCell ref="F68:G68"/>
    <mergeCell ref="K68:M68"/>
    <mergeCell ref="F63:G63"/>
    <mergeCell ref="K63:M63"/>
    <mergeCell ref="F64:G64"/>
    <mergeCell ref="K64:M64"/>
    <mergeCell ref="F65:G65"/>
    <mergeCell ref="K65:M65"/>
    <mergeCell ref="F60:G60"/>
    <mergeCell ref="K60:M60"/>
    <mergeCell ref="F61:G61"/>
    <mergeCell ref="K61:M61"/>
    <mergeCell ref="F62:G62"/>
    <mergeCell ref="K62:M62"/>
    <mergeCell ref="F57:G57"/>
    <mergeCell ref="K57:M57"/>
    <mergeCell ref="F58:G58"/>
    <mergeCell ref="K58:M58"/>
    <mergeCell ref="F59:G59"/>
    <mergeCell ref="K59:M59"/>
    <mergeCell ref="F54:G54"/>
    <mergeCell ref="K54:M54"/>
    <mergeCell ref="F55:G55"/>
    <mergeCell ref="K55:M55"/>
    <mergeCell ref="F56:G56"/>
    <mergeCell ref="K56:M56"/>
    <mergeCell ref="F51:G51"/>
    <mergeCell ref="K51:M51"/>
    <mergeCell ref="F52:G52"/>
    <mergeCell ref="K52:M52"/>
    <mergeCell ref="F53:G53"/>
    <mergeCell ref="K53:M53"/>
    <mergeCell ref="F48:G48"/>
    <mergeCell ref="K48:M48"/>
    <mergeCell ref="F49:G49"/>
    <mergeCell ref="K49:M49"/>
    <mergeCell ref="F50:G50"/>
    <mergeCell ref="K50:M50"/>
    <mergeCell ref="F45:G45"/>
    <mergeCell ref="K45:M45"/>
    <mergeCell ref="F46:G46"/>
    <mergeCell ref="K46:M46"/>
    <mergeCell ref="F47:G47"/>
    <mergeCell ref="K47:M47"/>
    <mergeCell ref="F42:G42"/>
    <mergeCell ref="K42:M42"/>
    <mergeCell ref="F43:G43"/>
    <mergeCell ref="K43:M43"/>
    <mergeCell ref="F44:G44"/>
    <mergeCell ref="K44:M44"/>
    <mergeCell ref="F39:G39"/>
    <mergeCell ref="K39:M39"/>
    <mergeCell ref="F40:G40"/>
    <mergeCell ref="K40:M40"/>
    <mergeCell ref="F41:G41"/>
    <mergeCell ref="K41:M41"/>
    <mergeCell ref="F36:G36"/>
    <mergeCell ref="K36:M36"/>
    <mergeCell ref="F37:G37"/>
    <mergeCell ref="K37:M37"/>
    <mergeCell ref="F38:G38"/>
    <mergeCell ref="K38:M38"/>
    <mergeCell ref="F33:G33"/>
    <mergeCell ref="K33:M33"/>
    <mergeCell ref="F34:G34"/>
    <mergeCell ref="K34:M34"/>
    <mergeCell ref="F35:G35"/>
    <mergeCell ref="K35:M35"/>
    <mergeCell ref="F30:G30"/>
    <mergeCell ref="K30:M30"/>
    <mergeCell ref="F31:G31"/>
    <mergeCell ref="K31:M31"/>
    <mergeCell ref="F32:G32"/>
    <mergeCell ref="K32:M32"/>
    <mergeCell ref="F27:G27"/>
    <mergeCell ref="K27:M27"/>
    <mergeCell ref="F28:G28"/>
    <mergeCell ref="K28:M28"/>
    <mergeCell ref="F29:G29"/>
    <mergeCell ref="K29:M29"/>
    <mergeCell ref="F24:G24"/>
    <mergeCell ref="K24:M24"/>
    <mergeCell ref="F25:G25"/>
    <mergeCell ref="K25:M25"/>
    <mergeCell ref="F26:G26"/>
    <mergeCell ref="K26:M26"/>
    <mergeCell ref="F21:G21"/>
    <mergeCell ref="K21:M21"/>
    <mergeCell ref="F22:G22"/>
    <mergeCell ref="K22:M22"/>
    <mergeCell ref="F23:G23"/>
    <mergeCell ref="K23:M23"/>
    <mergeCell ref="F18:G18"/>
    <mergeCell ref="K18:M18"/>
    <mergeCell ref="F19:G19"/>
    <mergeCell ref="K19:M19"/>
    <mergeCell ref="F20:G20"/>
    <mergeCell ref="K20:M20"/>
    <mergeCell ref="F15:G15"/>
    <mergeCell ref="K15:M15"/>
    <mergeCell ref="F16:G16"/>
    <mergeCell ref="K16:M16"/>
    <mergeCell ref="F17:G17"/>
    <mergeCell ref="K17:M17"/>
    <mergeCell ref="F12:G12"/>
    <mergeCell ref="K12:M12"/>
    <mergeCell ref="F13:G13"/>
    <mergeCell ref="K13:M13"/>
    <mergeCell ref="F14:G14"/>
    <mergeCell ref="K14:M14"/>
    <mergeCell ref="F9:G9"/>
    <mergeCell ref="K9:M9"/>
    <mergeCell ref="F10:G10"/>
    <mergeCell ref="K10:M10"/>
    <mergeCell ref="F11:G11"/>
    <mergeCell ref="K11:M11"/>
    <mergeCell ref="S3:U3"/>
    <mergeCell ref="F5:I5"/>
    <mergeCell ref="K5:N5"/>
    <mergeCell ref="P5:U5"/>
    <mergeCell ref="F7:G7"/>
    <mergeCell ref="K7:M7"/>
    <mergeCell ref="F3:O3"/>
    <mergeCell ref="F209:G209"/>
    <mergeCell ref="K209:M209"/>
    <mergeCell ref="F210:G210"/>
    <mergeCell ref="K210:M210"/>
    <mergeCell ref="F211:G211"/>
    <mergeCell ref="K211:M211"/>
    <mergeCell ref="F212:G212"/>
    <mergeCell ref="K212:M212"/>
    <mergeCell ref="F213:G213"/>
    <mergeCell ref="K213:M213"/>
    <mergeCell ref="F214:G214"/>
    <mergeCell ref="K214:M214"/>
    <mergeCell ref="F215:G215"/>
    <mergeCell ref="K215:M215"/>
    <mergeCell ref="F216:G216"/>
    <mergeCell ref="K216:M216"/>
    <mergeCell ref="F217:G217"/>
    <mergeCell ref="K217:M217"/>
    <mergeCell ref="F218:G218"/>
    <mergeCell ref="K218:M218"/>
    <mergeCell ref="F219:G219"/>
    <mergeCell ref="K219:M219"/>
    <mergeCell ref="F220:G220"/>
    <mergeCell ref="K220:M220"/>
    <mergeCell ref="F221:G221"/>
    <mergeCell ref="K221:M221"/>
    <mergeCell ref="F222:G222"/>
    <mergeCell ref="K222:M222"/>
    <mergeCell ref="F223:G223"/>
    <mergeCell ref="K223:M223"/>
    <mergeCell ref="F224:G224"/>
    <mergeCell ref="K224:M224"/>
    <mergeCell ref="F225:G225"/>
    <mergeCell ref="K225:M225"/>
    <mergeCell ref="F226:G226"/>
    <mergeCell ref="K226:M226"/>
    <mergeCell ref="F227:G227"/>
    <mergeCell ref="K227:M227"/>
    <mergeCell ref="F228:G228"/>
    <mergeCell ref="K228:M228"/>
    <mergeCell ref="F229:G229"/>
    <mergeCell ref="K229:M229"/>
    <mergeCell ref="F230:G230"/>
    <mergeCell ref="K230:M230"/>
    <mergeCell ref="F231:G231"/>
    <mergeCell ref="K231:M231"/>
    <mergeCell ref="F232:G232"/>
    <mergeCell ref="K232:M232"/>
    <mergeCell ref="F233:G233"/>
    <mergeCell ref="K233:M233"/>
    <mergeCell ref="F234:G234"/>
    <mergeCell ref="K234:M234"/>
    <mergeCell ref="F235:G235"/>
    <mergeCell ref="K235:M235"/>
    <mergeCell ref="F236:G236"/>
    <mergeCell ref="K236:M236"/>
    <mergeCell ref="F237:G237"/>
    <mergeCell ref="K237:M237"/>
    <mergeCell ref="F238:G238"/>
    <mergeCell ref="K238:M238"/>
    <mergeCell ref="F239:G239"/>
    <mergeCell ref="K239:M239"/>
    <mergeCell ref="F240:G240"/>
    <mergeCell ref="K240:M240"/>
    <mergeCell ref="F241:G241"/>
    <mergeCell ref="K241:M241"/>
    <mergeCell ref="F242:G242"/>
    <mergeCell ref="K242:M242"/>
    <mergeCell ref="F243:G243"/>
    <mergeCell ref="K243:M243"/>
    <mergeCell ref="F249:G249"/>
    <mergeCell ref="K249:M249"/>
    <mergeCell ref="F250:G250"/>
    <mergeCell ref="K250:M250"/>
    <mergeCell ref="F244:G244"/>
    <mergeCell ref="K244:M244"/>
    <mergeCell ref="F245:G245"/>
    <mergeCell ref="K245:M245"/>
    <mergeCell ref="F246:G246"/>
    <mergeCell ref="K246:M246"/>
    <mergeCell ref="F247:G247"/>
    <mergeCell ref="K247:M247"/>
    <mergeCell ref="F248:G248"/>
    <mergeCell ref="K248:M24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33"/>
  </sheetPr>
  <dimension ref="A2:U80"/>
  <sheetViews>
    <sheetView tabSelected="1" workbookViewId="0">
      <pane ySplit="7" topLeftCell="A46" activePane="bottomLeft" state="frozen"/>
      <selection pane="bottomLeft" activeCell="D51" sqref="D51"/>
    </sheetView>
  </sheetViews>
  <sheetFormatPr defaultRowHeight="16.5" x14ac:dyDescent="0.3"/>
  <cols>
    <col min="1" max="1" width="4.140625" style="45" customWidth="1"/>
    <col min="2" max="2" width="10.5703125" style="35" customWidth="1"/>
    <col min="3" max="3" width="2.85546875" style="156" customWidth="1"/>
    <col min="4" max="4" width="29" style="35" customWidth="1"/>
    <col min="5" max="5" width="3.140625" style="149" customWidth="1"/>
    <col min="6" max="6" width="9.140625" style="35" customWidth="1"/>
    <col min="7" max="7" width="6.42578125" style="35" customWidth="1"/>
    <col min="8" max="8" width="7.85546875" style="35" customWidth="1"/>
    <col min="9" max="9" width="7.5703125" style="116" customWidth="1"/>
    <col min="10" max="10" width="2.85546875" style="153" customWidth="1"/>
    <col min="11" max="11" width="8.5703125" style="35" customWidth="1"/>
    <col min="12" max="12" width="6.85546875" style="35" customWidth="1"/>
    <col min="13" max="13" width="7.5703125" style="35" customWidth="1"/>
    <col min="14" max="14" width="10" style="35" customWidth="1"/>
    <col min="15" max="15" width="3.5703125" style="35" customWidth="1"/>
    <col min="16" max="16" width="10.7109375" style="38" customWidth="1"/>
    <col min="17" max="17" width="3" style="35" customWidth="1"/>
    <col min="18" max="18" width="19.5703125" style="38" customWidth="1"/>
    <col min="19" max="19" width="3.140625" style="35" customWidth="1"/>
    <col min="20" max="20" width="28" style="35" customWidth="1"/>
    <col min="21" max="21" width="3.42578125" style="35" customWidth="1"/>
    <col min="22" max="16384" width="9.140625" style="35"/>
  </cols>
  <sheetData>
    <row r="2" spans="1:21" ht="17.25" thickBot="1" x14ac:dyDescent="0.35">
      <c r="A2" s="43"/>
      <c r="B2" s="2"/>
      <c r="C2" s="154"/>
      <c r="D2" s="1"/>
      <c r="E2" s="146"/>
      <c r="F2" s="1"/>
      <c r="G2" s="1"/>
      <c r="H2" s="1"/>
      <c r="I2" s="114"/>
      <c r="J2" s="150"/>
      <c r="K2" s="3"/>
      <c r="L2" s="4"/>
      <c r="M2" s="5"/>
      <c r="N2" s="5"/>
      <c r="O2" s="1"/>
      <c r="P2" s="34"/>
      <c r="Q2" s="1"/>
      <c r="R2" s="86"/>
      <c r="S2" s="1"/>
      <c r="T2" s="1"/>
      <c r="U2" s="1"/>
    </row>
    <row r="3" spans="1:21" ht="20.100000000000001" customHeight="1" thickBot="1" x14ac:dyDescent="0.35">
      <c r="A3" s="43"/>
      <c r="B3" s="135" t="s">
        <v>15</v>
      </c>
      <c r="C3" s="154"/>
      <c r="D3" s="51"/>
      <c r="E3" s="146"/>
      <c r="F3" s="51"/>
      <c r="G3" s="203" t="s">
        <v>34</v>
      </c>
      <c r="H3" s="203"/>
      <c r="I3" s="203"/>
      <c r="J3" s="203"/>
      <c r="K3" s="203"/>
      <c r="L3" s="203"/>
      <c r="M3" s="203"/>
      <c r="N3" s="203"/>
      <c r="O3" s="203"/>
      <c r="P3" s="203"/>
      <c r="Q3" s="37"/>
      <c r="R3" s="56"/>
      <c r="S3" s="159"/>
      <c r="T3" s="160" t="s">
        <v>1242</v>
      </c>
      <c r="U3" s="60"/>
    </row>
    <row r="4" spans="1:21" ht="17.25" thickBot="1" x14ac:dyDescent="0.35">
      <c r="A4" s="43"/>
      <c r="B4" s="2"/>
      <c r="C4" s="154"/>
      <c r="D4" s="1"/>
      <c r="E4" s="146"/>
      <c r="F4" s="1"/>
      <c r="G4" s="1"/>
      <c r="H4" s="6"/>
      <c r="I4" s="113"/>
      <c r="J4" s="150"/>
      <c r="K4" s="3"/>
      <c r="L4" s="4"/>
      <c r="M4" s="5"/>
      <c r="N4" s="5"/>
      <c r="O4" s="1"/>
      <c r="P4" s="34"/>
      <c r="Q4" s="1"/>
      <c r="R4" s="86"/>
      <c r="S4" s="1"/>
      <c r="T4" s="1"/>
      <c r="U4" s="1"/>
    </row>
    <row r="5" spans="1:21" ht="30" customHeight="1" thickBot="1" x14ac:dyDescent="0.35">
      <c r="A5" s="43"/>
      <c r="B5" s="127" t="s">
        <v>0</v>
      </c>
      <c r="C5" s="147"/>
      <c r="D5" s="134" t="s">
        <v>936</v>
      </c>
      <c r="E5" s="147"/>
      <c r="F5" s="194" t="s">
        <v>76</v>
      </c>
      <c r="G5" s="195"/>
      <c r="H5" s="195"/>
      <c r="I5" s="196"/>
      <c r="J5" s="151"/>
      <c r="K5" s="197" t="s">
        <v>78</v>
      </c>
      <c r="L5" s="198"/>
      <c r="M5" s="198"/>
      <c r="N5" s="199"/>
      <c r="O5" s="7"/>
      <c r="P5" s="200" t="s">
        <v>77</v>
      </c>
      <c r="Q5" s="201"/>
      <c r="R5" s="201"/>
      <c r="S5" s="201"/>
      <c r="T5" s="202"/>
      <c r="U5" s="7"/>
    </row>
    <row r="6" spans="1:21" ht="17.25" thickBot="1" x14ac:dyDescent="0.35">
      <c r="A6" s="43"/>
      <c r="B6" s="2"/>
      <c r="C6" s="154"/>
      <c r="D6" s="1"/>
      <c r="E6" s="146"/>
      <c r="F6" s="10"/>
      <c r="G6" s="10"/>
      <c r="H6" s="1"/>
      <c r="I6" s="114"/>
      <c r="J6" s="150"/>
      <c r="K6" s="3"/>
      <c r="L6" s="4"/>
      <c r="M6" s="5"/>
      <c r="N6" s="5"/>
      <c r="O6" s="1"/>
      <c r="P6" s="34"/>
      <c r="Q6" s="1"/>
      <c r="R6" s="86"/>
      <c r="S6" s="1"/>
      <c r="T6" s="1"/>
      <c r="U6" s="1"/>
    </row>
    <row r="7" spans="1:21" ht="30" customHeight="1" thickBot="1" x14ac:dyDescent="0.35">
      <c r="A7" s="44"/>
      <c r="B7" s="121" t="s">
        <v>1</v>
      </c>
      <c r="C7" s="152"/>
      <c r="D7" s="122" t="s">
        <v>935</v>
      </c>
      <c r="E7" s="147"/>
      <c r="F7" s="129" t="s">
        <v>3</v>
      </c>
      <c r="G7" s="123" t="s">
        <v>5</v>
      </c>
      <c r="H7" s="123" t="s">
        <v>6</v>
      </c>
      <c r="I7" s="124" t="s">
        <v>4</v>
      </c>
      <c r="J7" s="152"/>
      <c r="K7" s="130" t="s">
        <v>7</v>
      </c>
      <c r="L7" s="131" t="s">
        <v>8</v>
      </c>
      <c r="M7" s="132" t="s">
        <v>9</v>
      </c>
      <c r="N7" s="133" t="s">
        <v>31</v>
      </c>
      <c r="O7" s="11"/>
      <c r="P7" s="121" t="s">
        <v>10</v>
      </c>
      <c r="Q7" s="11"/>
      <c r="R7" s="122" t="s">
        <v>938</v>
      </c>
      <c r="S7" s="46"/>
      <c r="T7" s="122" t="s">
        <v>12</v>
      </c>
      <c r="U7" s="11"/>
    </row>
    <row r="8" spans="1:21" x14ac:dyDescent="0.3">
      <c r="A8" s="43"/>
      <c r="B8" s="2"/>
      <c r="C8" s="154"/>
      <c r="D8" s="1"/>
      <c r="E8" s="146"/>
      <c r="F8" s="1"/>
      <c r="G8" s="1"/>
      <c r="H8" s="1"/>
      <c r="I8" s="114"/>
      <c r="J8" s="150"/>
      <c r="K8" s="3"/>
      <c r="L8" s="4"/>
      <c r="M8" s="5"/>
      <c r="N8" s="5"/>
      <c r="O8" s="1"/>
      <c r="P8" s="34"/>
      <c r="Q8" s="1"/>
      <c r="R8" s="86"/>
      <c r="S8" s="1"/>
      <c r="T8" s="1"/>
      <c r="U8" s="1"/>
    </row>
    <row r="9" spans="1:21" ht="20.100000000000001" customHeight="1" x14ac:dyDescent="0.3">
      <c r="A9" s="44">
        <v>1</v>
      </c>
      <c r="B9" s="84">
        <v>46126</v>
      </c>
      <c r="C9" s="167"/>
      <c r="D9" s="168" t="s">
        <v>1202</v>
      </c>
      <c r="E9" s="167"/>
      <c r="F9" s="169">
        <v>50</v>
      </c>
      <c r="G9" s="169">
        <v>1</v>
      </c>
      <c r="H9" s="82">
        <f t="shared" ref="H9:H18" si="0">F9*G9</f>
        <v>50</v>
      </c>
      <c r="I9" s="115" t="s">
        <v>18</v>
      </c>
      <c r="J9" s="170"/>
      <c r="K9" s="171">
        <v>3500</v>
      </c>
      <c r="L9" s="172"/>
      <c r="M9" s="173">
        <f t="shared" ref="M9:M18" si="1">K9*L9</f>
        <v>0</v>
      </c>
      <c r="N9" s="173">
        <f t="shared" ref="N9:N18" si="2">K9+M9</f>
        <v>3500</v>
      </c>
      <c r="O9" s="174"/>
      <c r="P9" s="84">
        <v>46126</v>
      </c>
      <c r="Q9" s="174"/>
      <c r="R9" s="175" t="s">
        <v>1203</v>
      </c>
      <c r="S9" s="176"/>
      <c r="T9" s="168" t="s">
        <v>957</v>
      </c>
      <c r="U9" s="21"/>
    </row>
    <row r="10" spans="1:21" ht="20.100000000000001" customHeight="1" x14ac:dyDescent="0.3">
      <c r="A10" s="44">
        <v>2</v>
      </c>
      <c r="B10" s="78">
        <v>46139</v>
      </c>
      <c r="C10" s="145"/>
      <c r="D10" s="80" t="s">
        <v>698</v>
      </c>
      <c r="E10" s="148"/>
      <c r="F10" s="82">
        <v>37</v>
      </c>
      <c r="G10" s="82">
        <v>1000</v>
      </c>
      <c r="H10" s="82">
        <f t="shared" si="0"/>
        <v>37000</v>
      </c>
      <c r="I10" s="115" t="s">
        <v>51</v>
      </c>
      <c r="J10" s="151"/>
      <c r="K10" s="29">
        <v>2867</v>
      </c>
      <c r="L10" s="30">
        <v>0.05</v>
      </c>
      <c r="M10" s="31">
        <f t="shared" si="1"/>
        <v>143.35</v>
      </c>
      <c r="N10" s="31">
        <f t="shared" si="2"/>
        <v>3010.35</v>
      </c>
      <c r="O10" s="25"/>
      <c r="P10" s="78">
        <v>46139</v>
      </c>
      <c r="Q10" s="25"/>
      <c r="R10" s="175" t="s">
        <v>1205</v>
      </c>
      <c r="S10" s="21"/>
      <c r="T10" s="32" t="s">
        <v>309</v>
      </c>
      <c r="U10" s="21"/>
    </row>
    <row r="11" spans="1:21" ht="20.100000000000001" customHeight="1" x14ac:dyDescent="0.3">
      <c r="A11" s="44">
        <v>3</v>
      </c>
      <c r="B11" s="78">
        <v>46139</v>
      </c>
      <c r="C11" s="145"/>
      <c r="D11" s="80" t="s">
        <v>1204</v>
      </c>
      <c r="E11" s="148"/>
      <c r="F11" s="82">
        <v>77</v>
      </c>
      <c r="G11" s="82">
        <v>1000</v>
      </c>
      <c r="H11" s="82">
        <f t="shared" si="0"/>
        <v>77000</v>
      </c>
      <c r="I11" s="115" t="s">
        <v>51</v>
      </c>
      <c r="J11" s="151"/>
      <c r="K11" s="29">
        <v>2200</v>
      </c>
      <c r="L11" s="30">
        <v>0.05</v>
      </c>
      <c r="M11" s="31">
        <f t="shared" si="1"/>
        <v>110</v>
      </c>
      <c r="N11" s="31">
        <f t="shared" si="2"/>
        <v>2310</v>
      </c>
      <c r="O11" s="25"/>
      <c r="P11" s="78">
        <v>46139</v>
      </c>
      <c r="Q11" s="81"/>
      <c r="R11" s="175" t="s">
        <v>1205</v>
      </c>
      <c r="S11" s="21"/>
      <c r="T11" s="32" t="s">
        <v>309</v>
      </c>
      <c r="U11" s="21"/>
    </row>
    <row r="12" spans="1:21" ht="20.100000000000001" customHeight="1" x14ac:dyDescent="0.3">
      <c r="A12" s="44">
        <v>4</v>
      </c>
      <c r="B12" s="78">
        <v>46139</v>
      </c>
      <c r="C12" s="145"/>
      <c r="D12" s="80" t="s">
        <v>967</v>
      </c>
      <c r="E12" s="148"/>
      <c r="F12" s="82">
        <v>37</v>
      </c>
      <c r="G12" s="82">
        <v>1000</v>
      </c>
      <c r="H12" s="82">
        <f t="shared" si="0"/>
        <v>37000</v>
      </c>
      <c r="I12" s="115" t="s">
        <v>51</v>
      </c>
      <c r="J12" s="145"/>
      <c r="K12" s="91">
        <v>5304</v>
      </c>
      <c r="L12" s="92">
        <v>0.05</v>
      </c>
      <c r="M12" s="31">
        <f t="shared" si="1"/>
        <v>265.2</v>
      </c>
      <c r="N12" s="31">
        <f t="shared" si="2"/>
        <v>5569.2</v>
      </c>
      <c r="O12" s="25"/>
      <c r="P12" s="78">
        <v>46139</v>
      </c>
      <c r="Q12" s="81"/>
      <c r="R12" s="175" t="s">
        <v>1205</v>
      </c>
      <c r="S12" s="21"/>
      <c r="T12" s="32" t="s">
        <v>309</v>
      </c>
      <c r="U12" s="21"/>
    </row>
    <row r="13" spans="1:21" ht="20.100000000000001" customHeight="1" x14ac:dyDescent="0.3">
      <c r="A13" s="44">
        <v>5</v>
      </c>
      <c r="B13" s="22">
        <v>46142</v>
      </c>
      <c r="C13" s="145"/>
      <c r="D13" s="80" t="s">
        <v>887</v>
      </c>
      <c r="E13" s="148"/>
      <c r="F13" s="82">
        <v>31</v>
      </c>
      <c r="G13" s="82">
        <v>1000</v>
      </c>
      <c r="H13" s="82">
        <f t="shared" si="0"/>
        <v>31000</v>
      </c>
      <c r="I13" s="144" t="s">
        <v>51</v>
      </c>
      <c r="J13" s="145"/>
      <c r="K13" s="91">
        <v>2499</v>
      </c>
      <c r="L13" s="92">
        <v>0.05</v>
      </c>
      <c r="M13" s="31">
        <f t="shared" si="1"/>
        <v>124.95</v>
      </c>
      <c r="N13" s="31">
        <f t="shared" si="2"/>
        <v>2623.95</v>
      </c>
      <c r="O13" s="25"/>
      <c r="P13" s="22">
        <v>46142</v>
      </c>
      <c r="Q13" s="81"/>
      <c r="R13" s="175" t="s">
        <v>1206</v>
      </c>
      <c r="S13" s="21"/>
      <c r="T13" s="32" t="s">
        <v>124</v>
      </c>
      <c r="U13" s="21"/>
    </row>
    <row r="14" spans="1:21" ht="20.100000000000001" customHeight="1" x14ac:dyDescent="0.3">
      <c r="A14" s="44">
        <v>6</v>
      </c>
      <c r="B14" s="22">
        <v>46142</v>
      </c>
      <c r="C14" s="145"/>
      <c r="D14" s="80" t="s">
        <v>535</v>
      </c>
      <c r="E14" s="148"/>
      <c r="F14" s="82">
        <v>51</v>
      </c>
      <c r="G14" s="82">
        <v>1000</v>
      </c>
      <c r="H14" s="82">
        <f t="shared" si="0"/>
        <v>51000</v>
      </c>
      <c r="I14" s="144" t="s">
        <v>51</v>
      </c>
      <c r="J14" s="145"/>
      <c r="K14" s="91">
        <v>178</v>
      </c>
      <c r="L14" s="92">
        <v>0.05</v>
      </c>
      <c r="M14" s="31">
        <f t="shared" si="1"/>
        <v>8.9</v>
      </c>
      <c r="N14" s="31">
        <f t="shared" si="2"/>
        <v>186.9</v>
      </c>
      <c r="O14" s="25"/>
      <c r="P14" s="22">
        <v>46142</v>
      </c>
      <c r="Q14" s="81"/>
      <c r="R14" s="175" t="s">
        <v>1208</v>
      </c>
      <c r="S14" s="21"/>
      <c r="T14" s="32" t="s">
        <v>309</v>
      </c>
      <c r="U14" s="21"/>
    </row>
    <row r="15" spans="1:21" ht="20.100000000000001" customHeight="1" x14ac:dyDescent="0.3">
      <c r="A15" s="44">
        <v>7</v>
      </c>
      <c r="B15" s="22">
        <v>46142</v>
      </c>
      <c r="C15" s="145"/>
      <c r="D15" s="80" t="s">
        <v>890</v>
      </c>
      <c r="E15" s="148"/>
      <c r="F15" s="82">
        <v>51</v>
      </c>
      <c r="G15" s="82">
        <v>1000</v>
      </c>
      <c r="H15" s="82">
        <f t="shared" si="0"/>
        <v>51000</v>
      </c>
      <c r="I15" s="144" t="s">
        <v>51</v>
      </c>
      <c r="J15" s="145"/>
      <c r="K15" s="91">
        <v>240</v>
      </c>
      <c r="L15" s="92">
        <v>0.05</v>
      </c>
      <c r="M15" s="31">
        <f t="shared" si="1"/>
        <v>12</v>
      </c>
      <c r="N15" s="31">
        <f t="shared" si="2"/>
        <v>252</v>
      </c>
      <c r="O15" s="25"/>
      <c r="P15" s="22">
        <v>46142</v>
      </c>
      <c r="Q15" s="81"/>
      <c r="R15" s="175" t="s">
        <v>1208</v>
      </c>
      <c r="S15" s="21"/>
      <c r="T15" s="32" t="s">
        <v>309</v>
      </c>
      <c r="U15" s="21"/>
    </row>
    <row r="16" spans="1:21" s="39" customFormat="1" ht="20.100000000000001" customHeight="1" x14ac:dyDescent="0.2">
      <c r="A16" s="44">
        <v>8</v>
      </c>
      <c r="B16" s="22">
        <v>46142</v>
      </c>
      <c r="C16" s="145"/>
      <c r="D16" s="80" t="s">
        <v>698</v>
      </c>
      <c r="E16" s="148"/>
      <c r="F16" s="82">
        <v>31</v>
      </c>
      <c r="G16" s="82">
        <v>1000</v>
      </c>
      <c r="H16" s="82">
        <f t="shared" si="0"/>
        <v>31000</v>
      </c>
      <c r="I16" s="144" t="s">
        <v>51</v>
      </c>
      <c r="J16" s="145"/>
      <c r="K16" s="91">
        <v>2867</v>
      </c>
      <c r="L16" s="92">
        <v>0.05</v>
      </c>
      <c r="M16" s="31">
        <f t="shared" si="1"/>
        <v>143.35</v>
      </c>
      <c r="N16" s="31">
        <f t="shared" si="2"/>
        <v>3010.35</v>
      </c>
      <c r="O16" s="25"/>
      <c r="P16" s="22">
        <v>46142</v>
      </c>
      <c r="Q16" s="81"/>
      <c r="R16" s="175" t="s">
        <v>1208</v>
      </c>
      <c r="S16" s="21"/>
      <c r="T16" s="32" t="s">
        <v>309</v>
      </c>
      <c r="U16" s="21"/>
    </row>
    <row r="17" spans="1:21" s="39" customFormat="1" ht="20.100000000000001" customHeight="1" x14ac:dyDescent="0.2">
      <c r="A17" s="44">
        <v>9</v>
      </c>
      <c r="B17" s="22">
        <v>46142</v>
      </c>
      <c r="C17" s="145"/>
      <c r="D17" s="80" t="s">
        <v>1204</v>
      </c>
      <c r="E17" s="148"/>
      <c r="F17" s="82">
        <v>82</v>
      </c>
      <c r="G17" s="82">
        <v>1000</v>
      </c>
      <c r="H17" s="82">
        <f t="shared" si="0"/>
        <v>82000</v>
      </c>
      <c r="I17" s="144" t="s">
        <v>51</v>
      </c>
      <c r="J17" s="145"/>
      <c r="K17" s="91">
        <v>2200</v>
      </c>
      <c r="L17" s="92">
        <v>0.05</v>
      </c>
      <c r="M17" s="31">
        <f t="shared" si="1"/>
        <v>110</v>
      </c>
      <c r="N17" s="31">
        <f t="shared" si="2"/>
        <v>2310</v>
      </c>
      <c r="O17" s="25"/>
      <c r="P17" s="22">
        <v>46142</v>
      </c>
      <c r="Q17" s="81"/>
      <c r="R17" s="175" t="s">
        <v>1208</v>
      </c>
      <c r="S17" s="21"/>
      <c r="T17" s="32" t="s">
        <v>309</v>
      </c>
      <c r="U17" s="21"/>
    </row>
    <row r="18" spans="1:21" s="39" customFormat="1" ht="20.100000000000001" customHeight="1" x14ac:dyDescent="0.2">
      <c r="A18" s="44">
        <v>10</v>
      </c>
      <c r="B18" s="22">
        <v>46142</v>
      </c>
      <c r="C18" s="145"/>
      <c r="D18" s="80" t="s">
        <v>1207</v>
      </c>
      <c r="E18" s="148"/>
      <c r="F18" s="82">
        <v>82</v>
      </c>
      <c r="G18" s="82">
        <v>1000</v>
      </c>
      <c r="H18" s="82">
        <f t="shared" si="0"/>
        <v>82000</v>
      </c>
      <c r="I18" s="144" t="s">
        <v>51</v>
      </c>
      <c r="J18" s="145"/>
      <c r="K18" s="91">
        <v>1045</v>
      </c>
      <c r="L18" s="92">
        <v>0.05</v>
      </c>
      <c r="M18" s="31">
        <f t="shared" si="1"/>
        <v>52.25</v>
      </c>
      <c r="N18" s="31">
        <f t="shared" si="2"/>
        <v>1097.25</v>
      </c>
      <c r="O18" s="25"/>
      <c r="P18" s="22">
        <v>46142</v>
      </c>
      <c r="Q18" s="81"/>
      <c r="R18" s="175" t="s">
        <v>1208</v>
      </c>
      <c r="S18" s="21"/>
      <c r="T18" s="32" t="s">
        <v>309</v>
      </c>
      <c r="U18" s="21"/>
    </row>
    <row r="19" spans="1:21" s="39" customFormat="1" ht="20.100000000000001" customHeight="1" x14ac:dyDescent="0.2">
      <c r="A19" s="44">
        <v>11</v>
      </c>
      <c r="B19" s="22">
        <v>46142</v>
      </c>
      <c r="C19" s="145"/>
      <c r="D19" s="80" t="s">
        <v>529</v>
      </c>
      <c r="E19" s="148"/>
      <c r="F19" s="82">
        <v>105</v>
      </c>
      <c r="G19" s="82">
        <v>30</v>
      </c>
      <c r="H19" s="82">
        <f t="shared" ref="H19:H50" si="3">F19*G19</f>
        <v>3150</v>
      </c>
      <c r="I19" s="144" t="s">
        <v>230</v>
      </c>
      <c r="J19" s="145"/>
      <c r="K19" s="91">
        <v>1.75</v>
      </c>
      <c r="L19" s="92">
        <v>0.05</v>
      </c>
      <c r="M19" s="31">
        <f t="shared" ref="M19:M50" si="4">K19*L19</f>
        <v>8.7500000000000008E-2</v>
      </c>
      <c r="N19" s="31">
        <f t="shared" ref="N19:N50" si="5">K19+M19</f>
        <v>1.8374999999999999</v>
      </c>
      <c r="O19" s="25"/>
      <c r="P19" s="22">
        <v>46142</v>
      </c>
      <c r="Q19" s="81"/>
      <c r="R19" s="175" t="s">
        <v>1208</v>
      </c>
      <c r="S19" s="21"/>
      <c r="T19" s="32" t="s">
        <v>309</v>
      </c>
      <c r="U19" s="21"/>
    </row>
    <row r="20" spans="1:21" s="39" customFormat="1" ht="20.100000000000001" customHeight="1" x14ac:dyDescent="0.2">
      <c r="A20" s="44">
        <v>12</v>
      </c>
      <c r="B20" s="22">
        <v>46142</v>
      </c>
      <c r="C20" s="145"/>
      <c r="D20" s="80" t="s">
        <v>1209</v>
      </c>
      <c r="E20" s="148"/>
      <c r="F20" s="82">
        <v>51</v>
      </c>
      <c r="G20" s="82">
        <v>1000</v>
      </c>
      <c r="H20" s="82">
        <f t="shared" si="3"/>
        <v>51000</v>
      </c>
      <c r="I20" s="144" t="s">
        <v>51</v>
      </c>
      <c r="J20" s="145"/>
      <c r="K20" s="91">
        <v>1350</v>
      </c>
      <c r="L20" s="92">
        <v>0.05</v>
      </c>
      <c r="M20" s="31">
        <f t="shared" si="4"/>
        <v>67.5</v>
      </c>
      <c r="N20" s="31">
        <f t="shared" si="5"/>
        <v>1417.5</v>
      </c>
      <c r="O20" s="25"/>
      <c r="P20" s="22">
        <v>46142</v>
      </c>
      <c r="Q20" s="81"/>
      <c r="R20" s="175" t="s">
        <v>1213</v>
      </c>
      <c r="S20" s="21"/>
      <c r="T20" s="32" t="s">
        <v>1214</v>
      </c>
      <c r="U20" s="21"/>
    </row>
    <row r="21" spans="1:21" s="39" customFormat="1" ht="20.100000000000001" customHeight="1" x14ac:dyDescent="0.2">
      <c r="A21" s="44">
        <v>13</v>
      </c>
      <c r="B21" s="22">
        <v>46142</v>
      </c>
      <c r="C21" s="145"/>
      <c r="D21" s="80" t="s">
        <v>1210</v>
      </c>
      <c r="E21" s="148"/>
      <c r="F21" s="82">
        <v>51</v>
      </c>
      <c r="G21" s="82">
        <v>1000</v>
      </c>
      <c r="H21" s="82">
        <f t="shared" si="3"/>
        <v>51000</v>
      </c>
      <c r="I21" s="144" t="s">
        <v>51</v>
      </c>
      <c r="J21" s="145"/>
      <c r="K21" s="91">
        <v>480</v>
      </c>
      <c r="L21" s="92">
        <v>0.05</v>
      </c>
      <c r="M21" s="31">
        <f t="shared" si="4"/>
        <v>24</v>
      </c>
      <c r="N21" s="31">
        <f t="shared" si="5"/>
        <v>504</v>
      </c>
      <c r="O21" s="25"/>
      <c r="P21" s="22">
        <v>46142</v>
      </c>
      <c r="Q21" s="81"/>
      <c r="R21" s="175" t="s">
        <v>1213</v>
      </c>
      <c r="S21" s="21"/>
      <c r="T21" s="32" t="s">
        <v>1214</v>
      </c>
      <c r="U21" s="21"/>
    </row>
    <row r="22" spans="1:21" s="39" customFormat="1" ht="20.100000000000001" customHeight="1" x14ac:dyDescent="0.2">
      <c r="A22" s="44">
        <v>14</v>
      </c>
      <c r="B22" s="22">
        <v>46142</v>
      </c>
      <c r="C22" s="145"/>
      <c r="D22" s="80" t="s">
        <v>1211</v>
      </c>
      <c r="E22" s="148"/>
      <c r="F22" s="82">
        <v>51</v>
      </c>
      <c r="G22" s="82">
        <v>1000</v>
      </c>
      <c r="H22" s="82">
        <f t="shared" si="3"/>
        <v>51000</v>
      </c>
      <c r="I22" s="144" t="s">
        <v>51</v>
      </c>
      <c r="J22" s="145"/>
      <c r="K22" s="91">
        <v>230</v>
      </c>
      <c r="L22" s="92">
        <v>0.05</v>
      </c>
      <c r="M22" s="31">
        <f t="shared" si="4"/>
        <v>11.5</v>
      </c>
      <c r="N22" s="31">
        <f t="shared" si="5"/>
        <v>241.5</v>
      </c>
      <c r="O22" s="25"/>
      <c r="P22" s="22">
        <v>46142</v>
      </c>
      <c r="Q22" s="81"/>
      <c r="R22" s="175" t="s">
        <v>1213</v>
      </c>
      <c r="S22" s="21"/>
      <c r="T22" s="32" t="s">
        <v>1214</v>
      </c>
      <c r="U22" s="21"/>
    </row>
    <row r="23" spans="1:21" s="39" customFormat="1" ht="20.100000000000001" customHeight="1" x14ac:dyDescent="0.2">
      <c r="A23" s="44">
        <v>15</v>
      </c>
      <c r="B23" s="22">
        <v>46142</v>
      </c>
      <c r="C23" s="145"/>
      <c r="D23" s="80" t="s">
        <v>1212</v>
      </c>
      <c r="E23" s="148"/>
      <c r="F23" s="82">
        <v>51</v>
      </c>
      <c r="G23" s="82">
        <v>1000</v>
      </c>
      <c r="H23" s="82">
        <f t="shared" si="3"/>
        <v>51000</v>
      </c>
      <c r="I23" s="144" t="s">
        <v>51</v>
      </c>
      <c r="J23" s="145"/>
      <c r="K23" s="91">
        <v>2600</v>
      </c>
      <c r="L23" s="92">
        <v>0.05</v>
      </c>
      <c r="M23" s="31">
        <f t="shared" si="4"/>
        <v>130</v>
      </c>
      <c r="N23" s="31">
        <f t="shared" si="5"/>
        <v>2730</v>
      </c>
      <c r="O23" s="25"/>
      <c r="P23" s="22">
        <v>46142</v>
      </c>
      <c r="Q23" s="81"/>
      <c r="R23" s="175" t="s">
        <v>1213</v>
      </c>
      <c r="S23" s="21"/>
      <c r="T23" s="32" t="s">
        <v>1214</v>
      </c>
      <c r="U23" s="21"/>
    </row>
    <row r="24" spans="1:21" s="39" customFormat="1" ht="20.100000000000001" customHeight="1" x14ac:dyDescent="0.2">
      <c r="A24" s="44">
        <v>16</v>
      </c>
      <c r="B24" s="22">
        <v>46142</v>
      </c>
      <c r="C24" s="145"/>
      <c r="D24" s="80" t="s">
        <v>1215</v>
      </c>
      <c r="E24" s="148"/>
      <c r="F24" s="82">
        <v>51</v>
      </c>
      <c r="G24" s="82">
        <v>2000</v>
      </c>
      <c r="H24" s="82">
        <f t="shared" si="3"/>
        <v>102000</v>
      </c>
      <c r="I24" s="144" t="s">
        <v>51</v>
      </c>
      <c r="J24" s="145"/>
      <c r="K24" s="91">
        <v>5225</v>
      </c>
      <c r="L24" s="92">
        <v>0.05</v>
      </c>
      <c r="M24" s="31">
        <f t="shared" si="4"/>
        <v>261.25</v>
      </c>
      <c r="N24" s="31">
        <f t="shared" si="5"/>
        <v>5486.25</v>
      </c>
      <c r="O24" s="25"/>
      <c r="P24" s="22">
        <v>46144</v>
      </c>
      <c r="Q24" s="81"/>
      <c r="R24" s="175" t="s">
        <v>1216</v>
      </c>
      <c r="S24" s="21"/>
      <c r="T24" s="32" t="s">
        <v>1010</v>
      </c>
      <c r="U24" s="21"/>
    </row>
    <row r="25" spans="1:21" s="39" customFormat="1" ht="20.100000000000001" customHeight="1" x14ac:dyDescent="0.2">
      <c r="A25" s="44">
        <v>17</v>
      </c>
      <c r="B25" s="78">
        <v>46149</v>
      </c>
      <c r="C25" s="145"/>
      <c r="D25" s="80" t="s">
        <v>1065</v>
      </c>
      <c r="E25" s="148"/>
      <c r="F25" s="82">
        <v>60</v>
      </c>
      <c r="G25" s="82">
        <v>25</v>
      </c>
      <c r="H25" s="82">
        <f t="shared" si="3"/>
        <v>1500</v>
      </c>
      <c r="I25" s="144" t="s">
        <v>18</v>
      </c>
      <c r="J25" s="145"/>
      <c r="K25" s="91">
        <v>3375</v>
      </c>
      <c r="L25" s="92"/>
      <c r="M25" s="31">
        <f t="shared" si="4"/>
        <v>0</v>
      </c>
      <c r="N25" s="31">
        <f t="shared" si="5"/>
        <v>3375</v>
      </c>
      <c r="O25" s="25"/>
      <c r="P25" s="22">
        <v>46150</v>
      </c>
      <c r="Q25" s="81"/>
      <c r="R25" s="175" t="s">
        <v>1218</v>
      </c>
      <c r="S25" s="21"/>
      <c r="T25" s="32" t="s">
        <v>349</v>
      </c>
      <c r="U25" s="21"/>
    </row>
    <row r="26" spans="1:21" s="39" customFormat="1" ht="20.100000000000001" customHeight="1" x14ac:dyDescent="0.2">
      <c r="A26" s="44">
        <v>18</v>
      </c>
      <c r="B26" s="78">
        <v>46149</v>
      </c>
      <c r="C26" s="145"/>
      <c r="D26" s="80" t="s">
        <v>1217</v>
      </c>
      <c r="E26" s="148"/>
      <c r="F26" s="82">
        <v>62</v>
      </c>
      <c r="G26" s="82">
        <v>1000</v>
      </c>
      <c r="H26" s="82">
        <f t="shared" ref="H26:H27" si="6">F26*G26</f>
        <v>62000</v>
      </c>
      <c r="I26" s="144" t="s">
        <v>51</v>
      </c>
      <c r="J26" s="145"/>
      <c r="K26" s="91">
        <v>5200</v>
      </c>
      <c r="L26" s="92">
        <v>0.05</v>
      </c>
      <c r="M26" s="31">
        <f t="shared" ref="M26" si="7">K26*L26</f>
        <v>260</v>
      </c>
      <c r="N26" s="31">
        <f t="shared" ref="N26" si="8">K26+M26</f>
        <v>5460</v>
      </c>
      <c r="O26" s="25"/>
      <c r="P26" s="22">
        <v>46150</v>
      </c>
      <c r="Q26" s="81"/>
      <c r="R26" s="175" t="s">
        <v>1219</v>
      </c>
      <c r="S26" s="21"/>
      <c r="T26" s="32" t="s">
        <v>1220</v>
      </c>
      <c r="U26" s="21"/>
    </row>
    <row r="27" spans="1:21" s="39" customFormat="1" ht="20.100000000000001" customHeight="1" x14ac:dyDescent="0.2">
      <c r="A27" s="44">
        <v>19</v>
      </c>
      <c r="B27" s="78">
        <v>46149</v>
      </c>
      <c r="C27" s="145"/>
      <c r="D27" s="80" t="s">
        <v>1045</v>
      </c>
      <c r="E27" s="148"/>
      <c r="F27" s="82">
        <v>12</v>
      </c>
      <c r="G27" s="82">
        <v>25</v>
      </c>
      <c r="H27" s="82">
        <f t="shared" si="6"/>
        <v>300</v>
      </c>
      <c r="I27" s="144" t="s">
        <v>18</v>
      </c>
      <c r="J27" s="145"/>
      <c r="K27" s="91">
        <v>31250</v>
      </c>
      <c r="L27" s="92"/>
      <c r="M27" s="31">
        <f t="shared" si="4"/>
        <v>0</v>
      </c>
      <c r="N27" s="31">
        <f t="shared" si="5"/>
        <v>31250</v>
      </c>
      <c r="O27" s="25"/>
      <c r="P27" s="22">
        <v>46153</v>
      </c>
      <c r="Q27" s="81"/>
      <c r="R27" s="175" t="s">
        <v>1221</v>
      </c>
      <c r="S27" s="21"/>
      <c r="T27" s="32" t="s">
        <v>1222</v>
      </c>
      <c r="U27" s="21"/>
    </row>
    <row r="28" spans="1:21" s="39" customFormat="1" ht="20.100000000000001" customHeight="1" x14ac:dyDescent="0.2">
      <c r="A28" s="44">
        <v>20</v>
      </c>
      <c r="B28" s="78">
        <v>46153</v>
      </c>
      <c r="C28" s="145"/>
      <c r="D28" s="80" t="s">
        <v>1223</v>
      </c>
      <c r="E28" s="148"/>
      <c r="F28" s="82">
        <v>51</v>
      </c>
      <c r="G28" s="82">
        <v>1000</v>
      </c>
      <c r="H28" s="82">
        <f t="shared" si="3"/>
        <v>51000</v>
      </c>
      <c r="I28" s="144" t="s">
        <v>51</v>
      </c>
      <c r="J28" s="145"/>
      <c r="K28" s="91">
        <v>1900</v>
      </c>
      <c r="L28" s="92">
        <v>0.05</v>
      </c>
      <c r="M28" s="31">
        <f t="shared" si="4"/>
        <v>95</v>
      </c>
      <c r="N28" s="31">
        <f t="shared" si="5"/>
        <v>1995</v>
      </c>
      <c r="O28" s="25"/>
      <c r="P28" s="22">
        <v>46154</v>
      </c>
      <c r="Q28" s="81"/>
      <c r="R28" s="175" t="s">
        <v>1224</v>
      </c>
      <c r="S28" s="21"/>
      <c r="T28" s="32" t="s">
        <v>1220</v>
      </c>
      <c r="U28" s="21"/>
    </row>
    <row r="29" spans="1:21" s="39" customFormat="1" ht="20.100000000000001" customHeight="1" x14ac:dyDescent="0.2">
      <c r="A29" s="44">
        <v>21</v>
      </c>
      <c r="B29" s="78">
        <v>46153</v>
      </c>
      <c r="C29" s="145"/>
      <c r="D29" s="80" t="s">
        <v>247</v>
      </c>
      <c r="E29" s="148"/>
      <c r="F29" s="82">
        <v>51</v>
      </c>
      <c r="G29" s="82">
        <v>1000</v>
      </c>
      <c r="H29" s="82">
        <f t="shared" ref="H29:H30" si="9">F29*G29</f>
        <v>51000</v>
      </c>
      <c r="I29" s="144" t="s">
        <v>51</v>
      </c>
      <c r="J29" s="145"/>
      <c r="K29" s="91">
        <v>138</v>
      </c>
      <c r="L29" s="92">
        <v>0.05</v>
      </c>
      <c r="M29" s="31">
        <f t="shared" si="4"/>
        <v>6.9</v>
      </c>
      <c r="N29" s="31">
        <f t="shared" si="5"/>
        <v>144.9</v>
      </c>
      <c r="O29" s="25"/>
      <c r="P29" s="22">
        <v>46154</v>
      </c>
      <c r="Q29" s="81"/>
      <c r="R29" s="175" t="s">
        <v>1225</v>
      </c>
      <c r="S29" s="21"/>
      <c r="T29" s="32" t="s">
        <v>309</v>
      </c>
      <c r="U29" s="21"/>
    </row>
    <row r="30" spans="1:21" s="39" customFormat="1" ht="20.100000000000001" customHeight="1" x14ac:dyDescent="0.2">
      <c r="A30" s="44">
        <v>22</v>
      </c>
      <c r="B30" s="78">
        <v>46153</v>
      </c>
      <c r="C30" s="145"/>
      <c r="D30" s="80" t="s">
        <v>591</v>
      </c>
      <c r="E30" s="148"/>
      <c r="F30" s="82">
        <v>51</v>
      </c>
      <c r="G30" s="82">
        <v>1000</v>
      </c>
      <c r="H30" s="82">
        <f t="shared" si="9"/>
        <v>51000</v>
      </c>
      <c r="I30" s="144" t="s">
        <v>51</v>
      </c>
      <c r="J30" s="145"/>
      <c r="K30" s="91">
        <v>1025</v>
      </c>
      <c r="L30" s="92">
        <v>0.05</v>
      </c>
      <c r="M30" s="31">
        <f t="shared" si="4"/>
        <v>51.25</v>
      </c>
      <c r="N30" s="31">
        <f t="shared" si="5"/>
        <v>1076.25</v>
      </c>
      <c r="O30" s="25"/>
      <c r="P30" s="22">
        <v>46154</v>
      </c>
      <c r="Q30" s="81"/>
      <c r="R30" s="175" t="s">
        <v>1225</v>
      </c>
      <c r="S30" s="21"/>
      <c r="T30" s="32" t="s">
        <v>309</v>
      </c>
      <c r="U30" s="21"/>
    </row>
    <row r="31" spans="1:21" s="39" customFormat="1" ht="20.100000000000001" customHeight="1" x14ac:dyDescent="0.2">
      <c r="A31" s="44">
        <v>23</v>
      </c>
      <c r="B31" s="78">
        <v>46153</v>
      </c>
      <c r="C31" s="145"/>
      <c r="D31" s="80" t="s">
        <v>527</v>
      </c>
      <c r="E31" s="148"/>
      <c r="F31" s="82">
        <v>55</v>
      </c>
      <c r="G31" s="82">
        <v>500</v>
      </c>
      <c r="H31" s="82">
        <f t="shared" si="3"/>
        <v>27500</v>
      </c>
      <c r="I31" s="144" t="s">
        <v>230</v>
      </c>
      <c r="J31" s="145"/>
      <c r="K31" s="91">
        <v>1.75</v>
      </c>
      <c r="L31" s="92">
        <v>0.05</v>
      </c>
      <c r="M31" s="31">
        <f t="shared" si="4"/>
        <v>8.7500000000000008E-2</v>
      </c>
      <c r="N31" s="31">
        <f t="shared" si="5"/>
        <v>1.8374999999999999</v>
      </c>
      <c r="O31" s="25"/>
      <c r="P31" s="22">
        <v>46154</v>
      </c>
      <c r="Q31" s="81"/>
      <c r="R31" s="175" t="s">
        <v>1225</v>
      </c>
      <c r="S31" s="21"/>
      <c r="T31" s="32" t="s">
        <v>309</v>
      </c>
      <c r="U31" s="21"/>
    </row>
    <row r="32" spans="1:21" s="39" customFormat="1" ht="20.100000000000001" customHeight="1" x14ac:dyDescent="0.2">
      <c r="A32" s="44">
        <v>24</v>
      </c>
      <c r="B32" s="78">
        <v>46153</v>
      </c>
      <c r="C32" s="145"/>
      <c r="D32" s="80" t="s">
        <v>1226</v>
      </c>
      <c r="E32" s="148"/>
      <c r="F32" s="82">
        <v>77</v>
      </c>
      <c r="G32" s="82">
        <v>1000</v>
      </c>
      <c r="H32" s="82">
        <f t="shared" si="3"/>
        <v>77000</v>
      </c>
      <c r="I32" s="144" t="s">
        <v>51</v>
      </c>
      <c r="J32" s="145"/>
      <c r="K32" s="91">
        <v>400</v>
      </c>
      <c r="L32" s="92">
        <v>0.05</v>
      </c>
      <c r="M32" s="31">
        <f t="shared" si="4"/>
        <v>20</v>
      </c>
      <c r="N32" s="31">
        <f t="shared" si="5"/>
        <v>420</v>
      </c>
      <c r="O32" s="25"/>
      <c r="P32" s="22">
        <v>46154</v>
      </c>
      <c r="Q32" s="81"/>
      <c r="R32" s="175" t="s">
        <v>1228</v>
      </c>
      <c r="S32" s="21"/>
      <c r="T32" s="32" t="s">
        <v>1214</v>
      </c>
      <c r="U32" s="21"/>
    </row>
    <row r="33" spans="1:21" s="39" customFormat="1" ht="20.100000000000001" customHeight="1" x14ac:dyDescent="0.2">
      <c r="A33" s="44">
        <v>25</v>
      </c>
      <c r="B33" s="78">
        <v>46153</v>
      </c>
      <c r="C33" s="145"/>
      <c r="D33" s="80" t="s">
        <v>1227</v>
      </c>
      <c r="E33" s="148"/>
      <c r="F33" s="82">
        <v>51</v>
      </c>
      <c r="G33" s="82">
        <v>1000</v>
      </c>
      <c r="H33" s="82">
        <f t="shared" si="3"/>
        <v>51000</v>
      </c>
      <c r="I33" s="144" t="s">
        <v>51</v>
      </c>
      <c r="J33" s="145"/>
      <c r="K33" s="91">
        <v>6650</v>
      </c>
      <c r="L33" s="92">
        <v>0.05</v>
      </c>
      <c r="M33" s="31">
        <f t="shared" si="4"/>
        <v>332.5</v>
      </c>
      <c r="N33" s="31">
        <f t="shared" si="5"/>
        <v>6982.5</v>
      </c>
      <c r="O33" s="25"/>
      <c r="P33" s="22">
        <v>46154</v>
      </c>
      <c r="Q33" s="81"/>
      <c r="R33" s="175" t="s">
        <v>1228</v>
      </c>
      <c r="S33" s="21"/>
      <c r="T33" s="32" t="s">
        <v>1214</v>
      </c>
      <c r="U33" s="21"/>
    </row>
    <row r="34" spans="1:21" s="39" customFormat="1" ht="20.100000000000001" customHeight="1" x14ac:dyDescent="0.2">
      <c r="A34" s="44">
        <v>26</v>
      </c>
      <c r="B34" s="78">
        <v>46153</v>
      </c>
      <c r="C34" s="145"/>
      <c r="D34" s="80" t="s">
        <v>946</v>
      </c>
      <c r="E34" s="148"/>
      <c r="F34" s="82">
        <v>51</v>
      </c>
      <c r="G34" s="82">
        <v>1000</v>
      </c>
      <c r="H34" s="82">
        <f t="shared" si="3"/>
        <v>51000</v>
      </c>
      <c r="I34" s="144" t="s">
        <v>51</v>
      </c>
      <c r="J34" s="145"/>
      <c r="K34" s="91">
        <v>3432</v>
      </c>
      <c r="L34" s="92">
        <v>0.05</v>
      </c>
      <c r="M34" s="31">
        <f t="shared" si="4"/>
        <v>171.60000000000002</v>
      </c>
      <c r="N34" s="31">
        <f t="shared" si="5"/>
        <v>3603.6</v>
      </c>
      <c r="O34" s="25"/>
      <c r="P34" s="22">
        <v>46154</v>
      </c>
      <c r="Q34" s="81"/>
      <c r="R34" s="175" t="s">
        <v>1228</v>
      </c>
      <c r="S34" s="21"/>
      <c r="T34" s="32" t="s">
        <v>1214</v>
      </c>
      <c r="U34" s="21"/>
    </row>
    <row r="35" spans="1:21" s="39" customFormat="1" ht="20.100000000000001" customHeight="1" x14ac:dyDescent="0.2">
      <c r="A35" s="44">
        <v>27</v>
      </c>
      <c r="B35" s="78">
        <v>46153</v>
      </c>
      <c r="C35" s="145"/>
      <c r="D35" s="80" t="s">
        <v>1191</v>
      </c>
      <c r="E35" s="148"/>
      <c r="F35" s="82">
        <v>40</v>
      </c>
      <c r="G35" s="82">
        <v>5</v>
      </c>
      <c r="H35" s="82">
        <f t="shared" si="3"/>
        <v>200</v>
      </c>
      <c r="I35" s="144" t="s">
        <v>18</v>
      </c>
      <c r="J35" s="145"/>
      <c r="K35" s="91">
        <v>2306</v>
      </c>
      <c r="L35" s="92"/>
      <c r="M35" s="31">
        <f t="shared" si="4"/>
        <v>0</v>
      </c>
      <c r="N35" s="31">
        <f t="shared" si="5"/>
        <v>2306</v>
      </c>
      <c r="O35" s="25"/>
      <c r="P35" s="22">
        <v>46154</v>
      </c>
      <c r="Q35" s="81"/>
      <c r="R35" s="175" t="s">
        <v>1229</v>
      </c>
      <c r="S35" s="21"/>
      <c r="T35" s="32" t="s">
        <v>1006</v>
      </c>
      <c r="U35" s="21"/>
    </row>
    <row r="36" spans="1:21" s="39" customFormat="1" ht="20.100000000000001" customHeight="1" x14ac:dyDescent="0.2">
      <c r="A36" s="44">
        <v>28</v>
      </c>
      <c r="B36" s="78">
        <v>46153</v>
      </c>
      <c r="C36" s="145"/>
      <c r="D36" s="80" t="s">
        <v>1193</v>
      </c>
      <c r="E36" s="148"/>
      <c r="F36" s="82">
        <v>150</v>
      </c>
      <c r="G36" s="82">
        <v>100</v>
      </c>
      <c r="H36" s="82">
        <f t="shared" ref="H36" si="10">F36*G36</f>
        <v>15000</v>
      </c>
      <c r="I36" s="144" t="s">
        <v>66</v>
      </c>
      <c r="J36" s="145"/>
      <c r="K36" s="91">
        <v>101</v>
      </c>
      <c r="L36" s="92"/>
      <c r="M36" s="31">
        <f t="shared" ref="M36" si="11">K36*L36</f>
        <v>0</v>
      </c>
      <c r="N36" s="31">
        <f t="shared" ref="N36" si="12">K36+M36</f>
        <v>101</v>
      </c>
      <c r="O36" s="25"/>
      <c r="P36" s="22">
        <v>46154</v>
      </c>
      <c r="Q36" s="81"/>
      <c r="R36" s="175" t="s">
        <v>1229</v>
      </c>
      <c r="S36" s="21"/>
      <c r="T36" s="32" t="s">
        <v>1006</v>
      </c>
      <c r="U36" s="21"/>
    </row>
    <row r="37" spans="1:21" s="39" customFormat="1" ht="20.100000000000001" customHeight="1" x14ac:dyDescent="0.2">
      <c r="A37" s="44">
        <v>29</v>
      </c>
      <c r="B37" s="78">
        <v>46153</v>
      </c>
      <c r="C37" s="145"/>
      <c r="D37" s="80" t="s">
        <v>1230</v>
      </c>
      <c r="E37" s="148"/>
      <c r="F37" s="82">
        <v>40</v>
      </c>
      <c r="G37" s="82">
        <v>5</v>
      </c>
      <c r="H37" s="82">
        <f t="shared" si="3"/>
        <v>200</v>
      </c>
      <c r="I37" s="144" t="s">
        <v>18</v>
      </c>
      <c r="J37" s="145"/>
      <c r="K37" s="91">
        <v>2985</v>
      </c>
      <c r="L37" s="92"/>
      <c r="M37" s="31">
        <f t="shared" si="4"/>
        <v>0</v>
      </c>
      <c r="N37" s="31">
        <f t="shared" si="5"/>
        <v>2985</v>
      </c>
      <c r="O37" s="25"/>
      <c r="P37" s="22">
        <v>46154</v>
      </c>
      <c r="Q37" s="81"/>
      <c r="R37" s="175" t="s">
        <v>1231</v>
      </c>
      <c r="S37" s="21"/>
      <c r="T37" s="32" t="s">
        <v>68</v>
      </c>
      <c r="U37" s="21"/>
    </row>
    <row r="38" spans="1:21" s="39" customFormat="1" ht="20.100000000000001" customHeight="1" x14ac:dyDescent="0.2">
      <c r="A38" s="44">
        <v>30</v>
      </c>
      <c r="B38" s="78">
        <v>46157</v>
      </c>
      <c r="C38" s="145"/>
      <c r="D38" s="80" t="s">
        <v>337</v>
      </c>
      <c r="E38" s="148"/>
      <c r="F38" s="82">
        <v>40</v>
      </c>
      <c r="G38" s="82">
        <v>25</v>
      </c>
      <c r="H38" s="82">
        <f t="shared" si="3"/>
        <v>1000</v>
      </c>
      <c r="I38" s="144" t="s">
        <v>18</v>
      </c>
      <c r="J38" s="145" t="s">
        <v>717</v>
      </c>
      <c r="K38" s="109">
        <v>1750</v>
      </c>
      <c r="L38" s="92"/>
      <c r="M38" s="31">
        <f t="shared" si="4"/>
        <v>0</v>
      </c>
      <c r="N38" s="31">
        <f t="shared" si="5"/>
        <v>1750</v>
      </c>
      <c r="O38" s="25"/>
      <c r="P38" s="22">
        <v>46162</v>
      </c>
      <c r="Q38" s="81"/>
      <c r="R38" s="175" t="s">
        <v>1232</v>
      </c>
      <c r="S38" s="21"/>
      <c r="T38" s="32" t="s">
        <v>1233</v>
      </c>
      <c r="U38" s="21"/>
    </row>
    <row r="39" spans="1:21" s="39" customFormat="1" ht="20.100000000000001" customHeight="1" x14ac:dyDescent="0.2">
      <c r="A39" s="44">
        <v>31</v>
      </c>
      <c r="B39" s="78">
        <v>46176</v>
      </c>
      <c r="C39" s="145"/>
      <c r="D39" s="80" t="s">
        <v>1073</v>
      </c>
      <c r="E39" s="148"/>
      <c r="F39" s="82">
        <v>60</v>
      </c>
      <c r="G39" s="82">
        <v>5</v>
      </c>
      <c r="H39" s="82">
        <f t="shared" si="3"/>
        <v>300</v>
      </c>
      <c r="I39" s="144" t="s">
        <v>18</v>
      </c>
      <c r="J39" s="145"/>
      <c r="K39" s="91">
        <v>4750</v>
      </c>
      <c r="L39" s="92"/>
      <c r="M39" s="31">
        <f t="shared" si="4"/>
        <v>0</v>
      </c>
      <c r="N39" s="31">
        <f t="shared" si="5"/>
        <v>4750</v>
      </c>
      <c r="O39" s="25"/>
      <c r="P39" s="22">
        <v>46177</v>
      </c>
      <c r="Q39" s="81"/>
      <c r="R39" s="175" t="s">
        <v>1234</v>
      </c>
      <c r="S39" s="21"/>
      <c r="T39" s="32" t="s">
        <v>1235</v>
      </c>
      <c r="U39" s="21"/>
    </row>
    <row r="40" spans="1:21" s="39" customFormat="1" ht="20.100000000000001" customHeight="1" x14ac:dyDescent="0.2">
      <c r="A40" s="44">
        <v>32</v>
      </c>
      <c r="B40" s="78">
        <v>46176</v>
      </c>
      <c r="C40" s="145"/>
      <c r="D40" s="80" t="s">
        <v>1076</v>
      </c>
      <c r="E40" s="148"/>
      <c r="F40" s="82">
        <v>14</v>
      </c>
      <c r="G40" s="82">
        <v>25</v>
      </c>
      <c r="H40" s="82">
        <f t="shared" si="3"/>
        <v>350</v>
      </c>
      <c r="I40" s="144" t="s">
        <v>18</v>
      </c>
      <c r="J40" s="145"/>
      <c r="K40" s="91">
        <v>10500</v>
      </c>
      <c r="L40" s="92"/>
      <c r="M40" s="31">
        <f t="shared" si="4"/>
        <v>0</v>
      </c>
      <c r="N40" s="31">
        <f t="shared" si="5"/>
        <v>10500</v>
      </c>
      <c r="O40" s="25"/>
      <c r="P40" s="22">
        <v>46177</v>
      </c>
      <c r="Q40" s="81"/>
      <c r="R40" s="175" t="s">
        <v>1236</v>
      </c>
      <c r="S40" s="21"/>
      <c r="T40" s="32" t="s">
        <v>1237</v>
      </c>
      <c r="U40" s="21"/>
    </row>
    <row r="41" spans="1:21" s="39" customFormat="1" ht="20.100000000000001" customHeight="1" x14ac:dyDescent="0.2">
      <c r="A41" s="44">
        <v>33</v>
      </c>
      <c r="B41" s="78">
        <v>46176</v>
      </c>
      <c r="C41" s="145"/>
      <c r="D41" s="80" t="s">
        <v>1238</v>
      </c>
      <c r="E41" s="148"/>
      <c r="F41" s="82">
        <v>24</v>
      </c>
      <c r="G41" s="82">
        <v>25</v>
      </c>
      <c r="H41" s="82">
        <f t="shared" si="3"/>
        <v>600</v>
      </c>
      <c r="I41" s="144" t="s">
        <v>18</v>
      </c>
      <c r="J41" s="145"/>
      <c r="K41" s="91">
        <v>9750</v>
      </c>
      <c r="L41" s="92"/>
      <c r="M41" s="31">
        <f t="shared" si="4"/>
        <v>0</v>
      </c>
      <c r="N41" s="31">
        <f t="shared" si="5"/>
        <v>9750</v>
      </c>
      <c r="O41" s="25"/>
      <c r="P41" s="22">
        <v>46177</v>
      </c>
      <c r="Q41" s="81"/>
      <c r="R41" s="175" t="s">
        <v>1239</v>
      </c>
      <c r="S41" s="21"/>
      <c r="T41" s="32" t="s">
        <v>349</v>
      </c>
      <c r="U41" s="21"/>
    </row>
    <row r="42" spans="1:21" s="39" customFormat="1" ht="20.100000000000001" customHeight="1" x14ac:dyDescent="0.2">
      <c r="A42" s="44">
        <v>34</v>
      </c>
      <c r="B42" s="78">
        <v>46176</v>
      </c>
      <c r="C42" s="145"/>
      <c r="D42" s="80" t="s">
        <v>1062</v>
      </c>
      <c r="E42" s="148"/>
      <c r="F42" s="82">
        <v>12</v>
      </c>
      <c r="G42" s="82">
        <v>25</v>
      </c>
      <c r="H42" s="82">
        <f t="shared" si="3"/>
        <v>300</v>
      </c>
      <c r="I42" s="144" t="s">
        <v>18</v>
      </c>
      <c r="J42" s="145"/>
      <c r="K42" s="91">
        <v>2625</v>
      </c>
      <c r="L42" s="92"/>
      <c r="M42" s="31">
        <f t="shared" si="4"/>
        <v>0</v>
      </c>
      <c r="N42" s="31">
        <f t="shared" si="5"/>
        <v>2625</v>
      </c>
      <c r="O42" s="25"/>
      <c r="P42" s="22">
        <v>46177</v>
      </c>
      <c r="Q42" s="81"/>
      <c r="R42" s="175" t="s">
        <v>1239</v>
      </c>
      <c r="S42" s="21"/>
      <c r="T42" s="32" t="s">
        <v>349</v>
      </c>
      <c r="U42" s="21"/>
    </row>
    <row r="43" spans="1:21" s="39" customFormat="1" ht="20.100000000000001" customHeight="1" x14ac:dyDescent="0.2">
      <c r="A43" s="44">
        <v>35</v>
      </c>
      <c r="B43" s="78">
        <v>46176</v>
      </c>
      <c r="C43" s="145"/>
      <c r="D43" s="80" t="s">
        <v>1063</v>
      </c>
      <c r="E43" s="148"/>
      <c r="F43" s="82">
        <v>40</v>
      </c>
      <c r="G43" s="82">
        <v>25</v>
      </c>
      <c r="H43" s="82">
        <f t="shared" si="3"/>
        <v>1000</v>
      </c>
      <c r="I43" s="144" t="s">
        <v>18</v>
      </c>
      <c r="J43" s="145"/>
      <c r="K43" s="91">
        <v>6500</v>
      </c>
      <c r="L43" s="92"/>
      <c r="M43" s="31">
        <f t="shared" si="4"/>
        <v>0</v>
      </c>
      <c r="N43" s="31">
        <f t="shared" si="5"/>
        <v>6500</v>
      </c>
      <c r="O43" s="25"/>
      <c r="P43" s="22">
        <v>46177</v>
      </c>
      <c r="Q43" s="81"/>
      <c r="R43" s="175" t="s">
        <v>1239</v>
      </c>
      <c r="S43" s="21"/>
      <c r="T43" s="32" t="s">
        <v>349</v>
      </c>
      <c r="U43" s="21"/>
    </row>
    <row r="44" spans="1:21" s="39" customFormat="1" ht="20.100000000000001" customHeight="1" x14ac:dyDescent="0.2">
      <c r="A44" s="44">
        <v>36</v>
      </c>
      <c r="B44" s="78">
        <v>46176</v>
      </c>
      <c r="C44" s="145"/>
      <c r="D44" s="80" t="s">
        <v>1097</v>
      </c>
      <c r="E44" s="148"/>
      <c r="F44" s="82">
        <v>12</v>
      </c>
      <c r="G44" s="82">
        <v>25</v>
      </c>
      <c r="H44" s="82">
        <f t="shared" si="3"/>
        <v>300</v>
      </c>
      <c r="I44" s="144" t="s">
        <v>18</v>
      </c>
      <c r="J44" s="145"/>
      <c r="K44" s="91">
        <v>11250</v>
      </c>
      <c r="L44" s="92"/>
      <c r="M44" s="31">
        <f t="shared" si="4"/>
        <v>0</v>
      </c>
      <c r="N44" s="31">
        <f t="shared" si="5"/>
        <v>11250</v>
      </c>
      <c r="O44" s="25"/>
      <c r="P44" s="22">
        <v>46177</v>
      </c>
      <c r="Q44" s="81"/>
      <c r="R44" s="175" t="s">
        <v>1239</v>
      </c>
      <c r="S44" s="21"/>
      <c r="T44" s="32" t="s">
        <v>349</v>
      </c>
      <c r="U44" s="21"/>
    </row>
    <row r="45" spans="1:21" s="39" customFormat="1" ht="20.100000000000001" customHeight="1" x14ac:dyDescent="0.2">
      <c r="A45" s="44">
        <v>37</v>
      </c>
      <c r="B45" s="78">
        <v>46176</v>
      </c>
      <c r="C45" s="145"/>
      <c r="D45" s="80" t="s">
        <v>1064</v>
      </c>
      <c r="E45" s="148"/>
      <c r="F45" s="82">
        <v>6</v>
      </c>
      <c r="G45" s="82">
        <v>25</v>
      </c>
      <c r="H45" s="82">
        <f t="shared" si="3"/>
        <v>150</v>
      </c>
      <c r="I45" s="144" t="s">
        <v>18</v>
      </c>
      <c r="J45" s="145"/>
      <c r="K45" s="91">
        <v>11250</v>
      </c>
      <c r="L45" s="92"/>
      <c r="M45" s="31">
        <f t="shared" si="4"/>
        <v>0</v>
      </c>
      <c r="N45" s="31">
        <f t="shared" si="5"/>
        <v>11250</v>
      </c>
      <c r="O45" s="25"/>
      <c r="P45" s="22">
        <v>46177</v>
      </c>
      <c r="Q45" s="81"/>
      <c r="R45" s="175" t="s">
        <v>1239</v>
      </c>
      <c r="S45" s="21"/>
      <c r="T45" s="32" t="s">
        <v>349</v>
      </c>
      <c r="U45" s="21"/>
    </row>
    <row r="46" spans="1:21" s="39" customFormat="1" ht="20.100000000000001" customHeight="1" x14ac:dyDescent="0.2">
      <c r="A46" s="44">
        <v>38</v>
      </c>
      <c r="B46" s="78">
        <v>46176</v>
      </c>
      <c r="C46" s="145"/>
      <c r="D46" s="80" t="s">
        <v>1065</v>
      </c>
      <c r="E46" s="148"/>
      <c r="F46" s="82">
        <v>80</v>
      </c>
      <c r="G46" s="82">
        <v>25</v>
      </c>
      <c r="H46" s="82">
        <f t="shared" si="3"/>
        <v>2000</v>
      </c>
      <c r="I46" s="144" t="s">
        <v>18</v>
      </c>
      <c r="J46" s="145"/>
      <c r="K46" s="91">
        <v>3375</v>
      </c>
      <c r="L46" s="92"/>
      <c r="M46" s="31">
        <f t="shared" si="4"/>
        <v>0</v>
      </c>
      <c r="N46" s="31">
        <f t="shared" si="5"/>
        <v>3375</v>
      </c>
      <c r="O46" s="25"/>
      <c r="P46" s="22">
        <v>46177</v>
      </c>
      <c r="Q46" s="81"/>
      <c r="R46" s="175" t="s">
        <v>1239</v>
      </c>
      <c r="S46" s="21"/>
      <c r="T46" s="32" t="s">
        <v>349</v>
      </c>
      <c r="U46" s="21"/>
    </row>
    <row r="47" spans="1:21" s="39" customFormat="1" ht="20.100000000000001" customHeight="1" x14ac:dyDescent="0.2">
      <c r="A47" s="44">
        <v>39</v>
      </c>
      <c r="B47" s="78">
        <v>46176</v>
      </c>
      <c r="C47" s="145"/>
      <c r="D47" s="80" t="s">
        <v>500</v>
      </c>
      <c r="E47" s="148"/>
      <c r="F47" s="82">
        <v>12</v>
      </c>
      <c r="G47" s="82">
        <v>25</v>
      </c>
      <c r="H47" s="82">
        <f t="shared" si="3"/>
        <v>300</v>
      </c>
      <c r="I47" s="144" t="s">
        <v>18</v>
      </c>
      <c r="J47" s="145"/>
      <c r="K47" s="91">
        <v>5250</v>
      </c>
      <c r="L47" s="92"/>
      <c r="M47" s="31">
        <f t="shared" si="4"/>
        <v>0</v>
      </c>
      <c r="N47" s="31">
        <f t="shared" si="5"/>
        <v>5250</v>
      </c>
      <c r="O47" s="25"/>
      <c r="P47" s="22">
        <v>46178</v>
      </c>
      <c r="Q47" s="81"/>
      <c r="R47" s="175" t="s">
        <v>1240</v>
      </c>
      <c r="S47" s="21"/>
      <c r="T47" s="32" t="s">
        <v>1220</v>
      </c>
      <c r="U47" s="21"/>
    </row>
    <row r="48" spans="1:21" s="39" customFormat="1" ht="20.100000000000001" customHeight="1" x14ac:dyDescent="0.2">
      <c r="A48" s="44">
        <v>40</v>
      </c>
      <c r="B48" s="78">
        <v>46176</v>
      </c>
      <c r="C48" s="145"/>
      <c r="D48" s="80" t="s">
        <v>256</v>
      </c>
      <c r="E48" s="148"/>
      <c r="F48" s="82">
        <v>75</v>
      </c>
      <c r="G48" s="82">
        <v>2000</v>
      </c>
      <c r="H48" s="82">
        <f t="shared" si="3"/>
        <v>150000</v>
      </c>
      <c r="I48" s="144" t="s">
        <v>51</v>
      </c>
      <c r="J48" s="145"/>
      <c r="K48" s="91">
        <v>120</v>
      </c>
      <c r="L48" s="92">
        <v>0.05</v>
      </c>
      <c r="M48" s="31">
        <f t="shared" si="4"/>
        <v>6</v>
      </c>
      <c r="N48" s="31">
        <f t="shared" si="5"/>
        <v>126</v>
      </c>
      <c r="O48" s="25"/>
      <c r="P48" s="22">
        <v>46179</v>
      </c>
      <c r="Q48" s="81"/>
      <c r="R48" s="175" t="s">
        <v>1241</v>
      </c>
      <c r="S48" s="21"/>
      <c r="T48" s="32" t="s">
        <v>309</v>
      </c>
      <c r="U48" s="21"/>
    </row>
    <row r="49" spans="1:21" s="39" customFormat="1" ht="20.100000000000001" customHeight="1" x14ac:dyDescent="0.2">
      <c r="A49" s="44">
        <v>41</v>
      </c>
      <c r="B49" s="78">
        <v>46176</v>
      </c>
      <c r="C49" s="145"/>
      <c r="D49" s="80" t="s">
        <v>943</v>
      </c>
      <c r="E49" s="148"/>
      <c r="F49" s="82">
        <v>80</v>
      </c>
      <c r="G49" s="82">
        <v>60</v>
      </c>
      <c r="H49" s="82">
        <f t="shared" si="3"/>
        <v>4800</v>
      </c>
      <c r="I49" s="144" t="s">
        <v>230</v>
      </c>
      <c r="J49" s="145"/>
      <c r="K49" s="91">
        <v>2</v>
      </c>
      <c r="L49" s="92">
        <v>0.05</v>
      </c>
      <c r="M49" s="31">
        <f t="shared" si="4"/>
        <v>0.1</v>
      </c>
      <c r="N49" s="31">
        <f t="shared" si="5"/>
        <v>2.1</v>
      </c>
      <c r="O49" s="25"/>
      <c r="P49" s="22">
        <v>46179</v>
      </c>
      <c r="Q49" s="81"/>
      <c r="R49" s="175" t="s">
        <v>1241</v>
      </c>
      <c r="S49" s="21"/>
      <c r="T49" s="32" t="s">
        <v>309</v>
      </c>
      <c r="U49" s="21"/>
    </row>
    <row r="50" spans="1:21" s="39" customFormat="1" ht="20.100000000000001" customHeight="1" x14ac:dyDescent="0.2">
      <c r="A50" s="44">
        <v>42</v>
      </c>
      <c r="B50" s="78"/>
      <c r="C50" s="145"/>
      <c r="D50" s="80"/>
      <c r="E50" s="148"/>
      <c r="F50" s="82"/>
      <c r="G50" s="82"/>
      <c r="H50" s="82">
        <f t="shared" si="3"/>
        <v>0</v>
      </c>
      <c r="I50" s="144"/>
      <c r="J50" s="145"/>
      <c r="K50" s="91"/>
      <c r="L50" s="92"/>
      <c r="M50" s="31">
        <f t="shared" si="4"/>
        <v>0</v>
      </c>
      <c r="N50" s="31">
        <f t="shared" si="5"/>
        <v>0</v>
      </c>
      <c r="O50" s="25"/>
      <c r="P50" s="22"/>
      <c r="Q50" s="81"/>
      <c r="R50" s="26"/>
      <c r="S50" s="21"/>
      <c r="T50" s="32"/>
      <c r="U50" s="21"/>
    </row>
    <row r="51" spans="1:21" s="39" customFormat="1" ht="20.100000000000001" customHeight="1" x14ac:dyDescent="0.2">
      <c r="A51" s="44">
        <v>43</v>
      </c>
      <c r="B51" s="78"/>
      <c r="C51" s="145"/>
      <c r="D51" s="80"/>
      <c r="E51" s="148"/>
      <c r="F51" s="82"/>
      <c r="G51" s="82"/>
      <c r="H51" s="82">
        <f t="shared" ref="H51:H80" si="13">F51*G51</f>
        <v>0</v>
      </c>
      <c r="I51" s="144"/>
      <c r="J51" s="145"/>
      <c r="K51" s="91"/>
      <c r="L51" s="92"/>
      <c r="M51" s="31">
        <f t="shared" ref="M51:M80" si="14">K51*L51</f>
        <v>0</v>
      </c>
      <c r="N51" s="31">
        <f t="shared" ref="N51:N80" si="15">K51+M51</f>
        <v>0</v>
      </c>
      <c r="O51" s="25"/>
      <c r="P51" s="22"/>
      <c r="Q51" s="81"/>
      <c r="R51" s="26"/>
      <c r="S51" s="21"/>
      <c r="T51" s="32"/>
      <c r="U51" s="21"/>
    </row>
    <row r="52" spans="1:21" s="39" customFormat="1" ht="20.100000000000001" customHeight="1" x14ac:dyDescent="0.2">
      <c r="A52" s="44">
        <v>44</v>
      </c>
      <c r="B52" s="78"/>
      <c r="C52" s="145"/>
      <c r="D52" s="80"/>
      <c r="E52" s="148"/>
      <c r="F52" s="82"/>
      <c r="G52" s="82"/>
      <c r="H52" s="82">
        <f t="shared" si="13"/>
        <v>0</v>
      </c>
      <c r="I52" s="144"/>
      <c r="J52" s="145"/>
      <c r="K52" s="91"/>
      <c r="L52" s="92"/>
      <c r="M52" s="31">
        <f t="shared" si="14"/>
        <v>0</v>
      </c>
      <c r="N52" s="31">
        <f t="shared" si="15"/>
        <v>0</v>
      </c>
      <c r="O52" s="25"/>
      <c r="P52" s="22"/>
      <c r="Q52" s="81"/>
      <c r="R52" s="26"/>
      <c r="S52" s="21"/>
      <c r="T52" s="32"/>
      <c r="U52" s="21"/>
    </row>
    <row r="53" spans="1:21" s="39" customFormat="1" ht="20.100000000000001" customHeight="1" x14ac:dyDescent="0.2">
      <c r="A53" s="44">
        <v>45</v>
      </c>
      <c r="B53" s="78"/>
      <c r="C53" s="145"/>
      <c r="D53" s="80"/>
      <c r="E53" s="148"/>
      <c r="F53" s="82"/>
      <c r="G53" s="82"/>
      <c r="H53" s="82">
        <f t="shared" si="13"/>
        <v>0</v>
      </c>
      <c r="I53" s="144"/>
      <c r="J53" s="145"/>
      <c r="K53" s="91"/>
      <c r="L53" s="92"/>
      <c r="M53" s="31">
        <f t="shared" si="14"/>
        <v>0</v>
      </c>
      <c r="N53" s="31">
        <f t="shared" si="15"/>
        <v>0</v>
      </c>
      <c r="O53" s="25"/>
      <c r="P53" s="22"/>
      <c r="Q53" s="81"/>
      <c r="R53" s="26"/>
      <c r="S53" s="21"/>
      <c r="T53" s="32"/>
      <c r="U53" s="21"/>
    </row>
    <row r="54" spans="1:21" s="39" customFormat="1" ht="20.100000000000001" customHeight="1" x14ac:dyDescent="0.2">
      <c r="A54" s="44">
        <v>46</v>
      </c>
      <c r="B54" s="78"/>
      <c r="C54" s="145"/>
      <c r="D54" s="80"/>
      <c r="E54" s="148"/>
      <c r="F54" s="82"/>
      <c r="G54" s="82"/>
      <c r="H54" s="82">
        <f t="shared" si="13"/>
        <v>0</v>
      </c>
      <c r="I54" s="144"/>
      <c r="J54" s="145"/>
      <c r="K54" s="91"/>
      <c r="L54" s="92"/>
      <c r="M54" s="31">
        <f t="shared" si="14"/>
        <v>0</v>
      </c>
      <c r="N54" s="31">
        <f t="shared" si="15"/>
        <v>0</v>
      </c>
      <c r="O54" s="25"/>
      <c r="P54" s="22"/>
      <c r="Q54" s="81"/>
      <c r="R54" s="26"/>
      <c r="S54" s="21"/>
      <c r="T54" s="32"/>
      <c r="U54" s="21"/>
    </row>
    <row r="55" spans="1:21" s="39" customFormat="1" ht="20.100000000000001" customHeight="1" x14ac:dyDescent="0.2">
      <c r="A55" s="44">
        <v>47</v>
      </c>
      <c r="B55" s="78"/>
      <c r="C55" s="145"/>
      <c r="D55" s="80"/>
      <c r="E55" s="148"/>
      <c r="F55" s="82"/>
      <c r="G55" s="82"/>
      <c r="H55" s="82">
        <f t="shared" si="13"/>
        <v>0</v>
      </c>
      <c r="I55" s="144"/>
      <c r="J55" s="145"/>
      <c r="K55" s="91"/>
      <c r="L55" s="92"/>
      <c r="M55" s="31">
        <f t="shared" si="14"/>
        <v>0</v>
      </c>
      <c r="N55" s="31">
        <f t="shared" si="15"/>
        <v>0</v>
      </c>
      <c r="O55" s="25"/>
      <c r="P55" s="22"/>
      <c r="Q55" s="81"/>
      <c r="R55" s="26"/>
      <c r="S55" s="21"/>
      <c r="T55" s="32"/>
      <c r="U55" s="21"/>
    </row>
    <row r="56" spans="1:21" s="39" customFormat="1" ht="20.100000000000001" customHeight="1" x14ac:dyDescent="0.2">
      <c r="A56" s="44">
        <v>48</v>
      </c>
      <c r="B56" s="78"/>
      <c r="C56" s="145"/>
      <c r="D56" s="80"/>
      <c r="E56" s="148"/>
      <c r="F56" s="82"/>
      <c r="G56" s="82"/>
      <c r="H56" s="82">
        <f t="shared" si="13"/>
        <v>0</v>
      </c>
      <c r="I56" s="144"/>
      <c r="J56" s="145"/>
      <c r="K56" s="91"/>
      <c r="L56" s="92"/>
      <c r="M56" s="31">
        <f t="shared" si="14"/>
        <v>0</v>
      </c>
      <c r="N56" s="31">
        <f t="shared" si="15"/>
        <v>0</v>
      </c>
      <c r="O56" s="25"/>
      <c r="P56" s="22"/>
      <c r="Q56" s="81"/>
      <c r="R56" s="26"/>
      <c r="S56" s="21"/>
      <c r="T56" s="32"/>
      <c r="U56" s="21"/>
    </row>
    <row r="57" spans="1:21" s="39" customFormat="1" ht="20.100000000000001" customHeight="1" x14ac:dyDescent="0.2">
      <c r="A57" s="44">
        <v>49</v>
      </c>
      <c r="B57" s="78"/>
      <c r="C57" s="145"/>
      <c r="D57" s="80"/>
      <c r="E57" s="148"/>
      <c r="F57" s="82"/>
      <c r="G57" s="82"/>
      <c r="H57" s="82">
        <f t="shared" si="13"/>
        <v>0</v>
      </c>
      <c r="I57" s="144"/>
      <c r="J57" s="145"/>
      <c r="K57" s="91"/>
      <c r="L57" s="92"/>
      <c r="M57" s="31">
        <f t="shared" si="14"/>
        <v>0</v>
      </c>
      <c r="N57" s="31">
        <f t="shared" si="15"/>
        <v>0</v>
      </c>
      <c r="O57" s="25"/>
      <c r="P57" s="22"/>
      <c r="Q57" s="81"/>
      <c r="R57" s="26"/>
      <c r="S57" s="21"/>
      <c r="T57" s="32"/>
      <c r="U57" s="21"/>
    </row>
    <row r="58" spans="1:21" s="39" customFormat="1" ht="20.100000000000001" customHeight="1" x14ac:dyDescent="0.2">
      <c r="A58" s="44">
        <v>50</v>
      </c>
      <c r="B58" s="78"/>
      <c r="C58" s="145"/>
      <c r="D58" s="80"/>
      <c r="E58" s="148"/>
      <c r="F58" s="82"/>
      <c r="G58" s="82"/>
      <c r="H58" s="82">
        <f t="shared" si="13"/>
        <v>0</v>
      </c>
      <c r="I58" s="144"/>
      <c r="J58" s="145"/>
      <c r="K58" s="91"/>
      <c r="L58" s="92"/>
      <c r="M58" s="31">
        <f t="shared" si="14"/>
        <v>0</v>
      </c>
      <c r="N58" s="31">
        <f t="shared" si="15"/>
        <v>0</v>
      </c>
      <c r="O58" s="25"/>
      <c r="P58" s="22"/>
      <c r="Q58" s="81"/>
      <c r="R58" s="26"/>
      <c r="S58" s="21"/>
      <c r="T58" s="32"/>
      <c r="U58" s="21"/>
    </row>
    <row r="59" spans="1:21" s="39" customFormat="1" ht="20.100000000000001" customHeight="1" x14ac:dyDescent="0.2">
      <c r="A59" s="44">
        <v>51</v>
      </c>
      <c r="B59" s="78"/>
      <c r="C59" s="145"/>
      <c r="D59" s="80"/>
      <c r="E59" s="148"/>
      <c r="F59" s="82"/>
      <c r="G59" s="82"/>
      <c r="H59" s="82">
        <f t="shared" si="13"/>
        <v>0</v>
      </c>
      <c r="I59" s="144"/>
      <c r="J59" s="145"/>
      <c r="K59" s="91"/>
      <c r="L59" s="92"/>
      <c r="M59" s="31">
        <f t="shared" si="14"/>
        <v>0</v>
      </c>
      <c r="N59" s="31">
        <f t="shared" si="15"/>
        <v>0</v>
      </c>
      <c r="O59" s="25"/>
      <c r="P59" s="22"/>
      <c r="Q59" s="81"/>
      <c r="R59" s="26"/>
      <c r="S59" s="21"/>
      <c r="T59" s="32"/>
      <c r="U59" s="21"/>
    </row>
    <row r="60" spans="1:21" s="39" customFormat="1" ht="20.100000000000001" customHeight="1" x14ac:dyDescent="0.2">
      <c r="A60" s="44">
        <v>52</v>
      </c>
      <c r="B60" s="78"/>
      <c r="C60" s="145"/>
      <c r="D60" s="80"/>
      <c r="E60" s="148"/>
      <c r="F60" s="82"/>
      <c r="G60" s="82"/>
      <c r="H60" s="82">
        <f t="shared" si="13"/>
        <v>0</v>
      </c>
      <c r="I60" s="144"/>
      <c r="J60" s="145"/>
      <c r="K60" s="91"/>
      <c r="L60" s="92"/>
      <c r="M60" s="31">
        <f t="shared" si="14"/>
        <v>0</v>
      </c>
      <c r="N60" s="31">
        <f t="shared" si="15"/>
        <v>0</v>
      </c>
      <c r="O60" s="25"/>
      <c r="P60" s="22"/>
      <c r="Q60" s="81"/>
      <c r="R60" s="26"/>
      <c r="S60" s="21"/>
      <c r="T60" s="32"/>
      <c r="U60" s="21"/>
    </row>
    <row r="61" spans="1:21" s="39" customFormat="1" ht="20.100000000000001" customHeight="1" x14ac:dyDescent="0.2">
      <c r="A61" s="44">
        <v>53</v>
      </c>
      <c r="B61" s="78"/>
      <c r="C61" s="145"/>
      <c r="D61" s="80"/>
      <c r="E61" s="148"/>
      <c r="F61" s="82"/>
      <c r="G61" s="82"/>
      <c r="H61" s="82">
        <f t="shared" si="13"/>
        <v>0</v>
      </c>
      <c r="I61" s="144"/>
      <c r="J61" s="145"/>
      <c r="K61" s="91"/>
      <c r="L61" s="92"/>
      <c r="M61" s="31">
        <f t="shared" si="14"/>
        <v>0</v>
      </c>
      <c r="N61" s="31">
        <f t="shared" si="15"/>
        <v>0</v>
      </c>
      <c r="O61" s="25"/>
      <c r="P61" s="22"/>
      <c r="Q61" s="81"/>
      <c r="R61" s="26"/>
      <c r="S61" s="21"/>
      <c r="T61" s="32"/>
      <c r="U61" s="21"/>
    </row>
    <row r="62" spans="1:21" s="39" customFormat="1" ht="20.100000000000001" customHeight="1" x14ac:dyDescent="0.2">
      <c r="A62" s="44">
        <v>54</v>
      </c>
      <c r="B62" s="78"/>
      <c r="C62" s="145"/>
      <c r="D62" s="80"/>
      <c r="E62" s="148"/>
      <c r="F62" s="82"/>
      <c r="G62" s="82"/>
      <c r="H62" s="82">
        <f t="shared" si="13"/>
        <v>0</v>
      </c>
      <c r="I62" s="144"/>
      <c r="J62" s="145"/>
      <c r="K62" s="91"/>
      <c r="L62" s="92"/>
      <c r="M62" s="31">
        <f t="shared" si="14"/>
        <v>0</v>
      </c>
      <c r="N62" s="31">
        <f t="shared" si="15"/>
        <v>0</v>
      </c>
      <c r="O62" s="25"/>
      <c r="P62" s="22"/>
      <c r="Q62" s="81"/>
      <c r="R62" s="26"/>
      <c r="S62" s="21"/>
      <c r="T62" s="32"/>
      <c r="U62" s="21"/>
    </row>
    <row r="63" spans="1:21" s="39" customFormat="1" ht="20.100000000000001" customHeight="1" x14ac:dyDescent="0.2">
      <c r="A63" s="44">
        <v>55</v>
      </c>
      <c r="B63" s="78"/>
      <c r="C63" s="145"/>
      <c r="D63" s="80"/>
      <c r="E63" s="148"/>
      <c r="F63" s="82"/>
      <c r="G63" s="82"/>
      <c r="H63" s="82">
        <f t="shared" si="13"/>
        <v>0</v>
      </c>
      <c r="I63" s="144"/>
      <c r="J63" s="145"/>
      <c r="K63" s="91"/>
      <c r="L63" s="92"/>
      <c r="M63" s="31">
        <f t="shared" si="14"/>
        <v>0</v>
      </c>
      <c r="N63" s="31">
        <f t="shared" si="15"/>
        <v>0</v>
      </c>
      <c r="O63" s="25"/>
      <c r="P63" s="22"/>
      <c r="Q63" s="81"/>
      <c r="R63" s="26"/>
      <c r="S63" s="21"/>
      <c r="T63" s="32"/>
      <c r="U63" s="21"/>
    </row>
    <row r="64" spans="1:21" s="39" customFormat="1" ht="20.100000000000001" customHeight="1" x14ac:dyDescent="0.2">
      <c r="A64" s="44">
        <v>56</v>
      </c>
      <c r="B64" s="78"/>
      <c r="C64" s="145"/>
      <c r="D64" s="80"/>
      <c r="E64" s="148"/>
      <c r="F64" s="82"/>
      <c r="G64" s="82"/>
      <c r="H64" s="82">
        <f t="shared" si="13"/>
        <v>0</v>
      </c>
      <c r="I64" s="144"/>
      <c r="J64" s="145"/>
      <c r="K64" s="91"/>
      <c r="L64" s="92"/>
      <c r="M64" s="31">
        <f t="shared" si="14"/>
        <v>0</v>
      </c>
      <c r="N64" s="31">
        <f t="shared" si="15"/>
        <v>0</v>
      </c>
      <c r="O64" s="25"/>
      <c r="P64" s="22"/>
      <c r="Q64" s="81"/>
      <c r="R64" s="26"/>
      <c r="S64" s="21"/>
      <c r="T64" s="32"/>
      <c r="U64" s="21"/>
    </row>
    <row r="65" spans="1:21" s="39" customFormat="1" ht="20.100000000000001" customHeight="1" x14ac:dyDescent="0.2">
      <c r="A65" s="44">
        <v>57</v>
      </c>
      <c r="B65" s="78"/>
      <c r="C65" s="145"/>
      <c r="D65" s="80"/>
      <c r="E65" s="148"/>
      <c r="F65" s="82"/>
      <c r="G65" s="82"/>
      <c r="H65" s="82">
        <f t="shared" si="13"/>
        <v>0</v>
      </c>
      <c r="I65" s="144"/>
      <c r="J65" s="145"/>
      <c r="K65" s="91"/>
      <c r="L65" s="92"/>
      <c r="M65" s="31">
        <f t="shared" si="14"/>
        <v>0</v>
      </c>
      <c r="N65" s="31">
        <f t="shared" si="15"/>
        <v>0</v>
      </c>
      <c r="O65" s="25"/>
      <c r="P65" s="22"/>
      <c r="Q65" s="81"/>
      <c r="R65" s="26"/>
      <c r="S65" s="21"/>
      <c r="T65" s="32"/>
      <c r="U65" s="21"/>
    </row>
    <row r="66" spans="1:21" s="39" customFormat="1" ht="20.100000000000001" customHeight="1" x14ac:dyDescent="0.2">
      <c r="A66" s="44">
        <v>58</v>
      </c>
      <c r="B66" s="78"/>
      <c r="C66" s="145"/>
      <c r="D66" s="80"/>
      <c r="E66" s="148"/>
      <c r="F66" s="82"/>
      <c r="G66" s="82"/>
      <c r="H66" s="82">
        <f t="shared" si="13"/>
        <v>0</v>
      </c>
      <c r="I66" s="144"/>
      <c r="J66" s="145"/>
      <c r="K66" s="91"/>
      <c r="L66" s="92"/>
      <c r="M66" s="31">
        <f t="shared" si="14"/>
        <v>0</v>
      </c>
      <c r="N66" s="31">
        <f t="shared" si="15"/>
        <v>0</v>
      </c>
      <c r="O66" s="25"/>
      <c r="P66" s="22"/>
      <c r="Q66" s="81"/>
      <c r="R66" s="26"/>
      <c r="S66" s="21"/>
      <c r="T66" s="32"/>
      <c r="U66" s="21"/>
    </row>
    <row r="67" spans="1:21" s="39" customFormat="1" ht="20.100000000000001" customHeight="1" x14ac:dyDescent="0.2">
      <c r="A67" s="44">
        <v>59</v>
      </c>
      <c r="B67" s="78"/>
      <c r="C67" s="145"/>
      <c r="D67" s="80"/>
      <c r="E67" s="148"/>
      <c r="F67" s="82"/>
      <c r="G67" s="82"/>
      <c r="H67" s="82">
        <f t="shared" si="13"/>
        <v>0</v>
      </c>
      <c r="I67" s="144"/>
      <c r="J67" s="145"/>
      <c r="K67" s="91"/>
      <c r="L67" s="92"/>
      <c r="M67" s="31">
        <f t="shared" si="14"/>
        <v>0</v>
      </c>
      <c r="N67" s="31">
        <f t="shared" si="15"/>
        <v>0</v>
      </c>
      <c r="O67" s="25"/>
      <c r="P67" s="22"/>
      <c r="Q67" s="81"/>
      <c r="R67" s="26"/>
      <c r="S67" s="21"/>
      <c r="T67" s="32"/>
      <c r="U67" s="21"/>
    </row>
    <row r="68" spans="1:21" s="39" customFormat="1" ht="20.100000000000001" customHeight="1" x14ac:dyDescent="0.2">
      <c r="A68" s="44">
        <v>60</v>
      </c>
      <c r="B68" s="78"/>
      <c r="C68" s="145"/>
      <c r="D68" s="80"/>
      <c r="E68" s="148"/>
      <c r="F68" s="82"/>
      <c r="G68" s="82"/>
      <c r="H68" s="82">
        <f t="shared" si="13"/>
        <v>0</v>
      </c>
      <c r="I68" s="144"/>
      <c r="J68" s="145"/>
      <c r="K68" s="91"/>
      <c r="L68" s="92"/>
      <c r="M68" s="31">
        <f t="shared" si="14"/>
        <v>0</v>
      </c>
      <c r="N68" s="31">
        <f t="shared" si="15"/>
        <v>0</v>
      </c>
      <c r="O68" s="25"/>
      <c r="P68" s="22"/>
      <c r="Q68" s="81"/>
      <c r="R68" s="26"/>
      <c r="S68" s="21"/>
      <c r="T68" s="32"/>
      <c r="U68" s="21"/>
    </row>
    <row r="69" spans="1:21" s="39" customFormat="1" ht="20.100000000000001" customHeight="1" x14ac:dyDescent="0.2">
      <c r="A69" s="44">
        <v>61</v>
      </c>
      <c r="B69" s="78"/>
      <c r="C69" s="145"/>
      <c r="D69" s="80"/>
      <c r="E69" s="148"/>
      <c r="F69" s="82"/>
      <c r="G69" s="82"/>
      <c r="H69" s="82">
        <f t="shared" si="13"/>
        <v>0</v>
      </c>
      <c r="I69" s="144"/>
      <c r="J69" s="145"/>
      <c r="K69" s="91"/>
      <c r="L69" s="92"/>
      <c r="M69" s="31">
        <f t="shared" si="14"/>
        <v>0</v>
      </c>
      <c r="N69" s="31">
        <f t="shared" si="15"/>
        <v>0</v>
      </c>
      <c r="O69" s="25"/>
      <c r="P69" s="22"/>
      <c r="Q69" s="81"/>
      <c r="R69" s="26"/>
      <c r="S69" s="21"/>
      <c r="T69" s="32"/>
      <c r="U69" s="21"/>
    </row>
    <row r="70" spans="1:21" s="39" customFormat="1" ht="20.100000000000001" customHeight="1" x14ac:dyDescent="0.2">
      <c r="A70" s="44">
        <v>62</v>
      </c>
      <c r="B70" s="78"/>
      <c r="C70" s="145"/>
      <c r="D70" s="80"/>
      <c r="E70" s="148"/>
      <c r="F70" s="82"/>
      <c r="G70" s="82"/>
      <c r="H70" s="82">
        <f t="shared" si="13"/>
        <v>0</v>
      </c>
      <c r="I70" s="144"/>
      <c r="J70" s="145"/>
      <c r="K70" s="91"/>
      <c r="L70" s="92"/>
      <c r="M70" s="31">
        <f t="shared" si="14"/>
        <v>0</v>
      </c>
      <c r="N70" s="31">
        <f t="shared" si="15"/>
        <v>0</v>
      </c>
      <c r="O70" s="25"/>
      <c r="P70" s="22"/>
      <c r="Q70" s="81"/>
      <c r="R70" s="26"/>
      <c r="S70" s="21"/>
      <c r="T70" s="32"/>
      <c r="U70" s="21"/>
    </row>
    <row r="71" spans="1:21" s="39" customFormat="1" ht="20.100000000000001" customHeight="1" x14ac:dyDescent="0.2">
      <c r="A71" s="44">
        <v>63</v>
      </c>
      <c r="B71" s="78"/>
      <c r="C71" s="145"/>
      <c r="D71" s="80"/>
      <c r="E71" s="148"/>
      <c r="F71" s="82"/>
      <c r="G71" s="82"/>
      <c r="H71" s="82">
        <f t="shared" si="13"/>
        <v>0</v>
      </c>
      <c r="I71" s="144"/>
      <c r="J71" s="145"/>
      <c r="K71" s="91"/>
      <c r="L71" s="92"/>
      <c r="M71" s="31">
        <f t="shared" si="14"/>
        <v>0</v>
      </c>
      <c r="N71" s="31">
        <f t="shared" si="15"/>
        <v>0</v>
      </c>
      <c r="O71" s="25"/>
      <c r="P71" s="22"/>
      <c r="Q71" s="81"/>
      <c r="R71" s="26"/>
      <c r="S71" s="21"/>
      <c r="T71" s="32"/>
      <c r="U71" s="21"/>
    </row>
    <row r="72" spans="1:21" s="39" customFormat="1" ht="20.100000000000001" customHeight="1" x14ac:dyDescent="0.2">
      <c r="A72" s="44">
        <v>64</v>
      </c>
      <c r="B72" s="78"/>
      <c r="C72" s="145"/>
      <c r="D72" s="80"/>
      <c r="E72" s="148"/>
      <c r="F72" s="82"/>
      <c r="G72" s="82"/>
      <c r="H72" s="82">
        <f t="shared" si="13"/>
        <v>0</v>
      </c>
      <c r="I72" s="144"/>
      <c r="J72" s="145"/>
      <c r="K72" s="91"/>
      <c r="L72" s="92"/>
      <c r="M72" s="31">
        <f t="shared" si="14"/>
        <v>0</v>
      </c>
      <c r="N72" s="31">
        <f t="shared" si="15"/>
        <v>0</v>
      </c>
      <c r="O72" s="25"/>
      <c r="P72" s="22"/>
      <c r="Q72" s="81"/>
      <c r="R72" s="26"/>
      <c r="S72" s="21"/>
      <c r="T72" s="32"/>
      <c r="U72" s="21"/>
    </row>
    <row r="73" spans="1:21" s="39" customFormat="1" ht="20.100000000000001" customHeight="1" x14ac:dyDescent="0.2">
      <c r="A73" s="44">
        <v>65</v>
      </c>
      <c r="B73" s="78"/>
      <c r="C73" s="145"/>
      <c r="D73" s="80"/>
      <c r="E73" s="148"/>
      <c r="F73" s="82"/>
      <c r="G73" s="82"/>
      <c r="H73" s="82">
        <f t="shared" si="13"/>
        <v>0</v>
      </c>
      <c r="I73" s="144"/>
      <c r="J73" s="145"/>
      <c r="K73" s="91"/>
      <c r="L73" s="92"/>
      <c r="M73" s="31">
        <f t="shared" si="14"/>
        <v>0</v>
      </c>
      <c r="N73" s="31">
        <f t="shared" si="15"/>
        <v>0</v>
      </c>
      <c r="O73" s="25"/>
      <c r="P73" s="22"/>
      <c r="Q73" s="81"/>
      <c r="R73" s="26"/>
      <c r="S73" s="21"/>
      <c r="T73" s="32"/>
      <c r="U73" s="21"/>
    </row>
    <row r="74" spans="1:21" s="39" customFormat="1" ht="20.100000000000001" customHeight="1" x14ac:dyDescent="0.2">
      <c r="A74" s="44">
        <v>66</v>
      </c>
      <c r="B74" s="78"/>
      <c r="C74" s="145"/>
      <c r="D74" s="80"/>
      <c r="E74" s="148"/>
      <c r="F74" s="82"/>
      <c r="G74" s="82"/>
      <c r="H74" s="82">
        <f t="shared" si="13"/>
        <v>0</v>
      </c>
      <c r="I74" s="144"/>
      <c r="J74" s="145"/>
      <c r="K74" s="91"/>
      <c r="L74" s="92"/>
      <c r="M74" s="31">
        <f t="shared" si="14"/>
        <v>0</v>
      </c>
      <c r="N74" s="31">
        <f t="shared" si="15"/>
        <v>0</v>
      </c>
      <c r="O74" s="25"/>
      <c r="P74" s="22"/>
      <c r="Q74" s="81"/>
      <c r="R74" s="26"/>
      <c r="S74" s="21"/>
      <c r="T74" s="32"/>
      <c r="U74" s="21"/>
    </row>
    <row r="75" spans="1:21" s="39" customFormat="1" ht="20.100000000000001" customHeight="1" x14ac:dyDescent="0.2">
      <c r="A75" s="44">
        <v>67</v>
      </c>
      <c r="B75" s="78"/>
      <c r="C75" s="145"/>
      <c r="D75" s="80"/>
      <c r="E75" s="148"/>
      <c r="F75" s="82"/>
      <c r="G75" s="82"/>
      <c r="H75" s="82">
        <f t="shared" si="13"/>
        <v>0</v>
      </c>
      <c r="I75" s="144"/>
      <c r="J75" s="145"/>
      <c r="K75" s="91"/>
      <c r="L75" s="92"/>
      <c r="M75" s="31">
        <f t="shared" si="14"/>
        <v>0</v>
      </c>
      <c r="N75" s="31">
        <f t="shared" si="15"/>
        <v>0</v>
      </c>
      <c r="O75" s="25"/>
      <c r="P75" s="22"/>
      <c r="Q75" s="81"/>
      <c r="R75" s="26"/>
      <c r="S75" s="21"/>
      <c r="T75" s="32"/>
      <c r="U75" s="21"/>
    </row>
    <row r="76" spans="1:21" s="39" customFormat="1" ht="20.100000000000001" customHeight="1" x14ac:dyDescent="0.2">
      <c r="A76" s="44">
        <v>68</v>
      </c>
      <c r="B76" s="78"/>
      <c r="C76" s="145"/>
      <c r="D76" s="80"/>
      <c r="E76" s="148"/>
      <c r="F76" s="82"/>
      <c r="G76" s="82"/>
      <c r="H76" s="82">
        <f t="shared" si="13"/>
        <v>0</v>
      </c>
      <c r="I76" s="144"/>
      <c r="J76" s="145"/>
      <c r="K76" s="91"/>
      <c r="L76" s="92"/>
      <c r="M76" s="31">
        <f t="shared" si="14"/>
        <v>0</v>
      </c>
      <c r="N76" s="31">
        <f t="shared" si="15"/>
        <v>0</v>
      </c>
      <c r="O76" s="25"/>
      <c r="P76" s="22"/>
      <c r="Q76" s="81"/>
      <c r="R76" s="26"/>
      <c r="S76" s="21"/>
      <c r="T76" s="32"/>
      <c r="U76" s="21"/>
    </row>
    <row r="77" spans="1:21" s="39" customFormat="1" ht="20.100000000000001" customHeight="1" x14ac:dyDescent="0.2">
      <c r="A77" s="44">
        <v>69</v>
      </c>
      <c r="B77" s="78"/>
      <c r="C77" s="145"/>
      <c r="D77" s="80"/>
      <c r="E77" s="148"/>
      <c r="F77" s="82"/>
      <c r="G77" s="82"/>
      <c r="H77" s="82">
        <f t="shared" si="13"/>
        <v>0</v>
      </c>
      <c r="I77" s="144"/>
      <c r="J77" s="145"/>
      <c r="K77" s="91"/>
      <c r="L77" s="92"/>
      <c r="M77" s="31">
        <f t="shared" si="14"/>
        <v>0</v>
      </c>
      <c r="N77" s="31">
        <f t="shared" si="15"/>
        <v>0</v>
      </c>
      <c r="O77" s="25"/>
      <c r="P77" s="22"/>
      <c r="Q77" s="81"/>
      <c r="R77" s="26"/>
      <c r="S77" s="21"/>
      <c r="T77" s="32"/>
      <c r="U77" s="21"/>
    </row>
    <row r="78" spans="1:21" s="39" customFormat="1" ht="20.100000000000001" customHeight="1" x14ac:dyDescent="0.2">
      <c r="A78" s="44">
        <v>70</v>
      </c>
      <c r="B78" s="78"/>
      <c r="C78" s="145"/>
      <c r="D78" s="80"/>
      <c r="E78" s="148"/>
      <c r="F78" s="82"/>
      <c r="G78" s="82"/>
      <c r="H78" s="82">
        <f t="shared" si="13"/>
        <v>0</v>
      </c>
      <c r="I78" s="144"/>
      <c r="J78" s="145"/>
      <c r="K78" s="91"/>
      <c r="L78" s="92"/>
      <c r="M78" s="31">
        <f t="shared" si="14"/>
        <v>0</v>
      </c>
      <c r="N78" s="31">
        <f t="shared" si="15"/>
        <v>0</v>
      </c>
      <c r="O78" s="25"/>
      <c r="P78" s="22"/>
      <c r="Q78" s="81"/>
      <c r="R78" s="26"/>
      <c r="S78" s="21"/>
      <c r="T78" s="32"/>
      <c r="U78" s="21"/>
    </row>
    <row r="79" spans="1:21" s="39" customFormat="1" ht="20.100000000000001" customHeight="1" x14ac:dyDescent="0.2">
      <c r="A79" s="44">
        <v>71</v>
      </c>
      <c r="B79" s="78"/>
      <c r="C79" s="145"/>
      <c r="D79" s="80"/>
      <c r="E79" s="148"/>
      <c r="F79" s="82"/>
      <c r="G79" s="82"/>
      <c r="H79" s="82">
        <f t="shared" si="13"/>
        <v>0</v>
      </c>
      <c r="I79" s="144"/>
      <c r="J79" s="145"/>
      <c r="K79" s="91"/>
      <c r="L79" s="92"/>
      <c r="M79" s="31">
        <f t="shared" si="14"/>
        <v>0</v>
      </c>
      <c r="N79" s="31">
        <f t="shared" si="15"/>
        <v>0</v>
      </c>
      <c r="O79" s="25"/>
      <c r="P79" s="22"/>
      <c r="Q79" s="81"/>
      <c r="R79" s="26"/>
      <c r="S79" s="21"/>
      <c r="T79" s="32"/>
      <c r="U79" s="21"/>
    </row>
    <row r="80" spans="1:21" s="39" customFormat="1" ht="20.100000000000001" customHeight="1" x14ac:dyDescent="0.2">
      <c r="A80" s="44">
        <v>72</v>
      </c>
      <c r="B80" s="78"/>
      <c r="C80" s="145"/>
      <c r="D80" s="80"/>
      <c r="E80" s="148"/>
      <c r="F80" s="82"/>
      <c r="G80" s="82"/>
      <c r="H80" s="82">
        <f t="shared" si="13"/>
        <v>0</v>
      </c>
      <c r="I80" s="144"/>
      <c r="J80" s="145"/>
      <c r="K80" s="91"/>
      <c r="L80" s="92"/>
      <c r="M80" s="31">
        <f t="shared" si="14"/>
        <v>0</v>
      </c>
      <c r="N80" s="31">
        <f t="shared" si="15"/>
        <v>0</v>
      </c>
      <c r="O80" s="25"/>
      <c r="P80" s="22"/>
      <c r="Q80" s="81"/>
      <c r="R80" s="26"/>
      <c r="S80" s="21"/>
      <c r="T80" s="32"/>
      <c r="U80" s="21"/>
    </row>
  </sheetData>
  <autoFilter ref="D2:D50"/>
  <mergeCells count="4">
    <mergeCell ref="G3:P3"/>
    <mergeCell ref="F5:I5"/>
    <mergeCell ref="K5:N5"/>
    <mergeCell ref="P5:T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V80"/>
  <sheetViews>
    <sheetView workbookViewId="0">
      <pane ySplit="7" topLeftCell="A41" activePane="bottomLeft" state="frozen"/>
      <selection pane="bottomLeft" activeCell="T47" sqref="T47"/>
    </sheetView>
  </sheetViews>
  <sheetFormatPr defaultRowHeight="16.5" x14ac:dyDescent="0.3"/>
  <cols>
    <col min="1" max="1" width="4.140625" style="45" customWidth="1"/>
    <col min="2" max="2" width="11.7109375" style="35" customWidth="1"/>
    <col min="3" max="3" width="2.85546875" style="35" customWidth="1"/>
    <col min="4" max="4" width="26.5703125" style="35" customWidth="1"/>
    <col min="5" max="5" width="3.140625" style="35" customWidth="1"/>
    <col min="6" max="6" width="9.140625" style="35" customWidth="1"/>
    <col min="7" max="7" width="17.85546875" style="35" customWidth="1"/>
    <col min="8" max="8" width="7.5703125" style="55" customWidth="1"/>
    <col min="9" max="9" width="7.42578125" style="38" customWidth="1"/>
    <col min="10" max="10" width="3.42578125" style="35" customWidth="1"/>
    <col min="11" max="11" width="8.5703125" style="35" customWidth="1"/>
    <col min="12" max="12" width="7.7109375" style="35" customWidth="1"/>
    <col min="13" max="13" width="5.28515625" style="35" customWidth="1"/>
    <col min="14" max="14" width="10.85546875" style="108" customWidth="1"/>
    <col min="15" max="15" width="3.5703125" style="35" customWidth="1"/>
    <col min="16" max="16" width="10.7109375" style="55" customWidth="1"/>
    <col min="17" max="17" width="5.85546875" style="55" customWidth="1"/>
    <col min="18" max="18" width="6.28515625" style="55" customWidth="1"/>
    <col min="19" max="19" width="9.7109375" style="55" customWidth="1"/>
    <col min="20" max="20" width="9.7109375" style="143" customWidth="1"/>
    <col min="21" max="21" width="8.85546875" style="139" customWidth="1"/>
    <col min="22" max="22" width="3.140625" style="35" customWidth="1"/>
    <col min="23" max="16384" width="9.140625" style="35"/>
  </cols>
  <sheetData>
    <row r="1" spans="1:22" ht="17.25" thickBot="1" x14ac:dyDescent="0.35">
      <c r="A1" s="57"/>
      <c r="B1" s="58"/>
      <c r="C1" s="58"/>
      <c r="D1" s="58"/>
      <c r="E1" s="58"/>
      <c r="F1" s="58"/>
      <c r="G1" s="58"/>
      <c r="H1" s="59"/>
      <c r="I1" s="117"/>
      <c r="J1" s="58"/>
      <c r="K1" s="58"/>
      <c r="L1" s="58"/>
      <c r="M1" s="58"/>
      <c r="N1" s="104"/>
      <c r="O1" s="58"/>
      <c r="P1" s="59"/>
      <c r="Q1" s="59"/>
      <c r="R1" s="59"/>
      <c r="S1" s="59"/>
      <c r="T1" s="140"/>
      <c r="U1" s="136"/>
      <c r="V1" s="58"/>
    </row>
    <row r="2" spans="1:22" ht="17.25" thickBot="1" x14ac:dyDescent="0.35">
      <c r="A2" s="43"/>
      <c r="B2" s="2"/>
      <c r="C2" s="1"/>
      <c r="D2" s="1"/>
      <c r="E2" s="1"/>
      <c r="F2" s="1"/>
      <c r="G2" s="1"/>
      <c r="H2" s="49"/>
      <c r="I2" s="86"/>
      <c r="J2" s="1"/>
      <c r="K2" s="3"/>
      <c r="L2" s="4"/>
      <c r="M2" s="5"/>
      <c r="N2" s="105"/>
      <c r="O2" s="1"/>
      <c r="P2" s="48"/>
      <c r="Q2" s="49"/>
      <c r="R2" s="49"/>
      <c r="S2" s="49"/>
      <c r="T2" s="141"/>
      <c r="U2" s="2"/>
      <c r="V2" s="51"/>
    </row>
    <row r="3" spans="1:22" ht="20.100000000000001" customHeight="1" thickBot="1" x14ac:dyDescent="0.35">
      <c r="A3" s="43"/>
      <c r="B3" s="135" t="s">
        <v>15</v>
      </c>
      <c r="C3" s="1"/>
      <c r="D3" s="1"/>
      <c r="E3" s="51"/>
      <c r="F3" s="203" t="s">
        <v>939</v>
      </c>
      <c r="G3" s="203"/>
      <c r="H3" s="203"/>
      <c r="I3" s="203"/>
      <c r="J3" s="203"/>
      <c r="K3" s="203"/>
      <c r="L3" s="203"/>
      <c r="M3" s="203"/>
      <c r="N3" s="203"/>
      <c r="O3" s="203"/>
      <c r="P3" s="37"/>
      <c r="Q3" s="56"/>
      <c r="R3" s="56"/>
      <c r="S3" s="207" t="str">
        <f>+'Order Details April26-March27'!T3</f>
        <v>Last update as on 06.06.2026</v>
      </c>
      <c r="T3" s="208"/>
      <c r="U3" s="209"/>
      <c r="V3" s="51"/>
    </row>
    <row r="4" spans="1:22" ht="17.25" thickBot="1" x14ac:dyDescent="0.35">
      <c r="A4" s="43"/>
      <c r="B4" s="2"/>
      <c r="C4" s="1"/>
      <c r="D4" s="1"/>
      <c r="E4" s="1"/>
      <c r="F4" s="1"/>
      <c r="G4" s="1"/>
      <c r="H4" s="6"/>
      <c r="I4" s="6"/>
      <c r="J4" s="1"/>
      <c r="K4" s="3"/>
      <c r="L4" s="4"/>
      <c r="M4" s="5"/>
      <c r="N4" s="105"/>
      <c r="O4" s="1"/>
      <c r="P4" s="48"/>
      <c r="Q4" s="49"/>
      <c r="R4" s="49"/>
      <c r="S4" s="49"/>
      <c r="T4" s="141"/>
      <c r="U4" s="2"/>
      <c r="V4" s="51"/>
    </row>
    <row r="5" spans="1:22" ht="30" customHeight="1" thickBot="1" x14ac:dyDescent="0.35">
      <c r="A5" s="43"/>
      <c r="B5" s="127" t="s">
        <v>0</v>
      </c>
      <c r="C5" s="7"/>
      <c r="D5" s="128" t="s">
        <v>936</v>
      </c>
      <c r="E5" s="7"/>
      <c r="F5" s="210" t="s">
        <v>80</v>
      </c>
      <c r="G5" s="211"/>
      <c r="H5" s="211"/>
      <c r="I5" s="212"/>
      <c r="J5" s="9"/>
      <c r="K5" s="213" t="s">
        <v>81</v>
      </c>
      <c r="L5" s="214"/>
      <c r="M5" s="214"/>
      <c r="N5" s="215"/>
      <c r="O5" s="7"/>
      <c r="P5" s="200" t="s">
        <v>82</v>
      </c>
      <c r="Q5" s="201"/>
      <c r="R5" s="201"/>
      <c r="S5" s="201"/>
      <c r="T5" s="201"/>
      <c r="U5" s="202"/>
      <c r="V5" s="7"/>
    </row>
    <row r="6" spans="1:22" ht="17.25" thickBot="1" x14ac:dyDescent="0.35">
      <c r="A6" s="43"/>
      <c r="B6" s="2"/>
      <c r="C6" s="1"/>
      <c r="D6" s="1"/>
      <c r="E6" s="1"/>
      <c r="F6" s="10"/>
      <c r="G6" s="10"/>
      <c r="H6" s="49"/>
      <c r="I6" s="86"/>
      <c r="J6" s="1"/>
      <c r="K6" s="3"/>
      <c r="L6" s="4"/>
      <c r="M6" s="5"/>
      <c r="N6" s="105"/>
      <c r="O6" s="1"/>
      <c r="P6" s="48"/>
      <c r="Q6" s="49"/>
      <c r="R6" s="49"/>
      <c r="S6" s="49"/>
      <c r="T6" s="141"/>
      <c r="U6" s="2"/>
      <c r="V6" s="1"/>
    </row>
    <row r="7" spans="1:22" ht="30" customHeight="1" thickBot="1" x14ac:dyDescent="0.35">
      <c r="A7" s="44"/>
      <c r="B7" s="121" t="s">
        <v>83</v>
      </c>
      <c r="C7" s="13"/>
      <c r="D7" s="122" t="s">
        <v>12</v>
      </c>
      <c r="E7" s="11"/>
      <c r="F7" s="216" t="s">
        <v>84</v>
      </c>
      <c r="G7" s="217"/>
      <c r="H7" s="123" t="s">
        <v>6</v>
      </c>
      <c r="I7" s="124" t="s">
        <v>4</v>
      </c>
      <c r="J7" s="16"/>
      <c r="K7" s="218" t="s">
        <v>937</v>
      </c>
      <c r="L7" s="219"/>
      <c r="M7" s="220"/>
      <c r="N7" s="125" t="s">
        <v>86</v>
      </c>
      <c r="O7" s="11"/>
      <c r="P7" s="126" t="s">
        <v>87</v>
      </c>
      <c r="Q7" s="123" t="s">
        <v>88</v>
      </c>
      <c r="R7" s="123" t="s">
        <v>89</v>
      </c>
      <c r="S7" s="123" t="s">
        <v>90</v>
      </c>
      <c r="T7" s="132" t="s">
        <v>92</v>
      </c>
      <c r="U7" s="137" t="s">
        <v>940</v>
      </c>
      <c r="V7" s="11"/>
    </row>
    <row r="8" spans="1:22" x14ac:dyDescent="0.3">
      <c r="A8" s="43"/>
      <c r="B8" s="2"/>
      <c r="C8" s="1"/>
      <c r="D8" s="1"/>
      <c r="E8" s="1"/>
      <c r="F8" s="1"/>
      <c r="G8" s="1"/>
      <c r="H8" s="49"/>
      <c r="I8" s="86"/>
      <c r="J8" s="20"/>
      <c r="K8" s="3"/>
      <c r="L8" s="4"/>
      <c r="M8" s="5"/>
      <c r="N8" s="105"/>
      <c r="O8" s="1"/>
      <c r="P8" s="48" t="s">
        <v>93</v>
      </c>
      <c r="Q8" s="49"/>
      <c r="R8" s="49"/>
      <c r="S8" s="48"/>
      <c r="T8" s="141"/>
      <c r="U8" s="48" t="s">
        <v>93</v>
      </c>
      <c r="V8" s="51"/>
    </row>
    <row r="9" spans="1:22" ht="20.100000000000001" customHeight="1" x14ac:dyDescent="0.3">
      <c r="A9" s="44">
        <v>1</v>
      </c>
      <c r="B9" s="22">
        <f>+'Order Details April26-March27'!P9</f>
        <v>46126</v>
      </c>
      <c r="C9" s="23"/>
      <c r="D9" s="118" t="str">
        <f>+'Order Details April26-March27'!T9</f>
        <v>Healers Associates Vijayawada AP</v>
      </c>
      <c r="E9" s="25"/>
      <c r="F9" s="183" t="str">
        <f>+'Order Details April26-March27'!D9</f>
        <v>SPERMED (Medichem Product)</v>
      </c>
      <c r="G9" s="184"/>
      <c r="H9" s="119">
        <f>+'Order Details April26-March27'!H9</f>
        <v>50</v>
      </c>
      <c r="I9" s="177" t="str">
        <f>+'Order Details April26-March27'!I9</f>
        <v>Kg</v>
      </c>
      <c r="J9" s="28"/>
      <c r="K9" s="204" t="str">
        <f>+'Order Details April26-March27'!R9</f>
        <v>PO / NBF / 140426 / 001</v>
      </c>
      <c r="L9" s="205"/>
      <c r="M9" s="206"/>
      <c r="N9" s="27">
        <f>'Order Details April26-March27'!F9*'Order Details April26-March27'!N9</f>
        <v>175000</v>
      </c>
      <c r="O9" s="25"/>
      <c r="P9" s="22"/>
      <c r="Q9" s="26"/>
      <c r="R9" s="82">
        <v>45</v>
      </c>
      <c r="S9" s="22"/>
      <c r="T9" s="142"/>
      <c r="U9" s="138"/>
      <c r="V9" s="51"/>
    </row>
    <row r="10" spans="1:22" ht="20.100000000000001" customHeight="1" x14ac:dyDescent="0.3">
      <c r="A10" s="44">
        <v>2</v>
      </c>
      <c r="B10" s="22">
        <f>+'Order Details April26-March27'!P10</f>
        <v>46139</v>
      </c>
      <c r="C10" s="23"/>
      <c r="D10" s="118" t="str">
        <f>+'Order Details April26-March27'!T10</f>
        <v>Venkateshwara Hatcheries Ltd</v>
      </c>
      <c r="E10" s="25"/>
      <c r="F10" s="183" t="str">
        <f>+'Order Details April26-March27'!D10</f>
        <v>ND+IBD KILLED VAC</v>
      </c>
      <c r="G10" s="184"/>
      <c r="H10" s="119">
        <f>+'Order Details April26-March27'!H10</f>
        <v>37000</v>
      </c>
      <c r="I10" s="177" t="str">
        <f>+'Order Details April26-March27'!I10</f>
        <v>Dose</v>
      </c>
      <c r="J10" s="28"/>
      <c r="K10" s="204" t="str">
        <f>+'Order Details April26-March27'!R10</f>
        <v>PO / NBF / 270426 / 002</v>
      </c>
      <c r="L10" s="205"/>
      <c r="M10" s="206"/>
      <c r="N10" s="27">
        <f>'Order Details April26-March27'!F10*'Order Details April26-March27'!N10</f>
        <v>111382.95</v>
      </c>
      <c r="O10" s="25"/>
      <c r="P10" s="22"/>
      <c r="Q10" s="26"/>
      <c r="R10" s="82">
        <v>5</v>
      </c>
      <c r="S10" s="22"/>
      <c r="T10" s="142"/>
      <c r="U10" s="138"/>
      <c r="V10" s="51"/>
    </row>
    <row r="11" spans="1:22" ht="20.100000000000001" customHeight="1" x14ac:dyDescent="0.3">
      <c r="A11" s="44">
        <v>3</v>
      </c>
      <c r="B11" s="22">
        <f>+'Order Details April26-March27'!P11</f>
        <v>46139</v>
      </c>
      <c r="C11" s="23"/>
      <c r="D11" s="118" t="str">
        <f>+'Order Details April26-March27'!T11</f>
        <v>Venkateshwara Hatcheries Ltd</v>
      </c>
      <c r="E11" s="25"/>
      <c r="F11" s="183" t="str">
        <f>+'Order Details April26-March27'!D11</f>
        <v>VH HPEA (IBH) KILLED VAC</v>
      </c>
      <c r="G11" s="184"/>
      <c r="H11" s="119">
        <f>+'Order Details April26-March27'!H11</f>
        <v>77000</v>
      </c>
      <c r="I11" s="177" t="str">
        <f>+'Order Details April26-March27'!I11</f>
        <v>Dose</v>
      </c>
      <c r="J11" s="28"/>
      <c r="K11" s="204" t="str">
        <f>+'Order Details April26-March27'!R11</f>
        <v>PO / NBF / 270426 / 002</v>
      </c>
      <c r="L11" s="205"/>
      <c r="M11" s="206"/>
      <c r="N11" s="27">
        <f>'Order Details April26-March27'!F11*'Order Details April26-March27'!N11</f>
        <v>177870</v>
      </c>
      <c r="O11" s="25"/>
      <c r="P11" s="22"/>
      <c r="Q11" s="26"/>
      <c r="R11" s="82">
        <v>5</v>
      </c>
      <c r="S11" s="22"/>
      <c r="T11" s="142"/>
      <c r="U11" s="138"/>
      <c r="V11" s="51"/>
    </row>
    <row r="12" spans="1:22" ht="20.100000000000001" customHeight="1" x14ac:dyDescent="0.3">
      <c r="A12" s="44">
        <v>4</v>
      </c>
      <c r="B12" s="22">
        <f>+'Order Details April26-March27'!P12</f>
        <v>46139</v>
      </c>
      <c r="C12" s="23"/>
      <c r="D12" s="118" t="str">
        <f>+'Order Details April26-March27'!T12</f>
        <v>Venkateshwara Hatcheries Ltd</v>
      </c>
      <c r="E12" s="25"/>
      <c r="F12" s="183" t="str">
        <f>+'Order Details April26-March27'!D12</f>
        <v>VH V-4K (4way) KILLED VAC</v>
      </c>
      <c r="G12" s="184"/>
      <c r="H12" s="119">
        <f>+'Order Details April26-March27'!H12</f>
        <v>37000</v>
      </c>
      <c r="I12" s="177" t="str">
        <f>+'Order Details April26-March27'!I12</f>
        <v>Dose</v>
      </c>
      <c r="J12" s="28"/>
      <c r="K12" s="204" t="str">
        <f>+'Order Details April26-March27'!R12</f>
        <v>PO / NBF / 270426 / 002</v>
      </c>
      <c r="L12" s="205"/>
      <c r="M12" s="206"/>
      <c r="N12" s="27">
        <f>'Order Details April26-March27'!F12*'Order Details April26-March27'!N12</f>
        <v>206060.4</v>
      </c>
      <c r="O12" s="25"/>
      <c r="P12" s="22"/>
      <c r="Q12" s="26"/>
      <c r="R12" s="82">
        <v>5</v>
      </c>
      <c r="S12" s="22"/>
      <c r="T12" s="142"/>
      <c r="U12" s="138"/>
      <c r="V12" s="51"/>
    </row>
    <row r="13" spans="1:22" ht="20.100000000000001" customHeight="1" x14ac:dyDescent="0.3">
      <c r="A13" s="44">
        <v>5</v>
      </c>
      <c r="B13" s="22">
        <f>+'Order Details April26-March27'!P13</f>
        <v>46142</v>
      </c>
      <c r="C13" s="23"/>
      <c r="D13" s="118" t="str">
        <f>+'Order Details April26-March27'!T13</f>
        <v>Hester Biosciences Limited</v>
      </c>
      <c r="E13" s="25"/>
      <c r="F13" s="183" t="str">
        <f>+'Order Details April26-March27'!D13</f>
        <v>Inactivated Pullet ND (HPAI) VAC</v>
      </c>
      <c r="G13" s="184"/>
      <c r="H13" s="119">
        <f>+'Order Details April26-March27'!H13</f>
        <v>31000</v>
      </c>
      <c r="I13" s="177" t="str">
        <f>+'Order Details April26-March27'!I13</f>
        <v>Dose</v>
      </c>
      <c r="J13" s="28"/>
      <c r="K13" s="204" t="str">
        <f>+'Order Details April26-March27'!R13</f>
        <v>PO / NBF / 300426 / 003</v>
      </c>
      <c r="L13" s="205"/>
      <c r="M13" s="206"/>
      <c r="N13" s="27">
        <f>'Order Details April26-March27'!F13*'Order Details April26-March27'!N13</f>
        <v>81342.45</v>
      </c>
      <c r="O13" s="25"/>
      <c r="P13" s="22"/>
      <c r="Q13" s="26"/>
      <c r="R13" s="82">
        <v>5</v>
      </c>
      <c r="S13" s="22"/>
      <c r="T13" s="142"/>
      <c r="U13" s="138"/>
      <c r="V13" s="51"/>
    </row>
    <row r="14" spans="1:22" ht="20.100000000000001" customHeight="1" x14ac:dyDescent="0.3">
      <c r="A14" s="44">
        <v>6</v>
      </c>
      <c r="B14" s="22">
        <f>+'Order Details April26-March27'!P14</f>
        <v>46142</v>
      </c>
      <c r="C14" s="23"/>
      <c r="D14" s="118" t="str">
        <f>+'Order Details April26-March27'!T14</f>
        <v>Venkateshwara Hatcheries Ltd</v>
      </c>
      <c r="E14" s="25"/>
      <c r="F14" s="183" t="str">
        <f>+'Order Details April26-March27'!D14</f>
        <v>IBD Intermediate (Standard) Live</v>
      </c>
      <c r="G14" s="184"/>
      <c r="H14" s="119">
        <f>+'Order Details April26-March27'!H14</f>
        <v>51000</v>
      </c>
      <c r="I14" s="177" t="str">
        <f>+'Order Details April26-March27'!I14</f>
        <v>Dose</v>
      </c>
      <c r="J14" s="28"/>
      <c r="K14" s="204" t="str">
        <f>+'Order Details April26-March27'!R14</f>
        <v>PO / NBF / 300426 / 004</v>
      </c>
      <c r="L14" s="205"/>
      <c r="M14" s="206"/>
      <c r="N14" s="27">
        <f>'Order Details April26-March27'!F14*'Order Details April26-March27'!N14</f>
        <v>9531.9</v>
      </c>
      <c r="O14" s="25"/>
      <c r="P14" s="22"/>
      <c r="Q14" s="26"/>
      <c r="R14" s="82">
        <v>5</v>
      </c>
      <c r="S14" s="22"/>
      <c r="T14" s="142"/>
      <c r="U14" s="138"/>
      <c r="V14" s="51"/>
    </row>
    <row r="15" spans="1:22" ht="20.100000000000001" customHeight="1" x14ac:dyDescent="0.3">
      <c r="A15" s="44">
        <v>7</v>
      </c>
      <c r="B15" s="22">
        <f>+'Order Details April26-March27'!P15</f>
        <v>46142</v>
      </c>
      <c r="C15" s="23"/>
      <c r="D15" s="118" t="str">
        <f>+'Order Details April26-March27'!T15</f>
        <v>Venkateshwara Hatcheries Ltd</v>
      </c>
      <c r="E15" s="25"/>
      <c r="F15" s="183" t="str">
        <f>+'Order Details April26-March27'!D15</f>
        <v>IBD Intermediate (PlusType) Live</v>
      </c>
      <c r="G15" s="184"/>
      <c r="H15" s="119">
        <f>+'Order Details April26-March27'!H15</f>
        <v>51000</v>
      </c>
      <c r="I15" s="177" t="str">
        <f>+'Order Details April26-March27'!I15</f>
        <v>Dose</v>
      </c>
      <c r="J15" s="28"/>
      <c r="K15" s="204" t="str">
        <f>+'Order Details April26-March27'!R15</f>
        <v>PO / NBF / 300426 / 004</v>
      </c>
      <c r="L15" s="205"/>
      <c r="M15" s="206"/>
      <c r="N15" s="27">
        <f>'Order Details April26-March27'!F15*'Order Details April26-March27'!N15</f>
        <v>12852</v>
      </c>
      <c r="O15" s="25"/>
      <c r="P15" s="22"/>
      <c r="Q15" s="26"/>
      <c r="R15" s="82">
        <v>5</v>
      </c>
      <c r="S15" s="22"/>
      <c r="T15" s="142"/>
      <c r="U15" s="138"/>
      <c r="V15" s="51"/>
    </row>
    <row r="16" spans="1:22" ht="20.100000000000001" customHeight="1" x14ac:dyDescent="0.3">
      <c r="A16" s="44">
        <v>8</v>
      </c>
      <c r="B16" s="22">
        <f>+'Order Details April26-March27'!P16</f>
        <v>46142</v>
      </c>
      <c r="C16" s="23"/>
      <c r="D16" s="118" t="str">
        <f>+'Order Details April26-March27'!T16</f>
        <v>Venkateshwara Hatcheries Ltd</v>
      </c>
      <c r="E16" s="25"/>
      <c r="F16" s="183" t="str">
        <f>+'Order Details April26-March27'!D16</f>
        <v>ND+IBD KILLED VAC</v>
      </c>
      <c r="G16" s="184"/>
      <c r="H16" s="119">
        <f>+'Order Details April26-March27'!H16</f>
        <v>31000</v>
      </c>
      <c r="I16" s="177" t="str">
        <f>+'Order Details April26-March27'!I16</f>
        <v>Dose</v>
      </c>
      <c r="J16" s="28"/>
      <c r="K16" s="204" t="str">
        <f>+'Order Details April26-March27'!R16</f>
        <v>PO / NBF / 300426 / 004</v>
      </c>
      <c r="L16" s="205"/>
      <c r="M16" s="206"/>
      <c r="N16" s="27">
        <f>'Order Details April26-March27'!F16*'Order Details April26-March27'!N16</f>
        <v>93320.849999999991</v>
      </c>
      <c r="O16" s="25"/>
      <c r="P16" s="22"/>
      <c r="Q16" s="26"/>
      <c r="R16" s="82">
        <v>5</v>
      </c>
      <c r="S16" s="22"/>
      <c r="T16" s="142"/>
      <c r="U16" s="138"/>
      <c r="V16" s="51"/>
    </row>
    <row r="17" spans="1:22" ht="20.100000000000001" customHeight="1" x14ac:dyDescent="0.3">
      <c r="A17" s="44">
        <v>9</v>
      </c>
      <c r="B17" s="22">
        <f>+'Order Details April26-March27'!P17</f>
        <v>46142</v>
      </c>
      <c r="C17" s="23"/>
      <c r="D17" s="118" t="str">
        <f>+'Order Details April26-March27'!T17</f>
        <v>Venkateshwara Hatcheries Ltd</v>
      </c>
      <c r="E17" s="25"/>
      <c r="F17" s="183" t="str">
        <f>+'Order Details April26-March27'!D17</f>
        <v>VH HPEA (IBH) KILLED VAC</v>
      </c>
      <c r="G17" s="184"/>
      <c r="H17" s="119">
        <f>+'Order Details April26-March27'!H17</f>
        <v>82000</v>
      </c>
      <c r="I17" s="177" t="str">
        <f>+'Order Details April26-March27'!I17</f>
        <v>Dose</v>
      </c>
      <c r="J17" s="28"/>
      <c r="K17" s="204" t="str">
        <f>+'Order Details April26-March27'!R17</f>
        <v>PO / NBF / 300426 / 004</v>
      </c>
      <c r="L17" s="205"/>
      <c r="M17" s="206"/>
      <c r="N17" s="27">
        <f>'Order Details April26-March27'!F17*'Order Details April26-March27'!N17</f>
        <v>189420</v>
      </c>
      <c r="O17" s="25"/>
      <c r="P17" s="22"/>
      <c r="Q17" s="26"/>
      <c r="R17" s="82">
        <v>5</v>
      </c>
      <c r="S17" s="22"/>
      <c r="T17" s="142"/>
      <c r="U17" s="138"/>
      <c r="V17" s="51"/>
    </row>
    <row r="18" spans="1:22" ht="20.100000000000001" customHeight="1" x14ac:dyDescent="0.3">
      <c r="A18" s="44">
        <v>10</v>
      </c>
      <c r="B18" s="22">
        <f>+'Order Details April26-March27'!P18</f>
        <v>46142</v>
      </c>
      <c r="C18" s="23"/>
      <c r="D18" s="118" t="str">
        <f>+'Order Details April26-March27'!T18</f>
        <v>Venkateshwara Hatcheries Ltd</v>
      </c>
      <c r="E18" s="25"/>
      <c r="F18" s="183" t="str">
        <f>+'Order Details April26-March27'!D18</f>
        <v>VH VVND (VENGEM-9) KILLED VAC</v>
      </c>
      <c r="G18" s="184"/>
      <c r="H18" s="119">
        <f>+'Order Details April26-March27'!H18</f>
        <v>82000</v>
      </c>
      <c r="I18" s="177" t="str">
        <f>+'Order Details April26-March27'!I18</f>
        <v>Dose</v>
      </c>
      <c r="J18" s="28"/>
      <c r="K18" s="204" t="str">
        <f>+'Order Details April26-March27'!R18</f>
        <v>PO / NBF / 300426 / 004</v>
      </c>
      <c r="L18" s="205"/>
      <c r="M18" s="206"/>
      <c r="N18" s="27">
        <f>'Order Details April26-March27'!F18*'Order Details April26-March27'!N18</f>
        <v>89974.5</v>
      </c>
      <c r="O18" s="25"/>
      <c r="P18" s="22"/>
      <c r="Q18" s="26"/>
      <c r="R18" s="82">
        <v>5</v>
      </c>
      <c r="S18" s="22"/>
      <c r="T18" s="142"/>
      <c r="U18" s="138"/>
      <c r="V18" s="51"/>
    </row>
    <row r="19" spans="1:22" ht="20.100000000000001" customHeight="1" x14ac:dyDescent="0.3">
      <c r="A19" s="44">
        <v>11</v>
      </c>
      <c r="B19" s="22">
        <f>+'Order Details April26-March27'!P19</f>
        <v>46142</v>
      </c>
      <c r="C19" s="23"/>
      <c r="D19" s="118" t="str">
        <f>+'Order Details April26-March27'!T19</f>
        <v>Venkateshwara Hatcheries Ltd</v>
      </c>
      <c r="E19" s="25"/>
      <c r="F19" s="183" t="str">
        <f>+'Order Details April26-March27'!D19</f>
        <v>Sterile Diluent for Others Live</v>
      </c>
      <c r="G19" s="184"/>
      <c r="H19" s="119">
        <f>+'Order Details April26-March27'!H19</f>
        <v>3150</v>
      </c>
      <c r="I19" s="177" t="str">
        <f>+'Order Details April26-March27'!I19</f>
        <v>Ml</v>
      </c>
      <c r="J19" s="28"/>
      <c r="K19" s="204" t="str">
        <f>+'Order Details April26-March27'!R19</f>
        <v>PO / NBF / 300426 / 004</v>
      </c>
      <c r="L19" s="205"/>
      <c r="M19" s="206"/>
      <c r="N19" s="27">
        <f>'Order Details April26-March27'!F19*'Order Details April26-March27'!N19</f>
        <v>192.9375</v>
      </c>
      <c r="O19" s="25"/>
      <c r="P19" s="22"/>
      <c r="Q19" s="26"/>
      <c r="R19" s="82">
        <v>5</v>
      </c>
      <c r="S19" s="22"/>
      <c r="T19" s="142"/>
      <c r="U19" s="138"/>
      <c r="V19" s="51"/>
    </row>
    <row r="20" spans="1:22" ht="20.100000000000001" customHeight="1" x14ac:dyDescent="0.3">
      <c r="A20" s="44">
        <v>12</v>
      </c>
      <c r="B20" s="22">
        <f>+'Order Details April26-March27'!P20</f>
        <v>46142</v>
      </c>
      <c r="C20" s="23"/>
      <c r="D20" s="118" t="str">
        <f>+'Order Details April26-March27'!T20</f>
        <v>Venkateshwara Marketing HYD</v>
      </c>
      <c r="E20" s="25"/>
      <c r="F20" s="183" t="str">
        <f>+'Order Details April26-March27'!D20</f>
        <v>Nobilis IB 4/91 Live Vac (MSD)</v>
      </c>
      <c r="G20" s="184"/>
      <c r="H20" s="119">
        <f>+'Order Details April26-March27'!H20</f>
        <v>51000</v>
      </c>
      <c r="I20" s="177" t="str">
        <f>+'Order Details April26-March27'!I20</f>
        <v>Dose</v>
      </c>
      <c r="J20" s="28"/>
      <c r="K20" s="204" t="str">
        <f>+'Order Details April26-March27'!R20</f>
        <v>PO / NBF / 300426 / 005</v>
      </c>
      <c r="L20" s="205"/>
      <c r="M20" s="206"/>
      <c r="N20" s="27">
        <f>'Order Details April26-March27'!F20*'Order Details April26-March27'!N20</f>
        <v>72292.5</v>
      </c>
      <c r="O20" s="25"/>
      <c r="P20" s="22"/>
      <c r="Q20" s="26"/>
      <c r="R20" s="82">
        <v>45</v>
      </c>
      <c r="S20" s="22"/>
      <c r="T20" s="142"/>
      <c r="U20" s="138"/>
      <c r="V20" s="51"/>
    </row>
    <row r="21" spans="1:22" ht="20.100000000000001" customHeight="1" x14ac:dyDescent="0.3">
      <c r="A21" s="44">
        <v>13</v>
      </c>
      <c r="B21" s="22">
        <f>+'Order Details April26-March27'!P21</f>
        <v>46142</v>
      </c>
      <c r="C21" s="23"/>
      <c r="D21" s="118" t="str">
        <f>+'Order Details April26-March27'!T21</f>
        <v>Venkateshwara Marketing HYD</v>
      </c>
      <c r="E21" s="25"/>
      <c r="F21" s="183" t="str">
        <f>+'Order Details April26-March27'!D21</f>
        <v>Nobilis IB MA-5 Live Vac (MSD)</v>
      </c>
      <c r="G21" s="184"/>
      <c r="H21" s="119">
        <f>+'Order Details April26-March27'!H21</f>
        <v>51000</v>
      </c>
      <c r="I21" s="177" t="str">
        <f>+'Order Details April26-March27'!I21</f>
        <v>Dose</v>
      </c>
      <c r="J21" s="28"/>
      <c r="K21" s="204" t="str">
        <f>+'Order Details April26-March27'!R21</f>
        <v>PO / NBF / 300426 / 005</v>
      </c>
      <c r="L21" s="205"/>
      <c r="M21" s="206"/>
      <c r="N21" s="27">
        <f>'Order Details April26-March27'!F21*'Order Details April26-March27'!N21</f>
        <v>25704</v>
      </c>
      <c r="O21" s="25"/>
      <c r="P21" s="22"/>
      <c r="Q21" s="26"/>
      <c r="R21" s="82">
        <v>45</v>
      </c>
      <c r="S21" s="22"/>
      <c r="T21" s="142"/>
      <c r="U21" s="138"/>
      <c r="V21" s="51"/>
    </row>
    <row r="22" spans="1:22" ht="20.100000000000001" customHeight="1" x14ac:dyDescent="0.3">
      <c r="A22" s="44">
        <v>14</v>
      </c>
      <c r="B22" s="22">
        <f>+'Order Details April26-March27'!P22</f>
        <v>46142</v>
      </c>
      <c r="C22" s="23"/>
      <c r="D22" s="118" t="str">
        <f>+'Order Details April26-March27'!T22</f>
        <v>Venkateshwara Marketing HYD</v>
      </c>
      <c r="E22" s="25"/>
      <c r="F22" s="183" t="str">
        <f>+'Order Details April26-March27'!D22</f>
        <v>Nobilis ND Clone-30 Live Vac (MSD)</v>
      </c>
      <c r="G22" s="184"/>
      <c r="H22" s="119">
        <f>+'Order Details April26-March27'!H22</f>
        <v>51000</v>
      </c>
      <c r="I22" s="177" t="str">
        <f>+'Order Details April26-March27'!I22</f>
        <v>Dose</v>
      </c>
      <c r="J22" s="28"/>
      <c r="K22" s="204" t="str">
        <f>+'Order Details April26-March27'!R22</f>
        <v>PO / NBF / 300426 / 005</v>
      </c>
      <c r="L22" s="205"/>
      <c r="M22" s="206"/>
      <c r="N22" s="27">
        <f>'Order Details April26-March27'!F22*'Order Details April26-March27'!N22</f>
        <v>12316.5</v>
      </c>
      <c r="O22" s="25"/>
      <c r="P22" s="22"/>
      <c r="Q22" s="26"/>
      <c r="R22" s="82">
        <v>45</v>
      </c>
      <c r="S22" s="22"/>
      <c r="T22" s="142"/>
      <c r="U22" s="138"/>
      <c r="V22" s="51"/>
    </row>
    <row r="23" spans="1:22" ht="20.100000000000001" customHeight="1" x14ac:dyDescent="0.3">
      <c r="A23" s="44">
        <v>15</v>
      </c>
      <c r="B23" s="22">
        <f>+'Order Details April26-March27'!P23</f>
        <v>46142</v>
      </c>
      <c r="C23" s="23"/>
      <c r="D23" s="118" t="str">
        <f>+'Order Details April26-March27'!T23</f>
        <v>Venkateshwara Marketing HYD</v>
      </c>
      <c r="E23" s="25"/>
      <c r="F23" s="183" t="str">
        <f>+'Order Details April26-March27'!D23</f>
        <v>Nobilis REO-1133 Live Vaccine (MSD)</v>
      </c>
      <c r="G23" s="184"/>
      <c r="H23" s="119">
        <f>+'Order Details April26-March27'!H23</f>
        <v>51000</v>
      </c>
      <c r="I23" s="177" t="str">
        <f>+'Order Details April26-March27'!I23</f>
        <v>Dose</v>
      </c>
      <c r="J23" s="28"/>
      <c r="K23" s="204" t="str">
        <f>+'Order Details April26-March27'!R23</f>
        <v>PO / NBF / 300426 / 005</v>
      </c>
      <c r="L23" s="205"/>
      <c r="M23" s="206"/>
      <c r="N23" s="27">
        <f>'Order Details April26-March27'!F23*'Order Details April26-March27'!N23</f>
        <v>139230</v>
      </c>
      <c r="O23" s="25"/>
      <c r="P23" s="22"/>
      <c r="Q23" s="26"/>
      <c r="R23" s="82">
        <v>45</v>
      </c>
      <c r="S23" s="22"/>
      <c r="T23" s="142"/>
      <c r="U23" s="138"/>
      <c r="V23" s="51"/>
    </row>
    <row r="24" spans="1:22" ht="20.100000000000001" customHeight="1" x14ac:dyDescent="0.3">
      <c r="A24" s="44">
        <v>16</v>
      </c>
      <c r="B24" s="22">
        <f>+'Order Details April26-March27'!P24</f>
        <v>46144</v>
      </c>
      <c r="C24" s="23"/>
      <c r="D24" s="118" t="str">
        <f>+'Order Details April26-March27'!T24</f>
        <v>Quest Agrovet Services Pvt Ltd</v>
      </c>
      <c r="E24" s="25"/>
      <c r="F24" s="183" t="str">
        <f>+'Order Details April26-March27'!D24</f>
        <v>PREVEXXION MAREK's Vac (Boehringer)</v>
      </c>
      <c r="G24" s="184"/>
      <c r="H24" s="119">
        <f>+'Order Details April26-March27'!H24</f>
        <v>102000</v>
      </c>
      <c r="I24" s="177" t="str">
        <f>+'Order Details April26-March27'!I24</f>
        <v>Dose</v>
      </c>
      <c r="J24" s="28"/>
      <c r="K24" s="204" t="str">
        <f>+'Order Details April26-March27'!R24</f>
        <v>PO / NBF / 020526 / 006</v>
      </c>
      <c r="L24" s="205"/>
      <c r="M24" s="206"/>
      <c r="N24" s="27">
        <f>'Order Details April26-March27'!F24*'Order Details April26-March27'!N24</f>
        <v>279798.75</v>
      </c>
      <c r="O24" s="25"/>
      <c r="P24" s="22"/>
      <c r="Q24" s="26"/>
      <c r="R24" s="82">
        <v>45</v>
      </c>
      <c r="S24" s="22"/>
      <c r="T24" s="142"/>
      <c r="U24" s="138"/>
      <c r="V24" s="51"/>
    </row>
    <row r="25" spans="1:22" ht="20.100000000000001" customHeight="1" x14ac:dyDescent="0.3">
      <c r="A25" s="44">
        <v>17</v>
      </c>
      <c r="B25" s="22">
        <f>+'Order Details April26-March27'!P25</f>
        <v>46150</v>
      </c>
      <c r="C25" s="23"/>
      <c r="D25" s="118" t="str">
        <f>+'Order Details April26-March27'!T25</f>
        <v>Kemin Industries South Asia</v>
      </c>
      <c r="E25" s="25"/>
      <c r="F25" s="183" t="str">
        <f>+'Order Details April26-March27'!D25</f>
        <v>TOXFIN-360 DRY (Kemin)</v>
      </c>
      <c r="G25" s="184"/>
      <c r="H25" s="119">
        <f>+'Order Details April26-March27'!H25</f>
        <v>1500</v>
      </c>
      <c r="I25" s="177" t="str">
        <f>+'Order Details April26-March27'!I25</f>
        <v>Kg</v>
      </c>
      <c r="J25" s="28"/>
      <c r="K25" s="204" t="str">
        <f>+'Order Details April26-March27'!R25</f>
        <v>PO / NBF / 080526 / 007</v>
      </c>
      <c r="L25" s="205"/>
      <c r="M25" s="206"/>
      <c r="N25" s="27">
        <f>'Order Details April26-March27'!F25*'Order Details April26-March27'!N25</f>
        <v>202500</v>
      </c>
      <c r="O25" s="25"/>
      <c r="P25" s="22"/>
      <c r="Q25" s="26"/>
      <c r="R25" s="82">
        <v>30</v>
      </c>
      <c r="S25" s="22"/>
      <c r="T25" s="142"/>
      <c r="U25" s="138"/>
      <c r="V25" s="51"/>
    </row>
    <row r="26" spans="1:22" ht="20.100000000000001" customHeight="1" x14ac:dyDescent="0.3">
      <c r="A26" s="44">
        <v>18</v>
      </c>
      <c r="B26" s="22">
        <f>+'Order Details April26-March27'!P26</f>
        <v>46150</v>
      </c>
      <c r="C26" s="23"/>
      <c r="D26" s="118" t="str">
        <f>+'Order Details April26-March27'!T26</f>
        <v>Das Drug Centre Pvt Ltd W Bengal</v>
      </c>
      <c r="E26" s="25"/>
      <c r="F26" s="183" t="str">
        <f>+'Order Details April26-March27'!D26</f>
        <v>Hipraviar TRT VAC (Hipra)</v>
      </c>
      <c r="G26" s="184"/>
      <c r="H26" s="119">
        <f>+'Order Details April26-March27'!H26</f>
        <v>62000</v>
      </c>
      <c r="I26" s="177" t="str">
        <f>+'Order Details April26-March27'!I26</f>
        <v>Dose</v>
      </c>
      <c r="J26" s="28"/>
      <c r="K26" s="204" t="str">
        <f>+'Order Details April26-March27'!R26</f>
        <v>PO / NBF / 080526 / 008</v>
      </c>
      <c r="L26" s="205"/>
      <c r="M26" s="206"/>
      <c r="N26" s="27">
        <f>'Order Details April26-March27'!F26*'Order Details April26-March27'!N26</f>
        <v>338520</v>
      </c>
      <c r="O26" s="25"/>
      <c r="P26" s="22"/>
      <c r="Q26" s="26"/>
      <c r="R26" s="82">
        <v>45</v>
      </c>
      <c r="S26" s="22"/>
      <c r="T26" s="142"/>
      <c r="U26" s="138"/>
      <c r="V26" s="51"/>
    </row>
    <row r="27" spans="1:22" ht="20.100000000000001" customHeight="1" x14ac:dyDescent="0.3">
      <c r="A27" s="44">
        <v>19</v>
      </c>
      <c r="B27" s="22">
        <f>+'Order Details April26-March27'!P27</f>
        <v>46153</v>
      </c>
      <c r="C27" s="23"/>
      <c r="D27" s="118" t="str">
        <f>+'Order Details April26-March27'!T27</f>
        <v>Jeco Nutri Chem Pvt Ltd Kolkata</v>
      </c>
      <c r="E27" s="25"/>
      <c r="F27" s="183" t="str">
        <f>+'Order Details April26-March27'!D27</f>
        <v>MICROVIT-E 50% (Adisseo)</v>
      </c>
      <c r="G27" s="184"/>
      <c r="H27" s="119">
        <f>+'Order Details April26-March27'!H27</f>
        <v>300</v>
      </c>
      <c r="I27" s="177" t="str">
        <f>+'Order Details April26-March27'!I27</f>
        <v>Kg</v>
      </c>
      <c r="J27" s="28"/>
      <c r="K27" s="204" t="str">
        <f>+'Order Details April26-March27'!R27</f>
        <v>PO / NBF / 110526 / 009</v>
      </c>
      <c r="L27" s="205"/>
      <c r="M27" s="206"/>
      <c r="N27" s="27">
        <f>'Order Details April26-March27'!F27*'Order Details April26-March27'!N27</f>
        <v>375000</v>
      </c>
      <c r="O27" s="25"/>
      <c r="P27" s="22"/>
      <c r="Q27" s="26"/>
      <c r="R27" s="82">
        <v>30</v>
      </c>
      <c r="S27" s="22"/>
      <c r="T27" s="142"/>
      <c r="U27" s="138"/>
      <c r="V27" s="51"/>
    </row>
    <row r="28" spans="1:22" ht="20.100000000000001" customHeight="1" x14ac:dyDescent="0.3">
      <c r="A28" s="44">
        <v>20</v>
      </c>
      <c r="B28" s="22">
        <f>+'Order Details April26-March27'!P28</f>
        <v>46154</v>
      </c>
      <c r="C28" s="23"/>
      <c r="D28" s="118" t="str">
        <f>+'Order Details April26-March27'!T28</f>
        <v>Das Drug Centre Pvt Ltd W Bengal</v>
      </c>
      <c r="E28" s="25"/>
      <c r="F28" s="183" t="str">
        <f>+'Order Details April26-March27'!D28</f>
        <v>CORYZA KILLED VAC (Boehringer)</v>
      </c>
      <c r="G28" s="184"/>
      <c r="H28" s="119">
        <f>+'Order Details April26-March27'!H28</f>
        <v>51000</v>
      </c>
      <c r="I28" s="177" t="str">
        <f>+'Order Details April26-March27'!I28</f>
        <v>Dose</v>
      </c>
      <c r="J28" s="28"/>
      <c r="K28" s="204" t="str">
        <f>+'Order Details April26-March27'!R28</f>
        <v>PO / NBF / 120526 / 010</v>
      </c>
      <c r="L28" s="205"/>
      <c r="M28" s="206"/>
      <c r="N28" s="27">
        <f>'Order Details April26-March27'!F28*'Order Details April26-March27'!N28</f>
        <v>101745</v>
      </c>
      <c r="O28" s="25"/>
      <c r="P28" s="22"/>
      <c r="Q28" s="26"/>
      <c r="R28" s="82">
        <v>45</v>
      </c>
      <c r="S28" s="22"/>
      <c r="T28" s="142"/>
      <c r="U28" s="138"/>
      <c r="V28" s="51"/>
    </row>
    <row r="29" spans="1:22" ht="20.100000000000001" customHeight="1" x14ac:dyDescent="0.3">
      <c r="A29" s="44">
        <v>21</v>
      </c>
      <c r="B29" s="22">
        <f>+'Order Details April26-March27'!P29</f>
        <v>46154</v>
      </c>
      <c r="C29" s="23"/>
      <c r="D29" s="118" t="str">
        <f>+'Order Details April26-March27'!T29</f>
        <v>Venkateshwara Hatcheries Ltd</v>
      </c>
      <c r="E29" s="25"/>
      <c r="F29" s="183" t="str">
        <f>+'Order Details April26-March27'!D29</f>
        <v>R2B Live Vaccine</v>
      </c>
      <c r="G29" s="184"/>
      <c r="H29" s="119">
        <f>+'Order Details April26-March27'!H29</f>
        <v>51000</v>
      </c>
      <c r="I29" s="177" t="str">
        <f>+'Order Details April26-March27'!I29</f>
        <v>Dose</v>
      </c>
      <c r="J29" s="28"/>
      <c r="K29" s="204" t="str">
        <f>+'Order Details April26-March27'!R29</f>
        <v>PO / NBF / 120526 / 011</v>
      </c>
      <c r="L29" s="205"/>
      <c r="M29" s="206"/>
      <c r="N29" s="27">
        <f>'Order Details April26-March27'!F29*'Order Details April26-March27'!N29</f>
        <v>7389.9000000000005</v>
      </c>
      <c r="O29" s="25"/>
      <c r="P29" s="22"/>
      <c r="Q29" s="26"/>
      <c r="R29" s="82">
        <v>45</v>
      </c>
      <c r="S29" s="22"/>
      <c r="T29" s="142"/>
      <c r="U29" s="138"/>
      <c r="V29" s="51"/>
    </row>
    <row r="30" spans="1:22" ht="20.100000000000001" customHeight="1" x14ac:dyDescent="0.3">
      <c r="A30" s="44">
        <v>22</v>
      </c>
      <c r="B30" s="22">
        <f>+'Order Details April26-March27'!P30</f>
        <v>46154</v>
      </c>
      <c r="C30" s="23"/>
      <c r="D30" s="118" t="str">
        <f>+'Order Details April26-March27'!T30</f>
        <v>Venkateshwara Hatcheries Ltd</v>
      </c>
      <c r="E30" s="25"/>
      <c r="F30" s="183" t="str">
        <f>+'Order Details April26-March27'!D30</f>
        <v>ND (Visa-15) KILLED VAC</v>
      </c>
      <c r="G30" s="184"/>
      <c r="H30" s="119">
        <f>+'Order Details April26-March27'!H30</f>
        <v>51000</v>
      </c>
      <c r="I30" s="177" t="str">
        <f>+'Order Details April26-March27'!I30</f>
        <v>Dose</v>
      </c>
      <c r="J30" s="28"/>
      <c r="K30" s="204" t="str">
        <f>+'Order Details April26-March27'!R30</f>
        <v>PO / NBF / 120526 / 011</v>
      </c>
      <c r="L30" s="205"/>
      <c r="M30" s="206"/>
      <c r="N30" s="27">
        <f>'Order Details April26-March27'!F30*'Order Details April26-March27'!N30</f>
        <v>54888.75</v>
      </c>
      <c r="O30" s="25"/>
      <c r="P30" s="22"/>
      <c r="Q30" s="26"/>
      <c r="R30" s="82">
        <v>45</v>
      </c>
      <c r="S30" s="22"/>
      <c r="T30" s="142"/>
      <c r="U30" s="138"/>
      <c r="V30" s="51"/>
    </row>
    <row r="31" spans="1:22" ht="20.100000000000001" customHeight="1" x14ac:dyDescent="0.3">
      <c r="A31" s="44">
        <v>23</v>
      </c>
      <c r="B31" s="22">
        <f>+'Order Details April26-March27'!P31</f>
        <v>46154</v>
      </c>
      <c r="C31" s="23"/>
      <c r="D31" s="118" t="str">
        <f>+'Order Details April26-March27'!T31</f>
        <v>Venkateshwara Hatcheries Ltd</v>
      </c>
      <c r="E31" s="25"/>
      <c r="F31" s="183" t="str">
        <f>+'Order Details April26-March27'!D31</f>
        <v>Sterile Diluent for R2B Live</v>
      </c>
      <c r="G31" s="184"/>
      <c r="H31" s="119">
        <f>+'Order Details April26-March27'!H31</f>
        <v>27500</v>
      </c>
      <c r="I31" s="177" t="str">
        <f>+'Order Details April26-March27'!I31</f>
        <v>Ml</v>
      </c>
      <c r="J31" s="28"/>
      <c r="K31" s="204" t="str">
        <f>+'Order Details April26-March27'!R31</f>
        <v>PO / NBF / 120526 / 011</v>
      </c>
      <c r="L31" s="205"/>
      <c r="M31" s="206"/>
      <c r="N31" s="27">
        <f>'Order Details April26-March27'!F31*'Order Details April26-March27'!N31</f>
        <v>101.0625</v>
      </c>
      <c r="O31" s="25"/>
      <c r="P31" s="22"/>
      <c r="Q31" s="26"/>
      <c r="R31" s="82">
        <v>45</v>
      </c>
      <c r="S31" s="22"/>
      <c r="T31" s="142"/>
      <c r="U31" s="138"/>
      <c r="V31" s="51"/>
    </row>
    <row r="32" spans="1:22" ht="20.100000000000001" customHeight="1" x14ac:dyDescent="0.3">
      <c r="A32" s="44">
        <v>24</v>
      </c>
      <c r="B32" s="22">
        <f>+'Order Details April26-March27'!P32</f>
        <v>46154</v>
      </c>
      <c r="C32" s="23"/>
      <c r="D32" s="118" t="str">
        <f>+'Order Details April26-March27'!T32</f>
        <v>Venkateshwara Marketing HYD</v>
      </c>
      <c r="E32" s="25"/>
      <c r="F32" s="183" t="str">
        <f>+'Order Details April26-March27'!D32</f>
        <v>Nobilis IB MA-5+ND Clone-30 Live (MSD)</v>
      </c>
      <c r="G32" s="184"/>
      <c r="H32" s="119">
        <f>+'Order Details April26-March27'!H32</f>
        <v>77000</v>
      </c>
      <c r="I32" s="177" t="str">
        <f>+'Order Details April26-March27'!I32</f>
        <v>Dose</v>
      </c>
      <c r="J32" s="28"/>
      <c r="K32" s="204" t="str">
        <f>+'Order Details April26-March27'!R32</f>
        <v>PO / NBF / 120526 / 012</v>
      </c>
      <c r="L32" s="205"/>
      <c r="M32" s="206"/>
      <c r="N32" s="27">
        <f>'Order Details April26-March27'!F32*'Order Details April26-March27'!N32</f>
        <v>32340</v>
      </c>
      <c r="O32" s="25"/>
      <c r="P32" s="22"/>
      <c r="Q32" s="26"/>
      <c r="R32" s="82">
        <v>45</v>
      </c>
      <c r="S32" s="22"/>
      <c r="T32" s="142"/>
      <c r="U32" s="138"/>
      <c r="V32" s="51"/>
    </row>
    <row r="33" spans="1:22" ht="20.100000000000001" customHeight="1" x14ac:dyDescent="0.3">
      <c r="A33" s="44">
        <v>25</v>
      </c>
      <c r="B33" s="22">
        <f>+'Order Details April26-March27'!P33</f>
        <v>46154</v>
      </c>
      <c r="C33" s="23"/>
      <c r="D33" s="118" t="str">
        <f>+'Order Details April26-March27'!T33</f>
        <v>Venkateshwara Marketing HYD</v>
      </c>
      <c r="E33" s="25"/>
      <c r="F33" s="183" t="str">
        <f>+'Order Details April26-March27'!D33</f>
        <v>Nobilis Sg9R (Salmonella) Live Vac (MSD)</v>
      </c>
      <c r="G33" s="184"/>
      <c r="H33" s="119">
        <f>+'Order Details April26-March27'!H33</f>
        <v>51000</v>
      </c>
      <c r="I33" s="177" t="str">
        <f>+'Order Details April26-March27'!I33</f>
        <v>Dose</v>
      </c>
      <c r="J33" s="28"/>
      <c r="K33" s="204" t="str">
        <f>+'Order Details April26-March27'!R33</f>
        <v>PO / NBF / 120526 / 012</v>
      </c>
      <c r="L33" s="205"/>
      <c r="M33" s="206"/>
      <c r="N33" s="27">
        <f>'Order Details April26-March27'!F33*'Order Details April26-March27'!N33</f>
        <v>356107.5</v>
      </c>
      <c r="O33" s="25"/>
      <c r="P33" s="22"/>
      <c r="Q33" s="26"/>
      <c r="R33" s="82">
        <v>45</v>
      </c>
      <c r="S33" s="22"/>
      <c r="T33" s="142"/>
      <c r="U33" s="138"/>
      <c r="V33" s="51"/>
    </row>
    <row r="34" spans="1:22" ht="20.100000000000001" customHeight="1" x14ac:dyDescent="0.3">
      <c r="A34" s="44">
        <v>26</v>
      </c>
      <c r="B34" s="22">
        <f>+'Order Details April26-March27'!P34</f>
        <v>46154</v>
      </c>
      <c r="C34" s="23"/>
      <c r="D34" s="118" t="str">
        <f>+'Order Details April26-March27'!T34</f>
        <v>Venkateshwara Marketing HYD</v>
      </c>
      <c r="E34" s="25"/>
      <c r="F34" s="183" t="str">
        <f>+'Order Details April26-March27'!D34</f>
        <v>Nobilis REO INAC KILLED VAC (MSD)</v>
      </c>
      <c r="G34" s="184"/>
      <c r="H34" s="119">
        <f>+'Order Details April26-March27'!H34</f>
        <v>51000</v>
      </c>
      <c r="I34" s="177" t="str">
        <f>+'Order Details April26-March27'!I34</f>
        <v>Dose</v>
      </c>
      <c r="J34" s="28"/>
      <c r="K34" s="204" t="str">
        <f>+'Order Details April26-March27'!R34</f>
        <v>PO / NBF / 120526 / 012</v>
      </c>
      <c r="L34" s="205"/>
      <c r="M34" s="206"/>
      <c r="N34" s="27">
        <f>'Order Details April26-March27'!F34*'Order Details April26-March27'!N34</f>
        <v>183783.6</v>
      </c>
      <c r="O34" s="25"/>
      <c r="P34" s="22"/>
      <c r="Q34" s="26"/>
      <c r="R34" s="82">
        <v>45</v>
      </c>
      <c r="S34" s="22"/>
      <c r="T34" s="142"/>
      <c r="U34" s="138"/>
      <c r="V34" s="51"/>
    </row>
    <row r="35" spans="1:22" ht="20.100000000000001" customHeight="1" x14ac:dyDescent="0.3">
      <c r="A35" s="44">
        <v>27</v>
      </c>
      <c r="B35" s="22">
        <f>+'Order Details April26-March27'!P35</f>
        <v>46154</v>
      </c>
      <c r="C35" s="23"/>
      <c r="D35" s="118" t="str">
        <f>+'Order Details April26-March27'!T35</f>
        <v>Venkys India Limited - AHP Division</v>
      </c>
      <c r="E35" s="25"/>
      <c r="F35" s="183" t="str">
        <f>+'Order Details April26-March27'!D35</f>
        <v>BIOSPARK GOLD (AHP DIV)</v>
      </c>
      <c r="G35" s="184"/>
      <c r="H35" s="119">
        <f>+'Order Details April26-March27'!H35</f>
        <v>200</v>
      </c>
      <c r="I35" s="177" t="str">
        <f>+'Order Details April26-March27'!I35</f>
        <v>Kg</v>
      </c>
      <c r="J35" s="28"/>
      <c r="K35" s="204" t="str">
        <f>+'Order Details April26-March27'!R35</f>
        <v>PO / NBF / 120526 / 013</v>
      </c>
      <c r="L35" s="205"/>
      <c r="M35" s="206"/>
      <c r="N35" s="27">
        <f>'Order Details April26-March27'!F35*'Order Details April26-March27'!N35</f>
        <v>92240</v>
      </c>
      <c r="O35" s="25"/>
      <c r="P35" s="22"/>
      <c r="Q35" s="26"/>
      <c r="R35" s="82">
        <v>7</v>
      </c>
      <c r="S35" s="22"/>
      <c r="T35" s="142"/>
      <c r="U35" s="138"/>
      <c r="V35" s="51"/>
    </row>
    <row r="36" spans="1:22" ht="20.100000000000001" customHeight="1" x14ac:dyDescent="0.3">
      <c r="A36" s="44">
        <v>28</v>
      </c>
      <c r="B36" s="22">
        <f>+'Order Details April26-March27'!P36</f>
        <v>46154</v>
      </c>
      <c r="C36" s="23"/>
      <c r="D36" s="118" t="str">
        <f>+'Order Details April26-March27'!T36</f>
        <v>Venkys India Limited - AHP Division</v>
      </c>
      <c r="E36" s="25"/>
      <c r="F36" s="183" t="str">
        <f>+'Order Details April26-March27'!D36</f>
        <v>SOLEX-M (AHP DIV)</v>
      </c>
      <c r="G36" s="184"/>
      <c r="H36" s="119">
        <f>+'Order Details April26-March27'!H36</f>
        <v>15000</v>
      </c>
      <c r="I36" s="177" t="str">
        <f>+'Order Details April26-March27'!I36</f>
        <v>Gms</v>
      </c>
      <c r="J36" s="28"/>
      <c r="K36" s="204" t="str">
        <f>+'Order Details April26-March27'!R36</f>
        <v>PO / NBF / 120526 / 013</v>
      </c>
      <c r="L36" s="205"/>
      <c r="M36" s="206"/>
      <c r="N36" s="27">
        <f>'Order Details April26-March27'!F36*'Order Details April26-March27'!N36</f>
        <v>15150</v>
      </c>
      <c r="O36" s="25"/>
      <c r="P36" s="22"/>
      <c r="Q36" s="26"/>
      <c r="R36" s="82">
        <v>7</v>
      </c>
      <c r="S36" s="22"/>
      <c r="T36" s="142"/>
      <c r="U36" s="138"/>
      <c r="V36" s="51"/>
    </row>
    <row r="37" spans="1:22" ht="20.100000000000001" customHeight="1" x14ac:dyDescent="0.3">
      <c r="A37" s="44">
        <v>29</v>
      </c>
      <c r="B37" s="22">
        <f>+'Order Details April26-March27'!P37</f>
        <v>46154</v>
      </c>
      <c r="C37" s="23"/>
      <c r="D37" s="118" t="str">
        <f>+'Order Details April26-March27'!T37</f>
        <v>B V Biocrop - Hitech Division</v>
      </c>
      <c r="E37" s="25"/>
      <c r="F37" s="183" t="str">
        <f>+'Order Details April26-March27'!D37</f>
        <v>LAYVIT REGULAR (Hitech Div)</v>
      </c>
      <c r="G37" s="184"/>
      <c r="H37" s="119">
        <f>+'Order Details April26-March27'!H37</f>
        <v>200</v>
      </c>
      <c r="I37" s="177" t="str">
        <f>+'Order Details April26-March27'!I37</f>
        <v>Kg</v>
      </c>
      <c r="J37" s="28"/>
      <c r="K37" s="204" t="str">
        <f>+'Order Details April26-March27'!R37</f>
        <v>PO / NBF / 120526 / 014</v>
      </c>
      <c r="L37" s="205"/>
      <c r="M37" s="206"/>
      <c r="N37" s="27">
        <f>'Order Details April26-March27'!F37*'Order Details April26-March27'!N37</f>
        <v>119400</v>
      </c>
      <c r="O37" s="25"/>
      <c r="P37" s="22"/>
      <c r="Q37" s="26"/>
      <c r="R37" s="82">
        <v>7</v>
      </c>
      <c r="S37" s="22"/>
      <c r="T37" s="142"/>
      <c r="U37" s="138"/>
      <c r="V37" s="51"/>
    </row>
    <row r="38" spans="1:22" ht="20.100000000000001" customHeight="1" x14ac:dyDescent="0.3">
      <c r="A38" s="44">
        <v>30</v>
      </c>
      <c r="B38" s="22">
        <f>+'Order Details April26-March27'!P38</f>
        <v>46162</v>
      </c>
      <c r="C38" s="23"/>
      <c r="D38" s="118" t="str">
        <f>+'Order Details April26-March27'!T38</f>
        <v xml:space="preserve">Varsha Multitech Bangalore </v>
      </c>
      <c r="E38" s="25"/>
      <c r="F38" s="183" t="str">
        <f>+'Order Details April26-March27'!D38</f>
        <v>HEPATOCARE PREMIX (Varsha)</v>
      </c>
      <c r="G38" s="184"/>
      <c r="H38" s="119">
        <f>+'Order Details April26-March27'!H38</f>
        <v>1000</v>
      </c>
      <c r="I38" s="177" t="str">
        <f>+'Order Details April26-March27'!I38</f>
        <v>Kg</v>
      </c>
      <c r="J38" s="28"/>
      <c r="K38" s="204" t="str">
        <f>+'Order Details April26-March27'!R38</f>
        <v>PO / NBF / 200526 / 015</v>
      </c>
      <c r="L38" s="205"/>
      <c r="M38" s="206"/>
      <c r="N38" s="27">
        <f>'Order Details April26-March27'!F38*'Order Details April26-March27'!N38</f>
        <v>70000</v>
      </c>
      <c r="O38" s="25"/>
      <c r="P38" s="22"/>
      <c r="Q38" s="26"/>
      <c r="R38" s="82">
        <v>45</v>
      </c>
      <c r="S38" s="22"/>
      <c r="T38" s="142"/>
      <c r="U38" s="138"/>
      <c r="V38" s="51"/>
    </row>
    <row r="39" spans="1:22" ht="20.100000000000001" customHeight="1" x14ac:dyDescent="0.3">
      <c r="A39" s="44">
        <v>31</v>
      </c>
      <c r="B39" s="22">
        <f>+'Order Details April26-March27'!P39</f>
        <v>46177</v>
      </c>
      <c r="C39" s="23"/>
      <c r="D39" s="118" t="str">
        <f>+'Order Details April26-March27'!T39</f>
        <v>Agrioma Life Science - Kolkata</v>
      </c>
      <c r="E39" s="25"/>
      <c r="F39" s="183" t="str">
        <f>+'Order Details April26-March27'!D39</f>
        <v>OREGOSTIM-1X (Saife Vet)</v>
      </c>
      <c r="G39" s="184"/>
      <c r="H39" s="119">
        <f>+'Order Details April26-March27'!H39</f>
        <v>300</v>
      </c>
      <c r="I39" s="177" t="str">
        <f>+'Order Details April26-March27'!I39</f>
        <v>Kg</v>
      </c>
      <c r="J39" s="28"/>
      <c r="K39" s="204" t="str">
        <f>+'Order Details April26-March27'!R39</f>
        <v>PO / NBF / 040626 / 016</v>
      </c>
      <c r="L39" s="205"/>
      <c r="M39" s="206"/>
      <c r="N39" s="27">
        <f>'Order Details April26-March27'!F39*'Order Details April26-March27'!N39</f>
        <v>285000</v>
      </c>
      <c r="O39" s="25"/>
      <c r="P39" s="22"/>
      <c r="Q39" s="26"/>
      <c r="R39" s="82">
        <v>7</v>
      </c>
      <c r="S39" s="22"/>
      <c r="T39" s="142"/>
      <c r="U39" s="138"/>
      <c r="V39" s="51"/>
    </row>
    <row r="40" spans="1:22" ht="20.100000000000001" customHeight="1" x14ac:dyDescent="0.3">
      <c r="A40" s="44">
        <v>32</v>
      </c>
      <c r="B40" s="22">
        <f>+'Order Details April26-March27'!P40</f>
        <v>46177</v>
      </c>
      <c r="C40" s="23"/>
      <c r="D40" s="118" t="str">
        <f>+'Order Details April26-March27'!T40</f>
        <v>Bengal Agrovet Pvt Ltd - Kolkata</v>
      </c>
      <c r="E40" s="25"/>
      <c r="F40" s="183" t="str">
        <f>+'Order Details April26-March27'!D40</f>
        <v>SAF MANANS (Phileo)</v>
      </c>
      <c r="G40" s="184"/>
      <c r="H40" s="119">
        <f>+'Order Details April26-March27'!H40</f>
        <v>350</v>
      </c>
      <c r="I40" s="177" t="str">
        <f>+'Order Details April26-March27'!I40</f>
        <v>Kg</v>
      </c>
      <c r="J40" s="28"/>
      <c r="K40" s="204" t="str">
        <f>+'Order Details April26-March27'!R40</f>
        <v>PO / NBF / 040626 / 017</v>
      </c>
      <c r="L40" s="205"/>
      <c r="M40" s="206"/>
      <c r="N40" s="27">
        <f>'Order Details April26-March27'!F40*'Order Details April26-March27'!N40</f>
        <v>147000</v>
      </c>
      <c r="O40" s="25"/>
      <c r="P40" s="22"/>
      <c r="Q40" s="26"/>
      <c r="R40" s="82">
        <v>7</v>
      </c>
      <c r="S40" s="22"/>
      <c r="T40" s="142"/>
      <c r="U40" s="138"/>
      <c r="V40" s="51"/>
    </row>
    <row r="41" spans="1:22" ht="20.100000000000001" customHeight="1" x14ac:dyDescent="0.3">
      <c r="A41" s="44">
        <v>33</v>
      </c>
      <c r="B41" s="22">
        <f>+'Order Details April26-March27'!P41</f>
        <v>46177</v>
      </c>
      <c r="C41" s="23"/>
      <c r="D41" s="118" t="str">
        <f>+'Order Details April26-March27'!T41</f>
        <v>Kemin Industries South Asia</v>
      </c>
      <c r="E41" s="25"/>
      <c r="F41" s="183" t="str">
        <f>+'Order Details April26-March27'!D41</f>
        <v>BUTI GEM (Kemin)</v>
      </c>
      <c r="G41" s="184"/>
      <c r="H41" s="119">
        <f>+'Order Details April26-March27'!H41</f>
        <v>600</v>
      </c>
      <c r="I41" s="177" t="str">
        <f>+'Order Details April26-March27'!I41</f>
        <v>Kg</v>
      </c>
      <c r="J41" s="28"/>
      <c r="K41" s="204" t="str">
        <f>+'Order Details April26-March27'!R41</f>
        <v>PO / NBF / 040626 / 018</v>
      </c>
      <c r="L41" s="205"/>
      <c r="M41" s="206"/>
      <c r="N41" s="27">
        <f>'Order Details April26-March27'!F41*'Order Details April26-March27'!N41</f>
        <v>234000</v>
      </c>
      <c r="O41" s="25"/>
      <c r="P41" s="22"/>
      <c r="Q41" s="26"/>
      <c r="R41" s="82">
        <v>30</v>
      </c>
      <c r="S41" s="22"/>
      <c r="T41" s="142"/>
      <c r="U41" s="138"/>
      <c r="V41" s="51"/>
    </row>
    <row r="42" spans="1:22" ht="20.100000000000001" customHeight="1" x14ac:dyDescent="0.3">
      <c r="A42" s="44">
        <v>34</v>
      </c>
      <c r="B42" s="22">
        <f>+'Order Details April26-March27'!P42</f>
        <v>46177</v>
      </c>
      <c r="C42" s="23"/>
      <c r="D42" s="118" t="str">
        <f>+'Order Details April26-March27'!T42</f>
        <v>Kemin Industries South Asia</v>
      </c>
      <c r="E42" s="25"/>
      <c r="F42" s="183" t="str">
        <f>+'Order Details April26-March27'!D42</f>
        <v>ENDOX-T DRY (Kemin)</v>
      </c>
      <c r="G42" s="184"/>
      <c r="H42" s="119">
        <f>+'Order Details April26-March27'!H42</f>
        <v>300</v>
      </c>
      <c r="I42" s="177" t="str">
        <f>+'Order Details April26-March27'!I42</f>
        <v>Kg</v>
      </c>
      <c r="J42" s="28"/>
      <c r="K42" s="204" t="str">
        <f>+'Order Details April26-March27'!R42</f>
        <v>PO / NBF / 040626 / 018</v>
      </c>
      <c r="L42" s="205"/>
      <c r="M42" s="206"/>
      <c r="N42" s="27">
        <f>'Order Details April26-March27'!F42*'Order Details April26-March27'!N42</f>
        <v>31500</v>
      </c>
      <c r="O42" s="25"/>
      <c r="P42" s="22"/>
      <c r="Q42" s="26"/>
      <c r="R42" s="82">
        <v>30</v>
      </c>
      <c r="S42" s="22"/>
      <c r="T42" s="142"/>
      <c r="U42" s="138"/>
      <c r="V42" s="51"/>
    </row>
    <row r="43" spans="1:22" ht="20.100000000000001" customHeight="1" x14ac:dyDescent="0.3">
      <c r="A43" s="44">
        <v>35</v>
      </c>
      <c r="B43" s="22">
        <f>+'Order Details April26-March27'!P43</f>
        <v>46177</v>
      </c>
      <c r="C43" s="23"/>
      <c r="D43" s="118" t="str">
        <f>+'Order Details April26-March27'!T43</f>
        <v>Kemin Industries South Asia</v>
      </c>
      <c r="E43" s="25"/>
      <c r="F43" s="183" t="str">
        <f>+'Order Details April26-March27'!D43</f>
        <v>KEMTRACE SUPREME (Kemin)</v>
      </c>
      <c r="G43" s="184"/>
      <c r="H43" s="119">
        <f>+'Order Details April26-March27'!H43</f>
        <v>1000</v>
      </c>
      <c r="I43" s="177" t="str">
        <f>+'Order Details April26-March27'!I43</f>
        <v>Kg</v>
      </c>
      <c r="J43" s="28"/>
      <c r="K43" s="204" t="str">
        <f>+'Order Details April26-March27'!R43</f>
        <v>PO / NBF / 040626 / 018</v>
      </c>
      <c r="L43" s="205"/>
      <c r="M43" s="206"/>
      <c r="N43" s="27">
        <f>'Order Details April26-March27'!F43*'Order Details April26-March27'!N43</f>
        <v>260000</v>
      </c>
      <c r="O43" s="25"/>
      <c r="P43" s="22"/>
      <c r="Q43" s="26"/>
      <c r="R43" s="82">
        <v>30</v>
      </c>
      <c r="S43" s="22"/>
      <c r="T43" s="142"/>
      <c r="U43" s="138"/>
      <c r="V43" s="51"/>
    </row>
    <row r="44" spans="1:22" ht="20.100000000000001" customHeight="1" x14ac:dyDescent="0.3">
      <c r="A44" s="44">
        <v>36</v>
      </c>
      <c r="B44" s="22">
        <f>+'Order Details April26-March27'!P44</f>
        <v>46177</v>
      </c>
      <c r="C44" s="23"/>
      <c r="D44" s="118" t="str">
        <f>+'Order Details April26-March27'!T44</f>
        <v>Kemin Industries South Asia</v>
      </c>
      <c r="E44" s="25"/>
      <c r="F44" s="183" t="str">
        <f>+'Order Details April26-March27'!D44</f>
        <v>KEMZYME PROTEASE (Kemin)</v>
      </c>
      <c r="G44" s="184"/>
      <c r="H44" s="119">
        <f>+'Order Details April26-March27'!H44</f>
        <v>300</v>
      </c>
      <c r="I44" s="177" t="str">
        <f>+'Order Details April26-March27'!I44</f>
        <v>Kg</v>
      </c>
      <c r="J44" s="28"/>
      <c r="K44" s="204" t="str">
        <f>+'Order Details April26-March27'!R44</f>
        <v>PO / NBF / 040626 / 018</v>
      </c>
      <c r="L44" s="205"/>
      <c r="M44" s="206"/>
      <c r="N44" s="27">
        <f>'Order Details April26-March27'!F44*'Order Details April26-March27'!N44</f>
        <v>135000</v>
      </c>
      <c r="O44" s="25"/>
      <c r="P44" s="22"/>
      <c r="Q44" s="26"/>
      <c r="R44" s="82">
        <v>30</v>
      </c>
      <c r="S44" s="22"/>
      <c r="T44" s="142"/>
      <c r="U44" s="138"/>
      <c r="V44" s="51"/>
    </row>
    <row r="45" spans="1:22" ht="20.100000000000001" customHeight="1" x14ac:dyDescent="0.3">
      <c r="A45" s="44">
        <v>37</v>
      </c>
      <c r="B45" s="22">
        <f>+'Order Details April26-March27'!P45</f>
        <v>46177</v>
      </c>
      <c r="C45" s="23"/>
      <c r="D45" s="118" t="str">
        <f>+'Order Details April26-March27'!T45</f>
        <v>Kemin Industries South Asia</v>
      </c>
      <c r="E45" s="25"/>
      <c r="F45" s="183" t="str">
        <f>+'Order Details April26-March27'!D45</f>
        <v>PHYGEST-10000 (Kemin)</v>
      </c>
      <c r="G45" s="184"/>
      <c r="H45" s="119">
        <f>+'Order Details April26-March27'!H45</f>
        <v>150</v>
      </c>
      <c r="I45" s="177" t="str">
        <f>+'Order Details April26-March27'!I45</f>
        <v>Kg</v>
      </c>
      <c r="J45" s="28"/>
      <c r="K45" s="204" t="str">
        <f>+'Order Details April26-March27'!R45</f>
        <v>PO / NBF / 040626 / 018</v>
      </c>
      <c r="L45" s="205"/>
      <c r="M45" s="206"/>
      <c r="N45" s="27">
        <f>'Order Details April26-March27'!F45*'Order Details April26-March27'!N45</f>
        <v>67500</v>
      </c>
      <c r="O45" s="25"/>
      <c r="P45" s="22"/>
      <c r="Q45" s="26"/>
      <c r="R45" s="82">
        <v>30</v>
      </c>
      <c r="S45" s="22"/>
      <c r="T45" s="142"/>
      <c r="U45" s="138"/>
      <c r="V45" s="51"/>
    </row>
    <row r="46" spans="1:22" ht="20.100000000000001" customHeight="1" x14ac:dyDescent="0.3">
      <c r="A46" s="44">
        <v>38</v>
      </c>
      <c r="B46" s="22">
        <f>+'Order Details April26-March27'!P46</f>
        <v>46177</v>
      </c>
      <c r="C46" s="23"/>
      <c r="D46" s="118" t="str">
        <f>+'Order Details April26-March27'!T46</f>
        <v>Kemin Industries South Asia</v>
      </c>
      <c r="E46" s="25"/>
      <c r="F46" s="183" t="str">
        <f>+'Order Details April26-March27'!D46</f>
        <v>TOXFIN-360 DRY (Kemin)</v>
      </c>
      <c r="G46" s="184"/>
      <c r="H46" s="119">
        <f>+'Order Details April26-March27'!H46</f>
        <v>2000</v>
      </c>
      <c r="I46" s="177" t="str">
        <f>+'Order Details April26-March27'!I46</f>
        <v>Kg</v>
      </c>
      <c r="J46" s="28"/>
      <c r="K46" s="204" t="str">
        <f>+'Order Details April26-March27'!R46</f>
        <v>PO / NBF / 040626 / 018</v>
      </c>
      <c r="L46" s="205"/>
      <c r="M46" s="206"/>
      <c r="N46" s="27">
        <f>'Order Details April26-March27'!F46*'Order Details April26-March27'!N46</f>
        <v>270000</v>
      </c>
      <c r="O46" s="25"/>
      <c r="P46" s="22"/>
      <c r="Q46" s="26"/>
      <c r="R46" s="82">
        <v>30</v>
      </c>
      <c r="S46" s="22"/>
      <c r="T46" s="142"/>
      <c r="U46" s="138"/>
      <c r="V46" s="51"/>
    </row>
    <row r="47" spans="1:22" ht="20.100000000000001" customHeight="1" x14ac:dyDescent="0.3">
      <c r="A47" s="44">
        <v>39</v>
      </c>
      <c r="B47" s="22">
        <f>+'Order Details April26-March27'!P47</f>
        <v>46178</v>
      </c>
      <c r="C47" s="23"/>
      <c r="D47" s="118" t="str">
        <f>+'Order Details April26-March27'!T47</f>
        <v>Das Drug Centre Pvt Ltd W Bengal</v>
      </c>
      <c r="E47" s="25"/>
      <c r="F47" s="183" t="str">
        <f>+'Order Details April26-March27'!D47</f>
        <v>CHLORAN-15% (Zenex-AH)</v>
      </c>
      <c r="G47" s="184"/>
      <c r="H47" s="119">
        <f>+'Order Details April26-March27'!H47</f>
        <v>300</v>
      </c>
      <c r="I47" s="177" t="str">
        <f>+'Order Details April26-March27'!I47</f>
        <v>Kg</v>
      </c>
      <c r="J47" s="28"/>
      <c r="K47" s="204" t="str">
        <f>+'Order Details April26-March27'!R47</f>
        <v>PO / NBF / 050626 / 019</v>
      </c>
      <c r="L47" s="205"/>
      <c r="M47" s="206"/>
      <c r="N47" s="27">
        <f>'Order Details April26-March27'!F47*'Order Details April26-March27'!N47</f>
        <v>63000</v>
      </c>
      <c r="O47" s="25"/>
      <c r="P47" s="22"/>
      <c r="Q47" s="26"/>
      <c r="R47" s="82">
        <v>45</v>
      </c>
      <c r="S47" s="22"/>
      <c r="T47" s="142"/>
      <c r="U47" s="138"/>
      <c r="V47" s="51"/>
    </row>
    <row r="48" spans="1:22" ht="20.100000000000001" customHeight="1" x14ac:dyDescent="0.3">
      <c r="A48" s="44">
        <v>40</v>
      </c>
      <c r="B48" s="22">
        <f>+'Order Details April26-March27'!P48</f>
        <v>46179</v>
      </c>
      <c r="C48" s="23"/>
      <c r="D48" s="118" t="str">
        <f>+'Order Details April26-March27'!T48</f>
        <v>Venkateshwara Hatcheries Ltd</v>
      </c>
      <c r="E48" s="25"/>
      <c r="F48" s="183" t="str">
        <f>+'Order Details April26-March27'!D48</f>
        <v>ND (Lasota) Live Vaccine</v>
      </c>
      <c r="G48" s="184"/>
      <c r="H48" s="119">
        <f>+'Order Details April26-March27'!H48</f>
        <v>150000</v>
      </c>
      <c r="I48" s="177" t="str">
        <f>+'Order Details April26-March27'!I48</f>
        <v>Dose</v>
      </c>
      <c r="J48" s="28"/>
      <c r="K48" s="204" t="str">
        <f>+'Order Details April26-March27'!R48</f>
        <v>PO / NBF / 060626 / 020</v>
      </c>
      <c r="L48" s="205"/>
      <c r="M48" s="206"/>
      <c r="N48" s="27">
        <f>'Order Details April26-March27'!F48*'Order Details April26-March27'!N48</f>
        <v>9450</v>
      </c>
      <c r="O48" s="25"/>
      <c r="P48" s="22"/>
      <c r="Q48" s="26"/>
      <c r="R48" s="82">
        <v>7</v>
      </c>
      <c r="S48" s="22"/>
      <c r="T48" s="142"/>
      <c r="U48" s="138"/>
      <c r="V48" s="51"/>
    </row>
    <row r="49" spans="1:22" ht="20.100000000000001" customHeight="1" x14ac:dyDescent="0.3">
      <c r="A49" s="44">
        <v>41</v>
      </c>
      <c r="B49" s="22">
        <f>+'Order Details April26-March27'!P49</f>
        <v>46179</v>
      </c>
      <c r="C49" s="23"/>
      <c r="D49" s="118" t="str">
        <f>+'Order Details April26-March27'!T49</f>
        <v>Venkateshwara Hatcheries Ltd</v>
      </c>
      <c r="E49" s="25"/>
      <c r="F49" s="183" t="str">
        <f>+'Order Details April26-March27'!D49</f>
        <v>Sterile Diluent for Live Vaccine</v>
      </c>
      <c r="G49" s="184"/>
      <c r="H49" s="119">
        <f>+'Order Details April26-March27'!H49</f>
        <v>4800</v>
      </c>
      <c r="I49" s="177" t="str">
        <f>+'Order Details April26-March27'!I49</f>
        <v>Ml</v>
      </c>
      <c r="J49" s="28"/>
      <c r="K49" s="204" t="str">
        <f>+'Order Details April26-March27'!R49</f>
        <v>PO / NBF / 060626 / 020</v>
      </c>
      <c r="L49" s="205"/>
      <c r="M49" s="206"/>
      <c r="N49" s="27">
        <f>'Order Details April26-March27'!F49*'Order Details April26-March27'!N49</f>
        <v>168</v>
      </c>
      <c r="O49" s="25"/>
      <c r="P49" s="22"/>
      <c r="Q49" s="26"/>
      <c r="R49" s="82">
        <v>7</v>
      </c>
      <c r="S49" s="22"/>
      <c r="T49" s="142"/>
      <c r="U49" s="138"/>
      <c r="V49" s="51"/>
    </row>
    <row r="50" spans="1:22" ht="20.100000000000001" customHeight="1" x14ac:dyDescent="0.3">
      <c r="A50" s="44">
        <v>42</v>
      </c>
      <c r="B50" s="22">
        <f>+'Order Details April26-March27'!P50</f>
        <v>0</v>
      </c>
      <c r="C50" s="23"/>
      <c r="D50" s="118">
        <f>+'Order Details April26-March27'!T50</f>
        <v>0</v>
      </c>
      <c r="E50" s="25"/>
      <c r="F50" s="183">
        <f>+'Order Details April26-March27'!D50</f>
        <v>0</v>
      </c>
      <c r="G50" s="184"/>
      <c r="H50" s="119">
        <f>+'Order Details April26-March27'!H50</f>
        <v>0</v>
      </c>
      <c r="I50" s="177">
        <f>+'Order Details April26-March27'!I50</f>
        <v>0</v>
      </c>
      <c r="J50" s="28"/>
      <c r="K50" s="204">
        <f>+'Order Details April26-March27'!R50</f>
        <v>0</v>
      </c>
      <c r="L50" s="205"/>
      <c r="M50" s="206"/>
      <c r="N50" s="27">
        <f>'Order Details April26-March27'!F50*'Order Details April26-March27'!N50</f>
        <v>0</v>
      </c>
      <c r="O50" s="25"/>
      <c r="P50" s="22"/>
      <c r="Q50" s="26"/>
      <c r="R50" s="82"/>
      <c r="S50" s="22"/>
      <c r="T50" s="142"/>
      <c r="U50" s="138"/>
      <c r="V50" s="51"/>
    </row>
    <row r="51" spans="1:22" ht="20.100000000000001" customHeight="1" x14ac:dyDescent="0.3">
      <c r="A51" s="44">
        <v>43</v>
      </c>
      <c r="B51" s="22">
        <f>+'Order Details April26-March27'!P51</f>
        <v>0</v>
      </c>
      <c r="C51" s="23"/>
      <c r="D51" s="118">
        <f>+'Order Details April26-March27'!T51</f>
        <v>0</v>
      </c>
      <c r="E51" s="25"/>
      <c r="F51" s="183">
        <f>+'Order Details April26-March27'!D51</f>
        <v>0</v>
      </c>
      <c r="G51" s="184"/>
      <c r="H51" s="119">
        <f>+'Order Details April26-March27'!H51</f>
        <v>0</v>
      </c>
      <c r="I51" s="177">
        <f>+'Order Details April26-March27'!I51</f>
        <v>0</v>
      </c>
      <c r="J51" s="28"/>
      <c r="K51" s="204">
        <f>+'Order Details April26-March27'!R51</f>
        <v>0</v>
      </c>
      <c r="L51" s="205"/>
      <c r="M51" s="206"/>
      <c r="N51" s="27">
        <f>'Order Details April26-March27'!F51*'Order Details April26-March27'!N51</f>
        <v>0</v>
      </c>
      <c r="O51" s="25"/>
      <c r="P51" s="22"/>
      <c r="Q51" s="26"/>
      <c r="R51" s="82"/>
      <c r="S51" s="22"/>
      <c r="T51" s="142"/>
      <c r="U51" s="138"/>
      <c r="V51" s="51"/>
    </row>
    <row r="52" spans="1:22" ht="20.100000000000001" customHeight="1" x14ac:dyDescent="0.3">
      <c r="A52" s="44">
        <v>44</v>
      </c>
      <c r="B52" s="22">
        <f>+'Order Details April26-March27'!P52</f>
        <v>0</v>
      </c>
      <c r="C52" s="23"/>
      <c r="D52" s="118">
        <f>+'Order Details April26-March27'!T52</f>
        <v>0</v>
      </c>
      <c r="E52" s="25"/>
      <c r="F52" s="183">
        <f>+'Order Details April26-March27'!D52</f>
        <v>0</v>
      </c>
      <c r="G52" s="184"/>
      <c r="H52" s="119">
        <f>+'Order Details April26-March27'!H52</f>
        <v>0</v>
      </c>
      <c r="I52" s="177">
        <f>+'Order Details April26-March27'!I52</f>
        <v>0</v>
      </c>
      <c r="J52" s="28"/>
      <c r="K52" s="204">
        <f>+'Order Details April26-March27'!R52</f>
        <v>0</v>
      </c>
      <c r="L52" s="205"/>
      <c r="M52" s="206"/>
      <c r="N52" s="27">
        <f>'Order Details April26-March27'!F52*'Order Details April26-March27'!N52</f>
        <v>0</v>
      </c>
      <c r="O52" s="25"/>
      <c r="P52" s="22"/>
      <c r="Q52" s="26"/>
      <c r="R52" s="82"/>
      <c r="S52" s="22"/>
      <c r="T52" s="142"/>
      <c r="U52" s="138"/>
      <c r="V52" s="51"/>
    </row>
    <row r="53" spans="1:22" ht="20.100000000000001" customHeight="1" x14ac:dyDescent="0.3">
      <c r="A53" s="44">
        <v>45</v>
      </c>
      <c r="B53" s="22">
        <f>+'Order Details April26-March27'!P53</f>
        <v>0</v>
      </c>
      <c r="C53" s="23"/>
      <c r="D53" s="118">
        <f>+'Order Details April26-March27'!T53</f>
        <v>0</v>
      </c>
      <c r="E53" s="25"/>
      <c r="F53" s="183">
        <f>+'Order Details April26-March27'!D53</f>
        <v>0</v>
      </c>
      <c r="G53" s="184"/>
      <c r="H53" s="119">
        <f>+'Order Details April26-March27'!H53</f>
        <v>0</v>
      </c>
      <c r="I53" s="177">
        <f>+'Order Details April26-March27'!I53</f>
        <v>0</v>
      </c>
      <c r="J53" s="28"/>
      <c r="K53" s="204">
        <f>+'Order Details April26-March27'!R53</f>
        <v>0</v>
      </c>
      <c r="L53" s="205"/>
      <c r="M53" s="206"/>
      <c r="N53" s="27">
        <f>'Order Details April26-March27'!F53*'Order Details April26-March27'!N53</f>
        <v>0</v>
      </c>
      <c r="O53" s="25"/>
      <c r="P53" s="22"/>
      <c r="Q53" s="26"/>
      <c r="R53" s="82"/>
      <c r="S53" s="22"/>
      <c r="T53" s="142"/>
      <c r="U53" s="138"/>
      <c r="V53" s="51"/>
    </row>
    <row r="54" spans="1:22" ht="20.100000000000001" customHeight="1" x14ac:dyDescent="0.3">
      <c r="A54" s="44">
        <v>46</v>
      </c>
      <c r="B54" s="22">
        <f>+'Order Details April26-March27'!P54</f>
        <v>0</v>
      </c>
      <c r="C54" s="23"/>
      <c r="D54" s="118">
        <f>+'Order Details April26-March27'!T54</f>
        <v>0</v>
      </c>
      <c r="E54" s="25"/>
      <c r="F54" s="183">
        <f>+'Order Details April26-March27'!D54</f>
        <v>0</v>
      </c>
      <c r="G54" s="184"/>
      <c r="H54" s="119">
        <f>+'Order Details April26-March27'!H54</f>
        <v>0</v>
      </c>
      <c r="I54" s="177">
        <f>+'Order Details April26-March27'!I54</f>
        <v>0</v>
      </c>
      <c r="J54" s="28"/>
      <c r="K54" s="204">
        <f>+'Order Details April26-March27'!R54</f>
        <v>0</v>
      </c>
      <c r="L54" s="205"/>
      <c r="M54" s="206"/>
      <c r="N54" s="27">
        <f>'Order Details April26-March27'!F54*'Order Details April26-March27'!N54</f>
        <v>0</v>
      </c>
      <c r="O54" s="25"/>
      <c r="P54" s="22"/>
      <c r="Q54" s="26"/>
      <c r="R54" s="82"/>
      <c r="S54" s="22"/>
      <c r="T54" s="142"/>
      <c r="U54" s="138"/>
      <c r="V54" s="51"/>
    </row>
    <row r="55" spans="1:22" ht="20.100000000000001" customHeight="1" x14ac:dyDescent="0.3">
      <c r="A55" s="44">
        <v>47</v>
      </c>
      <c r="B55" s="22">
        <f>+'Order Details April26-March27'!P55</f>
        <v>0</v>
      </c>
      <c r="C55" s="23"/>
      <c r="D55" s="118">
        <f>+'Order Details April26-March27'!T55</f>
        <v>0</v>
      </c>
      <c r="E55" s="25"/>
      <c r="F55" s="183">
        <f>+'Order Details April26-March27'!D55</f>
        <v>0</v>
      </c>
      <c r="G55" s="184"/>
      <c r="H55" s="119">
        <f>+'Order Details April26-March27'!H55</f>
        <v>0</v>
      </c>
      <c r="I55" s="177">
        <f>+'Order Details April26-March27'!I55</f>
        <v>0</v>
      </c>
      <c r="J55" s="28"/>
      <c r="K55" s="204">
        <f>+'Order Details April26-March27'!R55</f>
        <v>0</v>
      </c>
      <c r="L55" s="205"/>
      <c r="M55" s="206"/>
      <c r="N55" s="27">
        <f>'Order Details April26-March27'!F55*'Order Details April26-March27'!N55</f>
        <v>0</v>
      </c>
      <c r="O55" s="25"/>
      <c r="P55" s="22"/>
      <c r="Q55" s="26"/>
      <c r="R55" s="82"/>
      <c r="S55" s="22"/>
      <c r="T55" s="142"/>
      <c r="U55" s="138"/>
      <c r="V55" s="51"/>
    </row>
    <row r="56" spans="1:22" ht="20.100000000000001" customHeight="1" x14ac:dyDescent="0.3">
      <c r="A56" s="44">
        <v>48</v>
      </c>
      <c r="B56" s="22">
        <f>+'Order Details April26-March27'!P56</f>
        <v>0</v>
      </c>
      <c r="C56" s="23"/>
      <c r="D56" s="118">
        <f>+'Order Details April26-March27'!T56</f>
        <v>0</v>
      </c>
      <c r="E56" s="25"/>
      <c r="F56" s="183">
        <f>+'Order Details April26-March27'!D56</f>
        <v>0</v>
      </c>
      <c r="G56" s="184"/>
      <c r="H56" s="119">
        <f>+'Order Details April26-March27'!H56</f>
        <v>0</v>
      </c>
      <c r="I56" s="177">
        <f>+'Order Details April26-March27'!I56</f>
        <v>0</v>
      </c>
      <c r="J56" s="28"/>
      <c r="K56" s="204">
        <f>+'Order Details April26-March27'!R56</f>
        <v>0</v>
      </c>
      <c r="L56" s="205"/>
      <c r="M56" s="206"/>
      <c r="N56" s="27">
        <f>'Order Details April26-March27'!F56*'Order Details April26-March27'!N56</f>
        <v>0</v>
      </c>
      <c r="O56" s="25"/>
      <c r="P56" s="22"/>
      <c r="Q56" s="26"/>
      <c r="R56" s="82"/>
      <c r="S56" s="22"/>
      <c r="T56" s="142"/>
      <c r="U56" s="138"/>
      <c r="V56" s="51"/>
    </row>
    <row r="57" spans="1:22" ht="20.100000000000001" customHeight="1" x14ac:dyDescent="0.3">
      <c r="A57" s="44">
        <v>49</v>
      </c>
      <c r="B57" s="22">
        <f>+'Order Details April26-March27'!P57</f>
        <v>0</v>
      </c>
      <c r="C57" s="23"/>
      <c r="D57" s="118">
        <f>+'Order Details April26-March27'!T57</f>
        <v>0</v>
      </c>
      <c r="E57" s="25"/>
      <c r="F57" s="183">
        <f>+'Order Details April26-March27'!D57</f>
        <v>0</v>
      </c>
      <c r="G57" s="184"/>
      <c r="H57" s="119">
        <f>+'Order Details April26-March27'!H57</f>
        <v>0</v>
      </c>
      <c r="I57" s="177">
        <f>+'Order Details April26-March27'!I57</f>
        <v>0</v>
      </c>
      <c r="J57" s="28"/>
      <c r="K57" s="204">
        <f>+'Order Details April26-March27'!R57</f>
        <v>0</v>
      </c>
      <c r="L57" s="205"/>
      <c r="M57" s="206"/>
      <c r="N57" s="27">
        <f>'Order Details April26-March27'!F57*'Order Details April26-March27'!N57</f>
        <v>0</v>
      </c>
      <c r="O57" s="25"/>
      <c r="P57" s="22"/>
      <c r="Q57" s="26"/>
      <c r="R57" s="82"/>
      <c r="S57" s="22"/>
      <c r="T57" s="142"/>
      <c r="U57" s="138"/>
      <c r="V57" s="51"/>
    </row>
    <row r="58" spans="1:22" ht="20.100000000000001" customHeight="1" x14ac:dyDescent="0.3">
      <c r="A58" s="44">
        <v>50</v>
      </c>
      <c r="B58" s="22">
        <f>+'Order Details April26-March27'!P58</f>
        <v>0</v>
      </c>
      <c r="C58" s="23"/>
      <c r="D58" s="118">
        <f>+'Order Details April26-March27'!T58</f>
        <v>0</v>
      </c>
      <c r="E58" s="25"/>
      <c r="F58" s="183">
        <f>+'Order Details April26-March27'!D58</f>
        <v>0</v>
      </c>
      <c r="G58" s="184"/>
      <c r="H58" s="119">
        <f>+'Order Details April26-March27'!H58</f>
        <v>0</v>
      </c>
      <c r="I58" s="177">
        <f>+'Order Details April26-March27'!I58</f>
        <v>0</v>
      </c>
      <c r="J58" s="28"/>
      <c r="K58" s="204">
        <f>+'Order Details April26-March27'!R58</f>
        <v>0</v>
      </c>
      <c r="L58" s="205"/>
      <c r="M58" s="206"/>
      <c r="N58" s="27">
        <f>'Order Details April26-March27'!F58*'Order Details April26-March27'!N58</f>
        <v>0</v>
      </c>
      <c r="O58" s="25"/>
      <c r="P58" s="22"/>
      <c r="Q58" s="26"/>
      <c r="R58" s="82"/>
      <c r="S58" s="22"/>
      <c r="T58" s="142"/>
      <c r="U58" s="138"/>
      <c r="V58" s="51"/>
    </row>
    <row r="59" spans="1:22" ht="20.100000000000001" customHeight="1" x14ac:dyDescent="0.3">
      <c r="A59" s="44">
        <v>51</v>
      </c>
      <c r="B59" s="22">
        <f>+'Order Details April26-March27'!P59</f>
        <v>0</v>
      </c>
      <c r="C59" s="23"/>
      <c r="D59" s="118">
        <f>+'Order Details April26-March27'!T59</f>
        <v>0</v>
      </c>
      <c r="E59" s="25"/>
      <c r="F59" s="183">
        <f>+'Order Details April26-March27'!D59</f>
        <v>0</v>
      </c>
      <c r="G59" s="184"/>
      <c r="H59" s="119">
        <f>+'Order Details April26-March27'!H59</f>
        <v>0</v>
      </c>
      <c r="I59" s="177">
        <f>+'Order Details April26-March27'!I59</f>
        <v>0</v>
      </c>
      <c r="J59" s="28"/>
      <c r="K59" s="204">
        <f>+'Order Details April26-March27'!R59</f>
        <v>0</v>
      </c>
      <c r="L59" s="205"/>
      <c r="M59" s="206"/>
      <c r="N59" s="27">
        <f>'Order Details April26-March27'!F59*'Order Details April26-March27'!N59</f>
        <v>0</v>
      </c>
      <c r="O59" s="25"/>
      <c r="P59" s="22"/>
      <c r="Q59" s="26"/>
      <c r="R59" s="82"/>
      <c r="S59" s="22"/>
      <c r="T59" s="142"/>
      <c r="U59" s="138"/>
      <c r="V59" s="51"/>
    </row>
    <row r="60" spans="1:22" ht="20.100000000000001" customHeight="1" x14ac:dyDescent="0.3">
      <c r="A60" s="44">
        <v>52</v>
      </c>
      <c r="B60" s="22">
        <f>+'Order Details April26-March27'!P60</f>
        <v>0</v>
      </c>
      <c r="C60" s="23"/>
      <c r="D60" s="118">
        <f>+'Order Details April26-March27'!T60</f>
        <v>0</v>
      </c>
      <c r="E60" s="25"/>
      <c r="F60" s="183">
        <f>+'Order Details April26-March27'!D60</f>
        <v>0</v>
      </c>
      <c r="G60" s="184"/>
      <c r="H60" s="119">
        <f>+'Order Details April26-March27'!H60</f>
        <v>0</v>
      </c>
      <c r="I60" s="177">
        <f>+'Order Details April26-March27'!I60</f>
        <v>0</v>
      </c>
      <c r="J60" s="28"/>
      <c r="K60" s="204">
        <f>+'Order Details April26-March27'!R60</f>
        <v>0</v>
      </c>
      <c r="L60" s="205"/>
      <c r="M60" s="206"/>
      <c r="N60" s="27">
        <f>'Order Details April26-March27'!F60*'Order Details April26-March27'!N60</f>
        <v>0</v>
      </c>
      <c r="O60" s="25"/>
      <c r="P60" s="22"/>
      <c r="Q60" s="26"/>
      <c r="R60" s="82"/>
      <c r="S60" s="22"/>
      <c r="T60" s="142"/>
      <c r="U60" s="138"/>
      <c r="V60" s="51"/>
    </row>
    <row r="61" spans="1:22" ht="20.100000000000001" customHeight="1" x14ac:dyDescent="0.3">
      <c r="A61" s="44">
        <v>53</v>
      </c>
      <c r="B61" s="22">
        <f>+'Order Details April26-March27'!P61</f>
        <v>0</v>
      </c>
      <c r="C61" s="23"/>
      <c r="D61" s="118">
        <f>+'Order Details April26-March27'!T61</f>
        <v>0</v>
      </c>
      <c r="E61" s="25"/>
      <c r="F61" s="183">
        <f>+'Order Details April26-March27'!D61</f>
        <v>0</v>
      </c>
      <c r="G61" s="184"/>
      <c r="H61" s="119">
        <f>+'Order Details April26-March27'!H61</f>
        <v>0</v>
      </c>
      <c r="I61" s="177">
        <f>+'Order Details April26-March27'!I61</f>
        <v>0</v>
      </c>
      <c r="J61" s="28"/>
      <c r="K61" s="204">
        <f>+'Order Details April26-March27'!R61</f>
        <v>0</v>
      </c>
      <c r="L61" s="205"/>
      <c r="M61" s="206"/>
      <c r="N61" s="27">
        <f>'Order Details April26-March27'!F61*'Order Details April26-March27'!N61</f>
        <v>0</v>
      </c>
      <c r="O61" s="25"/>
      <c r="P61" s="22"/>
      <c r="Q61" s="26"/>
      <c r="R61" s="82"/>
      <c r="S61" s="22"/>
      <c r="T61" s="142"/>
      <c r="U61" s="138"/>
      <c r="V61" s="51"/>
    </row>
    <row r="62" spans="1:22" ht="20.100000000000001" customHeight="1" x14ac:dyDescent="0.3">
      <c r="A62" s="44">
        <v>54</v>
      </c>
      <c r="B62" s="22">
        <f>+'Order Details April26-March27'!P62</f>
        <v>0</v>
      </c>
      <c r="C62" s="23"/>
      <c r="D62" s="118">
        <f>+'Order Details April26-March27'!T62</f>
        <v>0</v>
      </c>
      <c r="E62" s="25"/>
      <c r="F62" s="183">
        <f>+'Order Details April26-March27'!D62</f>
        <v>0</v>
      </c>
      <c r="G62" s="184"/>
      <c r="H62" s="119">
        <f>+'Order Details April26-March27'!H62</f>
        <v>0</v>
      </c>
      <c r="I62" s="177">
        <f>+'Order Details April26-March27'!I62</f>
        <v>0</v>
      </c>
      <c r="J62" s="28"/>
      <c r="K62" s="204">
        <f>+'Order Details April26-March27'!R62</f>
        <v>0</v>
      </c>
      <c r="L62" s="205"/>
      <c r="M62" s="206"/>
      <c r="N62" s="27">
        <f>'Order Details April26-March27'!F62*'Order Details April26-March27'!N62</f>
        <v>0</v>
      </c>
      <c r="O62" s="25"/>
      <c r="P62" s="22"/>
      <c r="Q62" s="26"/>
      <c r="R62" s="82"/>
      <c r="S62" s="22"/>
      <c r="T62" s="142"/>
      <c r="U62" s="138"/>
      <c r="V62" s="51"/>
    </row>
    <row r="63" spans="1:22" ht="20.100000000000001" customHeight="1" x14ac:dyDescent="0.3">
      <c r="A63" s="44">
        <v>55</v>
      </c>
      <c r="B63" s="22">
        <f>+'Order Details April26-March27'!P63</f>
        <v>0</v>
      </c>
      <c r="C63" s="23"/>
      <c r="D63" s="118">
        <f>+'Order Details April26-March27'!T63</f>
        <v>0</v>
      </c>
      <c r="E63" s="25"/>
      <c r="F63" s="183">
        <f>+'Order Details April26-March27'!D63</f>
        <v>0</v>
      </c>
      <c r="G63" s="184"/>
      <c r="H63" s="119">
        <f>+'Order Details April26-March27'!H63</f>
        <v>0</v>
      </c>
      <c r="I63" s="177">
        <f>+'Order Details April26-March27'!I63</f>
        <v>0</v>
      </c>
      <c r="J63" s="28"/>
      <c r="K63" s="204">
        <f>+'Order Details April26-March27'!R63</f>
        <v>0</v>
      </c>
      <c r="L63" s="205"/>
      <c r="M63" s="206"/>
      <c r="N63" s="27">
        <f>'Order Details April26-March27'!F63*'Order Details April26-March27'!N63</f>
        <v>0</v>
      </c>
      <c r="O63" s="25"/>
      <c r="P63" s="22"/>
      <c r="Q63" s="26"/>
      <c r="R63" s="82"/>
      <c r="S63" s="22"/>
      <c r="T63" s="142"/>
      <c r="U63" s="138"/>
      <c r="V63" s="51"/>
    </row>
    <row r="64" spans="1:22" ht="20.100000000000001" customHeight="1" x14ac:dyDescent="0.3">
      <c r="A64" s="44">
        <v>56</v>
      </c>
      <c r="B64" s="22">
        <f>+'Order Details April26-March27'!P64</f>
        <v>0</v>
      </c>
      <c r="C64" s="23"/>
      <c r="D64" s="118">
        <f>+'Order Details April26-March27'!T64</f>
        <v>0</v>
      </c>
      <c r="E64" s="25"/>
      <c r="F64" s="183">
        <f>+'Order Details April26-March27'!D64</f>
        <v>0</v>
      </c>
      <c r="G64" s="184"/>
      <c r="H64" s="119">
        <f>+'Order Details April26-March27'!H64</f>
        <v>0</v>
      </c>
      <c r="I64" s="177">
        <f>+'Order Details April26-March27'!I64</f>
        <v>0</v>
      </c>
      <c r="J64" s="28"/>
      <c r="K64" s="204">
        <f>+'Order Details April26-March27'!R64</f>
        <v>0</v>
      </c>
      <c r="L64" s="205"/>
      <c r="M64" s="206"/>
      <c r="N64" s="27">
        <f>'Order Details April26-March27'!F64*'Order Details April26-March27'!N64</f>
        <v>0</v>
      </c>
      <c r="O64" s="25"/>
      <c r="P64" s="22"/>
      <c r="Q64" s="26"/>
      <c r="R64" s="82"/>
      <c r="S64" s="22"/>
      <c r="T64" s="142"/>
      <c r="U64" s="138"/>
      <c r="V64" s="51"/>
    </row>
    <row r="65" spans="1:22" ht="20.100000000000001" customHeight="1" x14ac:dyDescent="0.3">
      <c r="A65" s="44">
        <v>57</v>
      </c>
      <c r="B65" s="22">
        <f>+'Order Details April26-March27'!P65</f>
        <v>0</v>
      </c>
      <c r="C65" s="23"/>
      <c r="D65" s="118">
        <f>+'Order Details April26-March27'!T65</f>
        <v>0</v>
      </c>
      <c r="E65" s="25"/>
      <c r="F65" s="183">
        <f>+'Order Details April26-March27'!D65</f>
        <v>0</v>
      </c>
      <c r="G65" s="184"/>
      <c r="H65" s="119">
        <f>+'Order Details April26-March27'!H65</f>
        <v>0</v>
      </c>
      <c r="I65" s="177">
        <f>+'Order Details April26-March27'!I65</f>
        <v>0</v>
      </c>
      <c r="J65" s="28"/>
      <c r="K65" s="204">
        <f>+'Order Details April26-March27'!R65</f>
        <v>0</v>
      </c>
      <c r="L65" s="205"/>
      <c r="M65" s="206"/>
      <c r="N65" s="27">
        <f>'Order Details April26-March27'!F65*'Order Details April26-March27'!N65</f>
        <v>0</v>
      </c>
      <c r="O65" s="25"/>
      <c r="P65" s="22"/>
      <c r="Q65" s="26"/>
      <c r="R65" s="82"/>
      <c r="S65" s="22"/>
      <c r="T65" s="142"/>
      <c r="U65" s="138"/>
      <c r="V65" s="51"/>
    </row>
    <row r="66" spans="1:22" ht="20.100000000000001" customHeight="1" x14ac:dyDescent="0.3">
      <c r="A66" s="44">
        <v>58</v>
      </c>
      <c r="B66" s="22">
        <f>+'Order Details April26-March27'!P66</f>
        <v>0</v>
      </c>
      <c r="C66" s="23"/>
      <c r="D66" s="118">
        <f>+'Order Details April26-March27'!T66</f>
        <v>0</v>
      </c>
      <c r="E66" s="25"/>
      <c r="F66" s="183">
        <f>+'Order Details April26-March27'!D66</f>
        <v>0</v>
      </c>
      <c r="G66" s="184"/>
      <c r="H66" s="119">
        <f>+'Order Details April26-March27'!H66</f>
        <v>0</v>
      </c>
      <c r="I66" s="177">
        <f>+'Order Details April26-March27'!I66</f>
        <v>0</v>
      </c>
      <c r="J66" s="28"/>
      <c r="K66" s="204">
        <f>+'Order Details April26-March27'!R66</f>
        <v>0</v>
      </c>
      <c r="L66" s="205"/>
      <c r="M66" s="206"/>
      <c r="N66" s="27">
        <f>'Order Details April26-March27'!F66*'Order Details April26-March27'!N66</f>
        <v>0</v>
      </c>
      <c r="O66" s="25"/>
      <c r="P66" s="22"/>
      <c r="Q66" s="26"/>
      <c r="R66" s="82"/>
      <c r="S66" s="22"/>
      <c r="T66" s="142"/>
      <c r="U66" s="138"/>
      <c r="V66" s="51"/>
    </row>
    <row r="67" spans="1:22" ht="20.100000000000001" customHeight="1" x14ac:dyDescent="0.3">
      <c r="A67" s="44">
        <v>59</v>
      </c>
      <c r="B67" s="22">
        <f>+'Order Details April26-March27'!P67</f>
        <v>0</v>
      </c>
      <c r="C67" s="23"/>
      <c r="D67" s="118">
        <f>+'Order Details April26-March27'!T67</f>
        <v>0</v>
      </c>
      <c r="E67" s="25"/>
      <c r="F67" s="183">
        <f>+'Order Details April26-March27'!D67</f>
        <v>0</v>
      </c>
      <c r="G67" s="184"/>
      <c r="H67" s="119">
        <f>+'Order Details April26-March27'!H67</f>
        <v>0</v>
      </c>
      <c r="I67" s="177">
        <f>+'Order Details April26-March27'!I67</f>
        <v>0</v>
      </c>
      <c r="J67" s="28"/>
      <c r="K67" s="204">
        <f>+'Order Details April26-March27'!R67</f>
        <v>0</v>
      </c>
      <c r="L67" s="205"/>
      <c r="M67" s="206"/>
      <c r="N67" s="27">
        <f>'Order Details April26-March27'!F67*'Order Details April26-March27'!N67</f>
        <v>0</v>
      </c>
      <c r="O67" s="25"/>
      <c r="P67" s="22"/>
      <c r="Q67" s="26"/>
      <c r="R67" s="82"/>
      <c r="S67" s="22"/>
      <c r="T67" s="142"/>
      <c r="U67" s="138"/>
      <c r="V67" s="51"/>
    </row>
    <row r="68" spans="1:22" ht="20.100000000000001" customHeight="1" x14ac:dyDescent="0.3">
      <c r="A68" s="44">
        <v>60</v>
      </c>
      <c r="B68" s="22">
        <f>+'Order Details April26-March27'!P68</f>
        <v>0</v>
      </c>
      <c r="C68" s="23"/>
      <c r="D68" s="118">
        <f>+'Order Details April26-March27'!T68</f>
        <v>0</v>
      </c>
      <c r="E68" s="25"/>
      <c r="F68" s="183">
        <f>+'Order Details April26-March27'!D68</f>
        <v>0</v>
      </c>
      <c r="G68" s="184"/>
      <c r="H68" s="119">
        <f>+'Order Details April26-March27'!H68</f>
        <v>0</v>
      </c>
      <c r="I68" s="177">
        <f>+'Order Details April26-March27'!I68</f>
        <v>0</v>
      </c>
      <c r="J68" s="28"/>
      <c r="K68" s="204">
        <f>+'Order Details April26-March27'!R68</f>
        <v>0</v>
      </c>
      <c r="L68" s="205"/>
      <c r="M68" s="206"/>
      <c r="N68" s="27">
        <f>'Order Details April26-March27'!F68*'Order Details April26-March27'!N68</f>
        <v>0</v>
      </c>
      <c r="O68" s="25"/>
      <c r="P68" s="22"/>
      <c r="Q68" s="26"/>
      <c r="R68" s="82"/>
      <c r="S68" s="22"/>
      <c r="T68" s="142"/>
      <c r="U68" s="138"/>
      <c r="V68" s="51"/>
    </row>
    <row r="69" spans="1:22" ht="20.100000000000001" customHeight="1" x14ac:dyDescent="0.3">
      <c r="A69" s="44">
        <v>61</v>
      </c>
      <c r="B69" s="22">
        <f>+'Order Details April26-March27'!P69</f>
        <v>0</v>
      </c>
      <c r="C69" s="23"/>
      <c r="D69" s="118">
        <f>+'Order Details April26-March27'!T69</f>
        <v>0</v>
      </c>
      <c r="E69" s="25"/>
      <c r="F69" s="183">
        <f>+'Order Details April26-March27'!D69</f>
        <v>0</v>
      </c>
      <c r="G69" s="184"/>
      <c r="H69" s="119">
        <f>+'Order Details April26-March27'!H69</f>
        <v>0</v>
      </c>
      <c r="I69" s="177">
        <f>+'Order Details April26-March27'!I69</f>
        <v>0</v>
      </c>
      <c r="J69" s="28"/>
      <c r="K69" s="204">
        <f>+'Order Details April26-March27'!R69</f>
        <v>0</v>
      </c>
      <c r="L69" s="205"/>
      <c r="M69" s="206"/>
      <c r="N69" s="27">
        <f>'Order Details April26-March27'!F69*'Order Details April26-March27'!N69</f>
        <v>0</v>
      </c>
      <c r="O69" s="25"/>
      <c r="P69" s="22"/>
      <c r="Q69" s="26"/>
      <c r="R69" s="82"/>
      <c r="S69" s="22"/>
      <c r="T69" s="142"/>
      <c r="U69" s="138"/>
      <c r="V69" s="51"/>
    </row>
    <row r="70" spans="1:22" ht="20.100000000000001" customHeight="1" x14ac:dyDescent="0.3">
      <c r="A70" s="44">
        <v>62</v>
      </c>
      <c r="B70" s="22">
        <f>+'Order Details April26-March27'!P70</f>
        <v>0</v>
      </c>
      <c r="C70" s="23"/>
      <c r="D70" s="118">
        <f>+'Order Details April26-March27'!T70</f>
        <v>0</v>
      </c>
      <c r="E70" s="25"/>
      <c r="F70" s="183">
        <f>+'Order Details April26-March27'!D70</f>
        <v>0</v>
      </c>
      <c r="G70" s="184"/>
      <c r="H70" s="119">
        <f>+'Order Details April26-March27'!H70</f>
        <v>0</v>
      </c>
      <c r="I70" s="177">
        <f>+'Order Details April26-March27'!I70</f>
        <v>0</v>
      </c>
      <c r="J70" s="28"/>
      <c r="K70" s="204">
        <f>+'Order Details April26-March27'!R70</f>
        <v>0</v>
      </c>
      <c r="L70" s="205"/>
      <c r="M70" s="206"/>
      <c r="N70" s="27">
        <f>'Order Details April26-March27'!F70*'Order Details April26-March27'!N70</f>
        <v>0</v>
      </c>
      <c r="O70" s="25"/>
      <c r="P70" s="22"/>
      <c r="Q70" s="26"/>
      <c r="R70" s="82"/>
      <c r="S70" s="22"/>
      <c r="T70" s="142"/>
      <c r="U70" s="138"/>
      <c r="V70" s="51"/>
    </row>
    <row r="71" spans="1:22" ht="20.100000000000001" customHeight="1" x14ac:dyDescent="0.3">
      <c r="A71" s="44">
        <v>63</v>
      </c>
      <c r="B71" s="22">
        <f>+'Order Details April26-March27'!P71</f>
        <v>0</v>
      </c>
      <c r="C71" s="23"/>
      <c r="D71" s="118">
        <f>+'Order Details April26-March27'!T71</f>
        <v>0</v>
      </c>
      <c r="E71" s="25"/>
      <c r="F71" s="183">
        <f>+'Order Details April26-March27'!D71</f>
        <v>0</v>
      </c>
      <c r="G71" s="184"/>
      <c r="H71" s="119">
        <f>+'Order Details April26-March27'!H71</f>
        <v>0</v>
      </c>
      <c r="I71" s="177">
        <f>+'Order Details April26-March27'!I71</f>
        <v>0</v>
      </c>
      <c r="J71" s="28"/>
      <c r="K71" s="204">
        <f>+'Order Details April26-March27'!R71</f>
        <v>0</v>
      </c>
      <c r="L71" s="205"/>
      <c r="M71" s="206"/>
      <c r="N71" s="27">
        <f>'Order Details April26-March27'!F71*'Order Details April26-March27'!N71</f>
        <v>0</v>
      </c>
      <c r="O71" s="25"/>
      <c r="P71" s="22"/>
      <c r="Q71" s="26"/>
      <c r="R71" s="82"/>
      <c r="S71" s="22"/>
      <c r="T71" s="142"/>
      <c r="U71" s="138"/>
      <c r="V71" s="51"/>
    </row>
    <row r="72" spans="1:22" ht="20.100000000000001" customHeight="1" x14ac:dyDescent="0.3">
      <c r="A72" s="44">
        <v>64</v>
      </c>
      <c r="B72" s="22">
        <f>+'Order Details April26-March27'!P72</f>
        <v>0</v>
      </c>
      <c r="C72" s="23"/>
      <c r="D72" s="118">
        <f>+'Order Details April26-March27'!T72</f>
        <v>0</v>
      </c>
      <c r="E72" s="25"/>
      <c r="F72" s="183">
        <f>+'Order Details April26-March27'!D72</f>
        <v>0</v>
      </c>
      <c r="G72" s="184"/>
      <c r="H72" s="119">
        <f>+'Order Details April26-March27'!H72</f>
        <v>0</v>
      </c>
      <c r="I72" s="177">
        <f>+'Order Details April26-March27'!I72</f>
        <v>0</v>
      </c>
      <c r="J72" s="28"/>
      <c r="K72" s="204">
        <f>+'Order Details April26-March27'!R72</f>
        <v>0</v>
      </c>
      <c r="L72" s="205"/>
      <c r="M72" s="206"/>
      <c r="N72" s="27">
        <f>'Order Details April26-March27'!F72*'Order Details April26-March27'!N72</f>
        <v>0</v>
      </c>
      <c r="O72" s="25"/>
      <c r="P72" s="22"/>
      <c r="Q72" s="26"/>
      <c r="R72" s="82"/>
      <c r="S72" s="22"/>
      <c r="T72" s="142"/>
      <c r="U72" s="138"/>
      <c r="V72" s="51"/>
    </row>
    <row r="73" spans="1:22" ht="20.100000000000001" customHeight="1" x14ac:dyDescent="0.3">
      <c r="A73" s="44">
        <v>65</v>
      </c>
      <c r="B73" s="22">
        <f>+'Order Details April26-March27'!P73</f>
        <v>0</v>
      </c>
      <c r="C73" s="23"/>
      <c r="D73" s="118">
        <f>+'Order Details April26-March27'!T73</f>
        <v>0</v>
      </c>
      <c r="E73" s="25"/>
      <c r="F73" s="183">
        <f>+'Order Details April26-March27'!D73</f>
        <v>0</v>
      </c>
      <c r="G73" s="184"/>
      <c r="H73" s="119">
        <f>+'Order Details April26-March27'!H73</f>
        <v>0</v>
      </c>
      <c r="I73" s="177">
        <f>+'Order Details April26-March27'!I73</f>
        <v>0</v>
      </c>
      <c r="J73" s="28"/>
      <c r="K73" s="204">
        <f>+'Order Details April26-March27'!R73</f>
        <v>0</v>
      </c>
      <c r="L73" s="205"/>
      <c r="M73" s="206"/>
      <c r="N73" s="27">
        <f>'Order Details April26-March27'!F73*'Order Details April26-March27'!N73</f>
        <v>0</v>
      </c>
      <c r="O73" s="25"/>
      <c r="P73" s="22"/>
      <c r="Q73" s="26"/>
      <c r="R73" s="82"/>
      <c r="S73" s="22"/>
      <c r="T73" s="142"/>
      <c r="U73" s="138"/>
      <c r="V73" s="51"/>
    </row>
    <row r="74" spans="1:22" ht="20.100000000000001" customHeight="1" x14ac:dyDescent="0.3">
      <c r="A74" s="44">
        <v>66</v>
      </c>
      <c r="B74" s="22">
        <f>+'Order Details April26-March27'!P74</f>
        <v>0</v>
      </c>
      <c r="C74" s="23"/>
      <c r="D74" s="118">
        <f>+'Order Details April26-March27'!T74</f>
        <v>0</v>
      </c>
      <c r="E74" s="25"/>
      <c r="F74" s="183">
        <f>+'Order Details April26-March27'!D74</f>
        <v>0</v>
      </c>
      <c r="G74" s="184"/>
      <c r="H74" s="119">
        <f>+'Order Details April26-March27'!H74</f>
        <v>0</v>
      </c>
      <c r="I74" s="177">
        <f>+'Order Details April26-March27'!I74</f>
        <v>0</v>
      </c>
      <c r="J74" s="28"/>
      <c r="K74" s="204">
        <f>+'Order Details April26-March27'!R74</f>
        <v>0</v>
      </c>
      <c r="L74" s="205"/>
      <c r="M74" s="206"/>
      <c r="N74" s="27">
        <f>'Order Details April26-March27'!F74*'Order Details April26-March27'!N74</f>
        <v>0</v>
      </c>
      <c r="O74" s="25"/>
      <c r="P74" s="22"/>
      <c r="Q74" s="26"/>
      <c r="R74" s="82"/>
      <c r="S74" s="22"/>
      <c r="T74" s="142"/>
      <c r="U74" s="138"/>
      <c r="V74" s="51"/>
    </row>
    <row r="75" spans="1:22" ht="20.100000000000001" customHeight="1" x14ac:dyDescent="0.3">
      <c r="A75" s="44">
        <v>67</v>
      </c>
      <c r="B75" s="22">
        <f>+'Order Details April26-March27'!P75</f>
        <v>0</v>
      </c>
      <c r="C75" s="23"/>
      <c r="D75" s="118">
        <f>+'Order Details April26-March27'!T75</f>
        <v>0</v>
      </c>
      <c r="E75" s="25"/>
      <c r="F75" s="183">
        <f>+'Order Details April26-March27'!D75</f>
        <v>0</v>
      </c>
      <c r="G75" s="184"/>
      <c r="H75" s="119">
        <f>+'Order Details April26-March27'!H75</f>
        <v>0</v>
      </c>
      <c r="I75" s="177">
        <f>+'Order Details April26-March27'!I75</f>
        <v>0</v>
      </c>
      <c r="J75" s="28"/>
      <c r="K75" s="204">
        <f>+'Order Details April26-March27'!R75</f>
        <v>0</v>
      </c>
      <c r="L75" s="205"/>
      <c r="M75" s="206"/>
      <c r="N75" s="27">
        <f>'Order Details April26-March27'!F75*'Order Details April26-March27'!N75</f>
        <v>0</v>
      </c>
      <c r="O75" s="25"/>
      <c r="P75" s="22"/>
      <c r="Q75" s="26"/>
      <c r="R75" s="82"/>
      <c r="S75" s="22"/>
      <c r="T75" s="142"/>
      <c r="U75" s="138"/>
      <c r="V75" s="51"/>
    </row>
    <row r="76" spans="1:22" ht="20.100000000000001" customHeight="1" x14ac:dyDescent="0.3">
      <c r="A76" s="44">
        <v>68</v>
      </c>
      <c r="B76" s="22">
        <f>+'Order Details April26-March27'!P76</f>
        <v>0</v>
      </c>
      <c r="C76" s="23"/>
      <c r="D76" s="118">
        <f>+'Order Details April26-March27'!T76</f>
        <v>0</v>
      </c>
      <c r="E76" s="25"/>
      <c r="F76" s="183">
        <f>+'Order Details April26-March27'!D76</f>
        <v>0</v>
      </c>
      <c r="G76" s="184"/>
      <c r="H76" s="119">
        <f>+'Order Details April26-March27'!H76</f>
        <v>0</v>
      </c>
      <c r="I76" s="177">
        <f>+'Order Details April26-March27'!I76</f>
        <v>0</v>
      </c>
      <c r="J76" s="28"/>
      <c r="K76" s="204">
        <f>+'Order Details April26-March27'!R76</f>
        <v>0</v>
      </c>
      <c r="L76" s="205"/>
      <c r="M76" s="206"/>
      <c r="N76" s="27">
        <f>'Order Details April26-March27'!F76*'Order Details April26-March27'!N76</f>
        <v>0</v>
      </c>
      <c r="O76" s="25"/>
      <c r="P76" s="22"/>
      <c r="Q76" s="26"/>
      <c r="R76" s="82"/>
      <c r="S76" s="22"/>
      <c r="T76" s="142"/>
      <c r="U76" s="138"/>
      <c r="V76" s="51"/>
    </row>
    <row r="77" spans="1:22" ht="20.100000000000001" customHeight="1" x14ac:dyDescent="0.3">
      <c r="A77" s="44">
        <v>69</v>
      </c>
      <c r="B77" s="22">
        <f>+'Order Details April26-March27'!P77</f>
        <v>0</v>
      </c>
      <c r="C77" s="23"/>
      <c r="D77" s="118">
        <f>+'Order Details April26-March27'!T77</f>
        <v>0</v>
      </c>
      <c r="E77" s="25"/>
      <c r="F77" s="183">
        <f>+'Order Details April26-March27'!D77</f>
        <v>0</v>
      </c>
      <c r="G77" s="184"/>
      <c r="H77" s="119">
        <f>+'Order Details April26-March27'!H77</f>
        <v>0</v>
      </c>
      <c r="I77" s="177">
        <f>+'Order Details April26-March27'!I77</f>
        <v>0</v>
      </c>
      <c r="J77" s="28"/>
      <c r="K77" s="204">
        <f>+'Order Details April26-March27'!R77</f>
        <v>0</v>
      </c>
      <c r="L77" s="205"/>
      <c r="M77" s="206"/>
      <c r="N77" s="27">
        <f>'Order Details April26-March27'!F77*'Order Details April26-March27'!N77</f>
        <v>0</v>
      </c>
      <c r="O77" s="25"/>
      <c r="P77" s="22"/>
      <c r="Q77" s="26"/>
      <c r="R77" s="82"/>
      <c r="S77" s="22"/>
      <c r="T77" s="142"/>
      <c r="U77" s="138"/>
      <c r="V77" s="51"/>
    </row>
    <row r="78" spans="1:22" ht="20.100000000000001" customHeight="1" x14ac:dyDescent="0.3">
      <c r="A78" s="44">
        <v>70</v>
      </c>
      <c r="B78" s="22">
        <f>+'Order Details April26-March27'!P78</f>
        <v>0</v>
      </c>
      <c r="C78" s="23"/>
      <c r="D78" s="118">
        <f>+'Order Details April26-March27'!T78</f>
        <v>0</v>
      </c>
      <c r="E78" s="25"/>
      <c r="F78" s="183">
        <f>+'Order Details April26-March27'!D78</f>
        <v>0</v>
      </c>
      <c r="G78" s="184"/>
      <c r="H78" s="119">
        <f>+'Order Details April26-March27'!H78</f>
        <v>0</v>
      </c>
      <c r="I78" s="177">
        <f>+'Order Details April26-March27'!I78</f>
        <v>0</v>
      </c>
      <c r="J78" s="28"/>
      <c r="K78" s="204">
        <f>+'Order Details April26-March27'!R78</f>
        <v>0</v>
      </c>
      <c r="L78" s="205"/>
      <c r="M78" s="206"/>
      <c r="N78" s="27">
        <f>'Order Details April26-March27'!F78*'Order Details April26-March27'!N78</f>
        <v>0</v>
      </c>
      <c r="O78" s="25"/>
      <c r="P78" s="22"/>
      <c r="Q78" s="26"/>
      <c r="R78" s="82"/>
      <c r="S78" s="22"/>
      <c r="T78" s="142"/>
      <c r="U78" s="138"/>
      <c r="V78" s="51"/>
    </row>
    <row r="79" spans="1:22" ht="20.100000000000001" customHeight="1" x14ac:dyDescent="0.3">
      <c r="A79" s="44">
        <v>71</v>
      </c>
      <c r="B79" s="22">
        <f>+'Order Details April26-March27'!P79</f>
        <v>0</v>
      </c>
      <c r="C79" s="23"/>
      <c r="D79" s="118">
        <f>+'Order Details April26-March27'!T79</f>
        <v>0</v>
      </c>
      <c r="E79" s="25"/>
      <c r="F79" s="183">
        <f>+'Order Details April26-March27'!D79</f>
        <v>0</v>
      </c>
      <c r="G79" s="184"/>
      <c r="H79" s="119">
        <f>+'Order Details April26-March27'!H79</f>
        <v>0</v>
      </c>
      <c r="I79" s="177">
        <f>+'Order Details April26-March27'!I79</f>
        <v>0</v>
      </c>
      <c r="J79" s="28"/>
      <c r="K79" s="204">
        <f>+'Order Details April26-March27'!R79</f>
        <v>0</v>
      </c>
      <c r="L79" s="205"/>
      <c r="M79" s="206"/>
      <c r="N79" s="27">
        <f>'Order Details April26-March27'!F79*'Order Details April26-March27'!N79</f>
        <v>0</v>
      </c>
      <c r="O79" s="25"/>
      <c r="P79" s="22"/>
      <c r="Q79" s="26"/>
      <c r="R79" s="82"/>
      <c r="S79" s="22"/>
      <c r="T79" s="142"/>
      <c r="U79" s="138"/>
      <c r="V79" s="51"/>
    </row>
    <row r="80" spans="1:22" ht="20.100000000000001" customHeight="1" x14ac:dyDescent="0.3">
      <c r="A80" s="44">
        <v>72</v>
      </c>
      <c r="B80" s="22">
        <f>+'Order Details April26-March27'!P80</f>
        <v>0</v>
      </c>
      <c r="C80" s="23"/>
      <c r="D80" s="118">
        <f>+'Order Details April26-March27'!T80</f>
        <v>0</v>
      </c>
      <c r="E80" s="25"/>
      <c r="F80" s="183">
        <f>+'Order Details April26-March27'!D80</f>
        <v>0</v>
      </c>
      <c r="G80" s="184"/>
      <c r="H80" s="119">
        <f>+'Order Details April26-March27'!H80</f>
        <v>0</v>
      </c>
      <c r="I80" s="177">
        <f>+'Order Details April26-March27'!I80</f>
        <v>0</v>
      </c>
      <c r="J80" s="28"/>
      <c r="K80" s="204">
        <f>+'Order Details April26-March27'!R80</f>
        <v>0</v>
      </c>
      <c r="L80" s="205"/>
      <c r="M80" s="206"/>
      <c r="N80" s="27">
        <f>'Order Details April26-March27'!F80*'Order Details April26-March27'!N80</f>
        <v>0</v>
      </c>
      <c r="O80" s="25"/>
      <c r="P80" s="22"/>
      <c r="Q80" s="26"/>
      <c r="R80" s="82"/>
      <c r="S80" s="22"/>
      <c r="T80" s="142"/>
      <c r="U80" s="138"/>
      <c r="V80" s="51"/>
    </row>
  </sheetData>
  <autoFilter ref="D1:D50"/>
  <mergeCells count="151">
    <mergeCell ref="F78:G78"/>
    <mergeCell ref="K78:M78"/>
    <mergeCell ref="F79:G79"/>
    <mergeCell ref="K79:M79"/>
    <mergeCell ref="F80:G80"/>
    <mergeCell ref="K80:M80"/>
    <mergeCell ref="F75:G75"/>
    <mergeCell ref="K75:M75"/>
    <mergeCell ref="F76:G76"/>
    <mergeCell ref="K76:M76"/>
    <mergeCell ref="F77:G77"/>
    <mergeCell ref="K77:M77"/>
    <mergeCell ref="F72:G72"/>
    <mergeCell ref="K72:M72"/>
    <mergeCell ref="F73:G73"/>
    <mergeCell ref="K73:M73"/>
    <mergeCell ref="F74:G74"/>
    <mergeCell ref="K74:M74"/>
    <mergeCell ref="F69:G69"/>
    <mergeCell ref="K69:M69"/>
    <mergeCell ref="F70:G70"/>
    <mergeCell ref="K70:M70"/>
    <mergeCell ref="F71:G71"/>
    <mergeCell ref="K71:M71"/>
    <mergeCell ref="F66:G66"/>
    <mergeCell ref="K66:M66"/>
    <mergeCell ref="F67:G67"/>
    <mergeCell ref="K67:M67"/>
    <mergeCell ref="F68:G68"/>
    <mergeCell ref="K68:M68"/>
    <mergeCell ref="F63:G63"/>
    <mergeCell ref="K63:M63"/>
    <mergeCell ref="F64:G64"/>
    <mergeCell ref="K64:M64"/>
    <mergeCell ref="F65:G65"/>
    <mergeCell ref="K65:M65"/>
    <mergeCell ref="F60:G60"/>
    <mergeCell ref="K60:M60"/>
    <mergeCell ref="F61:G61"/>
    <mergeCell ref="K61:M61"/>
    <mergeCell ref="F62:G62"/>
    <mergeCell ref="K62:M62"/>
    <mergeCell ref="F57:G57"/>
    <mergeCell ref="K57:M57"/>
    <mergeCell ref="F58:G58"/>
    <mergeCell ref="K58:M58"/>
    <mergeCell ref="F59:G59"/>
    <mergeCell ref="K59:M59"/>
    <mergeCell ref="F54:G54"/>
    <mergeCell ref="K54:M54"/>
    <mergeCell ref="F55:G55"/>
    <mergeCell ref="K55:M55"/>
    <mergeCell ref="F56:G56"/>
    <mergeCell ref="K56:M56"/>
    <mergeCell ref="F51:G51"/>
    <mergeCell ref="K51:M51"/>
    <mergeCell ref="F52:G52"/>
    <mergeCell ref="K52:M52"/>
    <mergeCell ref="F53:G53"/>
    <mergeCell ref="K53:M53"/>
    <mergeCell ref="F14:G14"/>
    <mergeCell ref="K14:M14"/>
    <mergeCell ref="F18:G18"/>
    <mergeCell ref="K18:M18"/>
    <mergeCell ref="F15:G15"/>
    <mergeCell ref="K15:M15"/>
    <mergeCell ref="F16:G16"/>
    <mergeCell ref="K16:M16"/>
    <mergeCell ref="F17:G17"/>
    <mergeCell ref="K17:M17"/>
    <mergeCell ref="F3:O3"/>
    <mergeCell ref="S3:U3"/>
    <mergeCell ref="F5:I5"/>
    <mergeCell ref="K5:N5"/>
    <mergeCell ref="P5:U5"/>
    <mergeCell ref="F7:G7"/>
    <mergeCell ref="K7:M7"/>
    <mergeCell ref="F19:G19"/>
    <mergeCell ref="K19:M19"/>
    <mergeCell ref="F20:G20"/>
    <mergeCell ref="K20:M20"/>
    <mergeCell ref="F9:G9"/>
    <mergeCell ref="K9:M9"/>
    <mergeCell ref="F10:G10"/>
    <mergeCell ref="K10:M10"/>
    <mergeCell ref="F11:G11"/>
    <mergeCell ref="K11:M11"/>
    <mergeCell ref="F12:G12"/>
    <mergeCell ref="K12:M12"/>
    <mergeCell ref="F13:G13"/>
    <mergeCell ref="K13:M13"/>
    <mergeCell ref="F21:G21"/>
    <mergeCell ref="K21:M21"/>
    <mergeCell ref="F22:G22"/>
    <mergeCell ref="K22:M22"/>
    <mergeCell ref="F23:G23"/>
    <mergeCell ref="K23:M23"/>
    <mergeCell ref="F24:G24"/>
    <mergeCell ref="K24:M24"/>
    <mergeCell ref="F25:G25"/>
    <mergeCell ref="K25:M25"/>
    <mergeCell ref="F26:G26"/>
    <mergeCell ref="K26:M26"/>
    <mergeCell ref="F27:G27"/>
    <mergeCell ref="K27:M27"/>
    <mergeCell ref="F28:G28"/>
    <mergeCell ref="K28:M28"/>
    <mergeCell ref="F29:G29"/>
    <mergeCell ref="K29:M29"/>
    <mergeCell ref="F30:G30"/>
    <mergeCell ref="K30:M30"/>
    <mergeCell ref="F31:G31"/>
    <mergeCell ref="K31:M31"/>
    <mergeCell ref="F32:G32"/>
    <mergeCell ref="K32:M32"/>
    <mergeCell ref="F33:G33"/>
    <mergeCell ref="K33:M33"/>
    <mergeCell ref="F34:G34"/>
    <mergeCell ref="K34:M34"/>
    <mergeCell ref="F35:G35"/>
    <mergeCell ref="K35:M35"/>
    <mergeCell ref="F36:G36"/>
    <mergeCell ref="K36:M36"/>
    <mergeCell ref="F37:G37"/>
    <mergeCell ref="K37:M37"/>
    <mergeCell ref="F38:G38"/>
    <mergeCell ref="K38:M38"/>
    <mergeCell ref="F39:G39"/>
    <mergeCell ref="K39:M39"/>
    <mergeCell ref="F40:G40"/>
    <mergeCell ref="K40:M40"/>
    <mergeCell ref="F41:G41"/>
    <mergeCell ref="K41:M41"/>
    <mergeCell ref="F42:G42"/>
    <mergeCell ref="K42:M42"/>
    <mergeCell ref="F43:G43"/>
    <mergeCell ref="K43:M43"/>
    <mergeCell ref="F44:G44"/>
    <mergeCell ref="K44:M44"/>
    <mergeCell ref="F45:G45"/>
    <mergeCell ref="K45:M45"/>
    <mergeCell ref="F46:G46"/>
    <mergeCell ref="K46:M46"/>
    <mergeCell ref="F47:G47"/>
    <mergeCell ref="K47:M47"/>
    <mergeCell ref="F48:G48"/>
    <mergeCell ref="K48:M48"/>
    <mergeCell ref="F49:G49"/>
    <mergeCell ref="K49:M49"/>
    <mergeCell ref="F50:G50"/>
    <mergeCell ref="K50:M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Order Details Aug22-Mar23</vt:lpstr>
      <vt:lpstr>Account Details Aug22-Mar23</vt:lpstr>
      <vt:lpstr>Order Details Apr23-Mar24</vt:lpstr>
      <vt:lpstr>Account Details Apr23-Mar24</vt:lpstr>
      <vt:lpstr>Order Details Apr24 - Mar25</vt:lpstr>
      <vt:lpstr>Account Details Apr24 - Mar25</vt:lpstr>
      <vt:lpstr>Order Details Apr25 - Mar26</vt:lpstr>
      <vt:lpstr>Account Details Apr25 - Mar26</vt:lpstr>
      <vt:lpstr>Order Details April26-March27</vt:lpstr>
      <vt:lpstr>Account Details Apr26 - Mar27</vt:lpstr>
      <vt:lpstr>'Account Details Aug22-Mar23'!Print_Titles</vt:lpstr>
      <vt:lpstr>'Order Details Aug22-Mar23'!Print_Titles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2026-06-06T10:04:00Z</dcterms:modified>
</cp:coreProperties>
</file>